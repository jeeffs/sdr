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gem" sheetId="1" state="visible" r:id="rId3"/>
    <sheet name="Lista Faltantes" sheetId="2" state="visible" r:id="rId4"/>
    <sheet name="Resumo por Layo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<sst xmlns="http://schemas.openxmlformats.org/spreadsheetml/2006/main" count="230" uniqueCount="48">
  <si>
    <t xml:space="preserve">🎽  ESTOQUE DE CAMISETAS — CONGRESSO 2026</t>
  </si>
  <si>
    <t xml:space="preserve">Preencha a coluna FÍSICO (amarelo) com a contagem real. A diferença é calculada automaticamente.</t>
  </si>
  <si>
    <t xml:space="preserve">▶  CLIQUE AQUI PARA VER A LISTA DE FALTANTES  ▶</t>
  </si>
  <si>
    <t xml:space="preserve">Layout</t>
  </si>
  <si>
    <t xml:space="preserve">Categoria</t>
  </si>
  <si>
    <t xml:space="preserve">Tamanho</t>
  </si>
  <si>
    <t xml:space="preserve">Pedidos</t>
  </si>
  <si>
    <t xml:space="preserve">Físico (contado)</t>
  </si>
  <si>
    <t xml:space="preserve">Falta p/ Fabricar</t>
  </si>
  <si>
    <t xml:space="preserve">Status</t>
  </si>
  <si>
    <t xml:space="preserve">Layout A</t>
  </si>
  <si>
    <t xml:space="preserve">Normal</t>
  </si>
  <si>
    <t xml:space="preserve">P</t>
  </si>
  <si>
    <t xml:space="preserve">M</t>
  </si>
  <si>
    <t xml:space="preserve">G</t>
  </si>
  <si>
    <t xml:space="preserve">GG</t>
  </si>
  <si>
    <t xml:space="preserve">EG</t>
  </si>
  <si>
    <t xml:space="preserve">EXG</t>
  </si>
  <si>
    <t xml:space="preserve">Babylook</t>
  </si>
  <si>
    <t xml:space="preserve">Infantil</t>
  </si>
  <si>
    <t xml:space="preserve">1</t>
  </si>
  <si>
    <t xml:space="preserve">2</t>
  </si>
  <si>
    <t xml:space="preserve">6</t>
  </si>
  <si>
    <t xml:space="preserve">8</t>
  </si>
  <si>
    <t xml:space="preserve">10</t>
  </si>
  <si>
    <t xml:space="preserve">14</t>
  </si>
  <si>
    <t xml:space="preserve">Layout B</t>
  </si>
  <si>
    <t xml:space="preserve">56</t>
  </si>
  <si>
    <t xml:space="preserve">BIG</t>
  </si>
  <si>
    <t xml:space="preserve">4</t>
  </si>
  <si>
    <t xml:space="preserve">12</t>
  </si>
  <si>
    <t xml:space="preserve">Layout C</t>
  </si>
  <si>
    <t xml:space="preserve">TOTAL GERAL</t>
  </si>
  <si>
    <t xml:space="preserve">🏭  LISTA PARA FABRICAÇÃO — ITENS FALTANTES</t>
  </si>
  <si>
    <t xml:space="preserve">✅ Esta lista atualiza automaticamente conforme você preenche o Físico na aba Contagem</t>
  </si>
  <si>
    <t xml:space="preserve">Físico</t>
  </si>
  <si>
    <t xml:space="preserve">FALTA P/ FABRICAR</t>
  </si>
  <si>
    <t xml:space="preserve">─── Compatível com todas as versões do Excel ─────────────────────────────────────</t>
  </si>
  <si>
    <t xml:space="preserve">TOTAL A FABRICAR</t>
  </si>
  <si>
    <t xml:space="preserve">💡 DICA: Use Dados → AutoFiltro na aba "Contagem" e filtre Falta &gt; 0 para a versão impressa. Ou use Ctrl+P nesta aba — os itens com Falta = 0 ficam invisíveis na impressão.</t>
  </si>
  <si>
    <t xml:space="preserve">📊  RESUMO POR LAYOUT — PEDIDOS vs FÍSICO</t>
  </si>
  <si>
    <t xml:space="preserve">  Layout A</t>
  </si>
  <si>
    <t xml:space="preserve">Falta</t>
  </si>
  <si>
    <t xml:space="preserve">Total Layout A</t>
  </si>
  <si>
    <t xml:space="preserve">  Layout B</t>
  </si>
  <si>
    <t xml:space="preserve">Total Layout B</t>
  </si>
  <si>
    <t xml:space="preserve">  Layout C</t>
  </si>
  <si>
    <t xml:space="preserve">Total Layout 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</si>
</sst>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C28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CC00"/>
      <name val="Arial"/>
      <family val="0"/>
      <charset val="1"/>
    </font>
    <font>
      <b val="true"/>
      <i val="true"/>
      <sz val="9"/>
      <color rgb="FF276221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color rgb="FF5C2800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3"/>
      <color rgb="FFFFCC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CC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D1500"/>
        <bgColor rgb="FF5C2800"/>
      </patternFill>
    </fill>
    <fill>
      <patternFill patternType="solid">
        <fgColor rgb="FF1D6B2A"/>
        <bgColor rgb="FF276221"/>
      </patternFill>
    </fill>
    <fill>
      <patternFill patternType="solid">
        <fgColor rgb="FF7A3800"/>
        <bgColor rgb="FF833C00"/>
      </patternFill>
    </fill>
    <fill>
      <patternFill patternType="solid">
        <fgColor rgb="FF1F497D"/>
        <bgColor rgb="FF003366"/>
      </patternFill>
    </fill>
    <fill>
      <patternFill patternType="solid">
        <fgColor rgb="FF833C00"/>
        <bgColor rgb="FF7A3800"/>
      </patternFill>
    </fill>
    <fill>
      <patternFill patternType="solid">
        <fgColor rgb="FFFEF2E4"/>
        <bgColor rgb="FFFAF5F0"/>
      </patternFill>
    </fill>
    <fill>
      <patternFill patternType="solid">
        <fgColor rgb="FFFFFFFF"/>
        <bgColor rgb="FFFAF5F0"/>
      </patternFill>
    </fill>
    <fill>
      <patternFill patternType="solid">
        <fgColor rgb="FFEBF3FB"/>
        <bgColor rgb="FFFAF5F0"/>
      </patternFill>
    </fill>
    <fill>
      <patternFill patternType="solid">
        <fgColor rgb="FFFFF2CC"/>
        <bgColor rgb="FFFEF2E4"/>
      </patternFill>
    </fill>
    <fill>
      <patternFill patternType="solid">
        <fgColor rgb="FFFAF5F0"/>
        <bgColor rgb="FFFEF2E4"/>
      </patternFill>
    </fill>
    <fill>
      <patternFill patternType="solid">
        <fgColor rgb="FFC6EFCE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D6B2A"/>
      <rgbColor rgb="FF000080"/>
      <rgbColor rgb="FF808000"/>
      <rgbColor rgb="FF800080"/>
      <rgbColor rgb="FF008080"/>
      <rgbColor rgb="FFCCCCCC"/>
      <rgbColor rgb="FF555555"/>
      <rgbColor rgb="FF9999FF"/>
      <rgbColor rgb="FF7A3800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5C2800"/>
      <rgbColor rgb="FF008080"/>
      <rgbColor rgb="FF0000FF"/>
      <rgbColor rgb="FF00CCFF"/>
      <rgbColor rgb="FFFAF5F0"/>
      <rgbColor rgb="FFC6EFCE"/>
      <rgbColor rgb="FFFEF2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276221"/>
      <rgbColor rgb="FF3D1500"/>
      <rgbColor rgb="FF833C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abricacao_Camisetas_Congresso202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1.75" hidden="false" customHeight="true" outlineLevel="0" collapsed="false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6" t="s">
        <v>8</v>
      </c>
      <c r="G4" s="4" t="s">
        <v>9</v>
      </c>
    </row>
    <row r="5" customFormat="false" ht="15" hidden="false" customHeight="false" outlineLevel="0" collapsed="false">
      <c r="A5" s="7" t="s">
        <v>10</v>
      </c>
      <c r="B5" s="8" t="s">
        <v>11</v>
      </c>
      <c r="C5" s="9" t="s">
        <v>12</v>
      </c>
      <c r="D5" s="10" t="n">
        <v>2</v>
      </c>
      <c r="E5" s="11" t="n">
        <v>0</v>
      </c>
      <c r="F5" s="12" t="n">
        <f aca="false">MAX(0,D5-E5)</f>
        <v>2</v>
      </c>
      <c r="G5" s="13" t="str">
        <f aca="false">IF(E5=0,"—",IF(F5&gt;0,"⚠ FALTA",IF(E5&gt;D5,"+ SOBRA","✓ OK")))</f>
        <v>—</v>
      </c>
    </row>
    <row r="6" customFormat="false" ht="15" hidden="false" customHeight="false" outlineLevel="0" collapsed="false">
      <c r="A6" s="7" t="s">
        <v>10</v>
      </c>
      <c r="B6" s="14" t="s">
        <v>11</v>
      </c>
      <c r="C6" s="15" t="s">
        <v>13</v>
      </c>
      <c r="D6" s="10" t="n">
        <v>6</v>
      </c>
      <c r="E6" s="11" t="n">
        <v>0</v>
      </c>
      <c r="F6" s="12" t="n">
        <f aca="false">MAX(0,D6-E6)</f>
        <v>6</v>
      </c>
      <c r="G6" s="13" t="str">
        <f aca="false">IF(E6=0,"—",IF(F6&gt;0,"⚠ FALTA",IF(E6&gt;D6,"+ SOBRA","✓ OK")))</f>
        <v>—</v>
      </c>
    </row>
    <row r="7" customFormat="false" ht="15" hidden="false" customHeight="false" outlineLevel="0" collapsed="false">
      <c r="A7" s="7" t="s">
        <v>10</v>
      </c>
      <c r="B7" s="8" t="s">
        <v>11</v>
      </c>
      <c r="C7" s="9" t="s">
        <v>14</v>
      </c>
      <c r="D7" s="10" t="n">
        <v>13</v>
      </c>
      <c r="E7" s="11" t="n">
        <v>0</v>
      </c>
      <c r="F7" s="12" t="n">
        <f aca="false">MAX(0,D7-E7)</f>
        <v>13</v>
      </c>
      <c r="G7" s="13" t="str">
        <f aca="false">IF(E7=0,"—",IF(F7&gt;0,"⚠ FALTA",IF(E7&gt;D7,"+ SOBRA","✓ OK")))</f>
        <v>—</v>
      </c>
    </row>
    <row r="8" customFormat="false" ht="15" hidden="false" customHeight="false" outlineLevel="0" collapsed="false">
      <c r="A8" s="7" t="s">
        <v>10</v>
      </c>
      <c r="B8" s="14" t="s">
        <v>11</v>
      </c>
      <c r="C8" s="15" t="s">
        <v>15</v>
      </c>
      <c r="D8" s="10" t="n">
        <v>3</v>
      </c>
      <c r="E8" s="11" t="n">
        <v>0</v>
      </c>
      <c r="F8" s="12" t="n">
        <f aca="false">MAX(0,D8-E8)</f>
        <v>3</v>
      </c>
      <c r="G8" s="13" t="str">
        <f aca="false">IF(E8=0,"—",IF(F8&gt;0,"⚠ FALTA",IF(E8&gt;D8,"+ SOBRA","✓ OK")))</f>
        <v>—</v>
      </c>
    </row>
    <row r="9" customFormat="false" ht="15" hidden="false" customHeight="false" outlineLevel="0" collapsed="false">
      <c r="A9" s="7" t="s">
        <v>10</v>
      </c>
      <c r="B9" s="8" t="s">
        <v>11</v>
      </c>
      <c r="C9" s="9" t="s">
        <v>16</v>
      </c>
      <c r="D9" s="10" t="n">
        <v>3</v>
      </c>
      <c r="E9" s="11" t="n">
        <v>0</v>
      </c>
      <c r="F9" s="12" t="n">
        <f aca="false">MAX(0,D9-E9)</f>
        <v>3</v>
      </c>
      <c r="G9" s="13" t="str">
        <f aca="false">IF(E9=0,"—",IF(F9&gt;0,"⚠ FALTA",IF(E9&gt;D9,"+ SOBRA","✓ OK")))</f>
        <v>—</v>
      </c>
    </row>
    <row r="10" customFormat="false" ht="15" hidden="false" customHeight="false" outlineLevel="0" collapsed="false">
      <c r="A10" s="7" t="s">
        <v>10</v>
      </c>
      <c r="B10" s="14" t="s">
        <v>11</v>
      </c>
      <c r="C10" s="15" t="s">
        <v>17</v>
      </c>
      <c r="D10" s="10" t="n">
        <v>1</v>
      </c>
      <c r="E10" s="11" t="n">
        <v>0</v>
      </c>
      <c r="F10" s="12" t="n">
        <f aca="false">MAX(0,D10-E10)</f>
        <v>1</v>
      </c>
      <c r="G10" s="13" t="str">
        <f aca="false">IF(E10=0,"—",IF(F10&gt;0,"⚠ FALTA",IF(E10&gt;D10,"+ SOBRA","✓ OK")))</f>
        <v>—</v>
      </c>
    </row>
    <row r="11" customFormat="false" ht="15" hidden="false" customHeight="false" outlineLevel="0" collapsed="false">
      <c r="A11" s="7" t="s">
        <v>10</v>
      </c>
      <c r="B11" s="8" t="s">
        <v>18</v>
      </c>
      <c r="C11" s="9" t="s">
        <v>12</v>
      </c>
      <c r="D11" s="10" t="n">
        <v>1</v>
      </c>
      <c r="E11" s="11" t="n">
        <v>0</v>
      </c>
      <c r="F11" s="12" t="n">
        <f aca="false">MAX(0,D11-E11)</f>
        <v>1</v>
      </c>
      <c r="G11" s="13" t="str">
        <f aca="false">IF(E11=0,"—",IF(F11&gt;0,"⚠ FALTA",IF(E11&gt;D11,"+ SOBRA","✓ OK")))</f>
        <v>—</v>
      </c>
    </row>
    <row r="12" customFormat="false" ht="15" hidden="false" customHeight="false" outlineLevel="0" collapsed="false">
      <c r="A12" s="7" t="s">
        <v>10</v>
      </c>
      <c r="B12" s="14" t="s">
        <v>18</v>
      </c>
      <c r="C12" s="15" t="s">
        <v>13</v>
      </c>
      <c r="D12" s="10" t="n">
        <v>5</v>
      </c>
      <c r="E12" s="11" t="n">
        <v>0</v>
      </c>
      <c r="F12" s="12" t="n">
        <f aca="false">MAX(0,D12-E12)</f>
        <v>5</v>
      </c>
      <c r="G12" s="13" t="str">
        <f aca="false">IF(E12=0,"—",IF(F12&gt;0,"⚠ FALTA",IF(E12&gt;D12,"+ SOBRA","✓ OK")))</f>
        <v>—</v>
      </c>
    </row>
    <row r="13" customFormat="false" ht="15" hidden="false" customHeight="false" outlineLevel="0" collapsed="false">
      <c r="A13" s="7" t="s">
        <v>10</v>
      </c>
      <c r="B13" s="8" t="s">
        <v>18</v>
      </c>
      <c r="C13" s="9" t="s">
        <v>14</v>
      </c>
      <c r="D13" s="10" t="n">
        <v>3</v>
      </c>
      <c r="E13" s="11" t="n">
        <v>0</v>
      </c>
      <c r="F13" s="12" t="n">
        <f aca="false">MAX(0,D13-E13)</f>
        <v>3</v>
      </c>
      <c r="G13" s="13" t="str">
        <f aca="false">IF(E13=0,"—",IF(F13&gt;0,"⚠ FALTA",IF(E13&gt;D13,"+ SOBRA","✓ OK")))</f>
        <v>—</v>
      </c>
    </row>
    <row r="14" customFormat="false" ht="15" hidden="false" customHeight="false" outlineLevel="0" collapsed="false">
      <c r="A14" s="7" t="s">
        <v>10</v>
      </c>
      <c r="B14" s="14" t="s">
        <v>18</v>
      </c>
      <c r="C14" s="15" t="s">
        <v>15</v>
      </c>
      <c r="D14" s="10" t="n">
        <v>4</v>
      </c>
      <c r="E14" s="11" t="n">
        <v>0</v>
      </c>
      <c r="F14" s="12" t="n">
        <f aca="false">MAX(0,D14-E14)</f>
        <v>4</v>
      </c>
      <c r="G14" s="13" t="str">
        <f aca="false">IF(E14=0,"—",IF(F14&gt;0,"⚠ FALTA",IF(E14&gt;D14,"+ SOBRA","✓ OK")))</f>
        <v>—</v>
      </c>
    </row>
    <row r="15" customFormat="false" ht="15" hidden="false" customHeight="false" outlineLevel="0" collapsed="false">
      <c r="A15" s="7" t="s">
        <v>10</v>
      </c>
      <c r="B15" s="8" t="s">
        <v>18</v>
      </c>
      <c r="C15" s="9" t="s">
        <v>16</v>
      </c>
      <c r="D15" s="10" t="n">
        <v>3</v>
      </c>
      <c r="E15" s="11" t="n">
        <v>0</v>
      </c>
      <c r="F15" s="12" t="n">
        <f aca="false">MAX(0,D15-E15)</f>
        <v>3</v>
      </c>
      <c r="G15" s="13" t="str">
        <f aca="false">IF(E15=0,"—",IF(F15&gt;0,"⚠ FALTA",IF(E15&gt;D15,"+ SOBRA","✓ OK")))</f>
        <v>—</v>
      </c>
    </row>
    <row r="16" customFormat="false" ht="15" hidden="false" customHeight="false" outlineLevel="0" collapsed="false">
      <c r="A16" s="7" t="s">
        <v>10</v>
      </c>
      <c r="B16" s="14" t="s">
        <v>18</v>
      </c>
      <c r="C16" s="15" t="s">
        <v>17</v>
      </c>
      <c r="D16" s="10" t="n">
        <v>5</v>
      </c>
      <c r="E16" s="11" t="n">
        <v>0</v>
      </c>
      <c r="F16" s="12" t="n">
        <f aca="false">MAX(0,D16-E16)</f>
        <v>5</v>
      </c>
      <c r="G16" s="13" t="str">
        <f aca="false">IF(E16=0,"—",IF(F16&gt;0,"⚠ FALTA",IF(E16&gt;D16,"+ SOBRA","✓ OK")))</f>
        <v>—</v>
      </c>
    </row>
    <row r="17" customFormat="false" ht="15" hidden="false" customHeight="false" outlineLevel="0" collapsed="false">
      <c r="A17" s="7" t="s">
        <v>10</v>
      </c>
      <c r="B17" s="8" t="s">
        <v>19</v>
      </c>
      <c r="C17" s="9" t="s">
        <v>20</v>
      </c>
      <c r="D17" s="10" t="n">
        <v>1</v>
      </c>
      <c r="E17" s="11" t="n">
        <v>0</v>
      </c>
      <c r="F17" s="12" t="n">
        <f aca="false">MAX(0,D17-E17)</f>
        <v>1</v>
      </c>
      <c r="G17" s="13" t="str">
        <f aca="false">IF(E17=0,"—",IF(F17&gt;0,"⚠ FALTA",IF(E17&gt;D17,"+ SOBRA","✓ OK")))</f>
        <v>—</v>
      </c>
    </row>
    <row r="18" customFormat="false" ht="15" hidden="false" customHeight="false" outlineLevel="0" collapsed="false">
      <c r="A18" s="7" t="s">
        <v>10</v>
      </c>
      <c r="B18" s="14" t="s">
        <v>19</v>
      </c>
      <c r="C18" s="15" t="s">
        <v>21</v>
      </c>
      <c r="D18" s="10" t="n">
        <v>1</v>
      </c>
      <c r="E18" s="11" t="n">
        <v>0</v>
      </c>
      <c r="F18" s="12" t="n">
        <f aca="false">MAX(0,D18-E18)</f>
        <v>1</v>
      </c>
      <c r="G18" s="13" t="str">
        <f aca="false">IF(E18=0,"—",IF(F18&gt;0,"⚠ FALTA",IF(E18&gt;D18,"+ SOBRA","✓ OK")))</f>
        <v>—</v>
      </c>
    </row>
    <row r="19" customFormat="false" ht="15" hidden="false" customHeight="false" outlineLevel="0" collapsed="false">
      <c r="A19" s="7" t="s">
        <v>10</v>
      </c>
      <c r="B19" s="8" t="s">
        <v>19</v>
      </c>
      <c r="C19" s="9" t="s">
        <v>22</v>
      </c>
      <c r="D19" s="10" t="n">
        <v>2</v>
      </c>
      <c r="E19" s="11" t="n">
        <v>0</v>
      </c>
      <c r="F19" s="12" t="n">
        <f aca="false">MAX(0,D19-E19)</f>
        <v>2</v>
      </c>
      <c r="G19" s="13" t="str">
        <f aca="false">IF(E19=0,"—",IF(F19&gt;0,"⚠ FALTA",IF(E19&gt;D19,"+ SOBRA","✓ OK")))</f>
        <v>—</v>
      </c>
    </row>
    <row r="20" customFormat="false" ht="15" hidden="false" customHeight="false" outlineLevel="0" collapsed="false">
      <c r="A20" s="7" t="s">
        <v>10</v>
      </c>
      <c r="B20" s="14" t="s">
        <v>19</v>
      </c>
      <c r="C20" s="15" t="s">
        <v>23</v>
      </c>
      <c r="D20" s="10" t="n">
        <v>2</v>
      </c>
      <c r="E20" s="11" t="n">
        <v>0</v>
      </c>
      <c r="F20" s="12" t="n">
        <f aca="false">MAX(0,D20-E20)</f>
        <v>2</v>
      </c>
      <c r="G20" s="13" t="str">
        <f aca="false">IF(E20=0,"—",IF(F20&gt;0,"⚠ FALTA",IF(E20&gt;D20,"+ SOBRA","✓ OK")))</f>
        <v>—</v>
      </c>
    </row>
    <row r="21" customFormat="false" ht="15" hidden="false" customHeight="false" outlineLevel="0" collapsed="false">
      <c r="A21" s="7" t="s">
        <v>10</v>
      </c>
      <c r="B21" s="8" t="s">
        <v>19</v>
      </c>
      <c r="C21" s="9" t="s">
        <v>24</v>
      </c>
      <c r="D21" s="10" t="n">
        <v>1</v>
      </c>
      <c r="E21" s="11" t="n">
        <v>0</v>
      </c>
      <c r="F21" s="12" t="n">
        <f aca="false">MAX(0,D21-E21)</f>
        <v>1</v>
      </c>
      <c r="G21" s="13" t="str">
        <f aca="false">IF(E21=0,"—",IF(F21&gt;0,"⚠ FALTA",IF(E21&gt;D21,"+ SOBRA","✓ OK")))</f>
        <v>—</v>
      </c>
    </row>
    <row r="22" customFormat="false" ht="15" hidden="false" customHeight="false" outlineLevel="0" collapsed="false">
      <c r="A22" s="7" t="s">
        <v>10</v>
      </c>
      <c r="B22" s="14" t="s">
        <v>19</v>
      </c>
      <c r="C22" s="15" t="s">
        <v>25</v>
      </c>
      <c r="D22" s="10" t="n">
        <v>1</v>
      </c>
      <c r="E22" s="11" t="n">
        <v>0</v>
      </c>
      <c r="F22" s="12" t="n">
        <f aca="false">MAX(0,D22-E22)</f>
        <v>1</v>
      </c>
      <c r="G22" s="13" t="str">
        <f aca="false">IF(E22=0,"—",IF(F22&gt;0,"⚠ FALTA",IF(E22&gt;D22,"+ SOBRA","✓ OK")))</f>
        <v>—</v>
      </c>
    </row>
    <row r="23" customFormat="false" ht="15" hidden="false" customHeight="false" outlineLevel="0" collapsed="false">
      <c r="A23" s="7" t="s">
        <v>26</v>
      </c>
      <c r="B23" s="8" t="s">
        <v>11</v>
      </c>
      <c r="C23" s="9" t="s">
        <v>12</v>
      </c>
      <c r="D23" s="10" t="n">
        <v>14</v>
      </c>
      <c r="E23" s="11" t="n">
        <v>0</v>
      </c>
      <c r="F23" s="12" t="n">
        <f aca="false">MAX(0,D23-E23)</f>
        <v>14</v>
      </c>
      <c r="G23" s="13" t="str">
        <f aca="false">IF(E23=0,"—",IF(F23&gt;0,"⚠ FALTA",IF(E23&gt;D23,"+ SOBRA","✓ OK")))</f>
        <v>—</v>
      </c>
    </row>
    <row r="24" customFormat="false" ht="15" hidden="false" customHeight="false" outlineLevel="0" collapsed="false">
      <c r="A24" s="7" t="s">
        <v>26</v>
      </c>
      <c r="B24" s="14" t="s">
        <v>11</v>
      </c>
      <c r="C24" s="15" t="s">
        <v>13</v>
      </c>
      <c r="D24" s="10" t="n">
        <v>16</v>
      </c>
      <c r="E24" s="11" t="n">
        <v>0</v>
      </c>
      <c r="F24" s="12" t="n">
        <f aca="false">MAX(0,D24-E24)</f>
        <v>16</v>
      </c>
      <c r="G24" s="13" t="str">
        <f aca="false">IF(E24=0,"—",IF(F24&gt;0,"⚠ FALTA",IF(E24&gt;D24,"+ SOBRA","✓ OK")))</f>
        <v>—</v>
      </c>
    </row>
    <row r="25" customFormat="false" ht="15" hidden="false" customHeight="false" outlineLevel="0" collapsed="false">
      <c r="A25" s="7" t="s">
        <v>26</v>
      </c>
      <c r="B25" s="8" t="s">
        <v>11</v>
      </c>
      <c r="C25" s="9" t="s">
        <v>14</v>
      </c>
      <c r="D25" s="10" t="n">
        <v>19</v>
      </c>
      <c r="E25" s="11" t="n">
        <v>0</v>
      </c>
      <c r="F25" s="12" t="n">
        <f aca="false">MAX(0,D25-E25)</f>
        <v>19</v>
      </c>
      <c r="G25" s="13" t="str">
        <f aca="false">IF(E25=0,"—",IF(F25&gt;0,"⚠ FALTA",IF(E25&gt;D25,"+ SOBRA","✓ OK")))</f>
        <v>—</v>
      </c>
    </row>
    <row r="26" customFormat="false" ht="15" hidden="false" customHeight="false" outlineLevel="0" collapsed="false">
      <c r="A26" s="7" t="s">
        <v>26</v>
      </c>
      <c r="B26" s="14" t="s">
        <v>11</v>
      </c>
      <c r="C26" s="15" t="s">
        <v>15</v>
      </c>
      <c r="D26" s="10" t="n">
        <v>6</v>
      </c>
      <c r="E26" s="11" t="n">
        <v>0</v>
      </c>
      <c r="F26" s="12" t="n">
        <f aca="false">MAX(0,D26-E26)</f>
        <v>6</v>
      </c>
      <c r="G26" s="13" t="str">
        <f aca="false">IF(E26=0,"—",IF(F26&gt;0,"⚠ FALTA",IF(E26&gt;D26,"+ SOBRA","✓ OK")))</f>
        <v>—</v>
      </c>
    </row>
    <row r="27" customFormat="false" ht="15" hidden="false" customHeight="false" outlineLevel="0" collapsed="false">
      <c r="A27" s="7" t="s">
        <v>26</v>
      </c>
      <c r="B27" s="8" t="s">
        <v>11</v>
      </c>
      <c r="C27" s="9" t="s">
        <v>16</v>
      </c>
      <c r="D27" s="10" t="n">
        <v>2</v>
      </c>
      <c r="E27" s="11" t="n">
        <v>0</v>
      </c>
      <c r="F27" s="12" t="n">
        <f aca="false">MAX(0,D27-E27)</f>
        <v>2</v>
      </c>
      <c r="G27" s="13" t="str">
        <f aca="false">IF(E27=0,"—",IF(F27&gt;0,"⚠ FALTA",IF(E27&gt;D27,"+ SOBRA","✓ OK")))</f>
        <v>—</v>
      </c>
    </row>
    <row r="28" customFormat="false" ht="15" hidden="false" customHeight="false" outlineLevel="0" collapsed="false">
      <c r="A28" s="7" t="s">
        <v>26</v>
      </c>
      <c r="B28" s="14" t="s">
        <v>11</v>
      </c>
      <c r="C28" s="15" t="s">
        <v>17</v>
      </c>
      <c r="D28" s="10" t="n">
        <v>2</v>
      </c>
      <c r="E28" s="11" t="n">
        <v>0</v>
      </c>
      <c r="F28" s="12" t="n">
        <f aca="false">MAX(0,D28-E28)</f>
        <v>2</v>
      </c>
      <c r="G28" s="13" t="str">
        <f aca="false">IF(E28=0,"—",IF(F28&gt;0,"⚠ FALTA",IF(E28&gt;D28,"+ SOBRA","✓ OK")))</f>
        <v>—</v>
      </c>
    </row>
    <row r="29" customFormat="false" ht="15" hidden="false" customHeight="false" outlineLevel="0" collapsed="false">
      <c r="A29" s="7" t="s">
        <v>26</v>
      </c>
      <c r="B29" s="8" t="s">
        <v>11</v>
      </c>
      <c r="C29" s="9" t="s">
        <v>27</v>
      </c>
      <c r="D29" s="10" t="n">
        <v>2</v>
      </c>
      <c r="E29" s="11" t="n">
        <v>0</v>
      </c>
      <c r="F29" s="12" t="n">
        <f aca="false">MAX(0,D29-E29)</f>
        <v>2</v>
      </c>
      <c r="G29" s="13" t="str">
        <f aca="false">IF(E29=0,"—",IF(F29&gt;0,"⚠ FALTA",IF(E29&gt;D29,"+ SOBRA","✓ OK")))</f>
        <v>—</v>
      </c>
    </row>
    <row r="30" customFormat="false" ht="15" hidden="false" customHeight="false" outlineLevel="0" collapsed="false">
      <c r="A30" s="7" t="s">
        <v>26</v>
      </c>
      <c r="B30" s="14" t="s">
        <v>18</v>
      </c>
      <c r="C30" s="15" t="s">
        <v>12</v>
      </c>
      <c r="D30" s="10" t="n">
        <v>5</v>
      </c>
      <c r="E30" s="11" t="n">
        <v>0</v>
      </c>
      <c r="F30" s="12" t="n">
        <f aca="false">MAX(0,D30-E30)</f>
        <v>5</v>
      </c>
      <c r="G30" s="13" t="str">
        <f aca="false">IF(E30=0,"—",IF(F30&gt;0,"⚠ FALTA",IF(E30&gt;D30,"+ SOBRA","✓ OK")))</f>
        <v>—</v>
      </c>
    </row>
    <row r="31" customFormat="false" ht="15" hidden="false" customHeight="false" outlineLevel="0" collapsed="false">
      <c r="A31" s="7" t="s">
        <v>26</v>
      </c>
      <c r="B31" s="8" t="s">
        <v>18</v>
      </c>
      <c r="C31" s="9" t="s">
        <v>13</v>
      </c>
      <c r="D31" s="10" t="n">
        <v>10</v>
      </c>
      <c r="E31" s="11" t="n">
        <v>0</v>
      </c>
      <c r="F31" s="12" t="n">
        <f aca="false">MAX(0,D31-E31)</f>
        <v>10</v>
      </c>
      <c r="G31" s="13" t="str">
        <f aca="false">IF(E31=0,"—",IF(F31&gt;0,"⚠ FALTA",IF(E31&gt;D31,"+ SOBRA","✓ OK")))</f>
        <v>—</v>
      </c>
    </row>
    <row r="32" customFormat="false" ht="15" hidden="false" customHeight="false" outlineLevel="0" collapsed="false">
      <c r="A32" s="7" t="s">
        <v>26</v>
      </c>
      <c r="B32" s="14" t="s">
        <v>18</v>
      </c>
      <c r="C32" s="15" t="s">
        <v>14</v>
      </c>
      <c r="D32" s="10" t="n">
        <v>8</v>
      </c>
      <c r="E32" s="11" t="n">
        <v>0</v>
      </c>
      <c r="F32" s="12" t="n">
        <f aca="false">MAX(0,D32-E32)</f>
        <v>8</v>
      </c>
      <c r="G32" s="13" t="str">
        <f aca="false">IF(E32=0,"—",IF(F32&gt;0,"⚠ FALTA",IF(E32&gt;D32,"+ SOBRA","✓ OK")))</f>
        <v>—</v>
      </c>
    </row>
    <row r="33" customFormat="false" ht="15" hidden="false" customHeight="false" outlineLevel="0" collapsed="false">
      <c r="A33" s="7" t="s">
        <v>26</v>
      </c>
      <c r="B33" s="8" t="s">
        <v>18</v>
      </c>
      <c r="C33" s="9" t="s">
        <v>15</v>
      </c>
      <c r="D33" s="10" t="n">
        <v>12</v>
      </c>
      <c r="E33" s="11" t="n">
        <v>0</v>
      </c>
      <c r="F33" s="12" t="n">
        <f aca="false">MAX(0,D33-E33)</f>
        <v>12</v>
      </c>
      <c r="G33" s="13" t="str">
        <f aca="false">IF(E33=0,"—",IF(F33&gt;0,"⚠ FALTA",IF(E33&gt;D33,"+ SOBRA","✓ OK")))</f>
        <v>—</v>
      </c>
    </row>
    <row r="34" customFormat="false" ht="15" hidden="false" customHeight="false" outlineLevel="0" collapsed="false">
      <c r="A34" s="7" t="s">
        <v>26</v>
      </c>
      <c r="B34" s="14" t="s">
        <v>18</v>
      </c>
      <c r="C34" s="15" t="s">
        <v>16</v>
      </c>
      <c r="D34" s="10" t="n">
        <v>6</v>
      </c>
      <c r="E34" s="11" t="n">
        <v>0</v>
      </c>
      <c r="F34" s="12" t="n">
        <f aca="false">MAX(0,D34-E34)</f>
        <v>6</v>
      </c>
      <c r="G34" s="13" t="str">
        <f aca="false">IF(E34=0,"—",IF(F34&gt;0,"⚠ FALTA",IF(E34&gt;D34,"+ SOBRA","✓ OK")))</f>
        <v>—</v>
      </c>
    </row>
    <row r="35" customFormat="false" ht="15" hidden="false" customHeight="false" outlineLevel="0" collapsed="false">
      <c r="A35" s="7" t="s">
        <v>26</v>
      </c>
      <c r="B35" s="8" t="s">
        <v>18</v>
      </c>
      <c r="C35" s="9" t="s">
        <v>17</v>
      </c>
      <c r="D35" s="10" t="n">
        <v>3</v>
      </c>
      <c r="E35" s="11" t="n">
        <v>0</v>
      </c>
      <c r="F35" s="12" t="n">
        <f aca="false">MAX(0,D35-E35)</f>
        <v>3</v>
      </c>
      <c r="G35" s="13" t="str">
        <f aca="false">IF(E35=0,"—",IF(F35&gt;0,"⚠ FALTA",IF(E35&gt;D35,"+ SOBRA","✓ OK")))</f>
        <v>—</v>
      </c>
    </row>
    <row r="36" customFormat="false" ht="15" hidden="false" customHeight="false" outlineLevel="0" collapsed="false">
      <c r="A36" s="7" t="s">
        <v>26</v>
      </c>
      <c r="B36" s="14" t="s">
        <v>18</v>
      </c>
      <c r="C36" s="15" t="s">
        <v>28</v>
      </c>
      <c r="D36" s="10" t="n">
        <v>1</v>
      </c>
      <c r="E36" s="11" t="n">
        <v>0</v>
      </c>
      <c r="F36" s="12" t="n">
        <f aca="false">MAX(0,D36-E36)</f>
        <v>1</v>
      </c>
      <c r="G36" s="13" t="str">
        <f aca="false">IF(E36=0,"—",IF(F36&gt;0,"⚠ FALTA",IF(E36&gt;D36,"+ SOBRA","✓ OK")))</f>
        <v>—</v>
      </c>
    </row>
    <row r="37" customFormat="false" ht="15" hidden="false" customHeight="false" outlineLevel="0" collapsed="false">
      <c r="A37" s="7" t="s">
        <v>26</v>
      </c>
      <c r="B37" s="8" t="s">
        <v>19</v>
      </c>
      <c r="C37" s="9" t="s">
        <v>20</v>
      </c>
      <c r="D37" s="10" t="n">
        <v>2</v>
      </c>
      <c r="E37" s="11" t="n">
        <v>0</v>
      </c>
      <c r="F37" s="12" t="n">
        <f aca="false">MAX(0,D37-E37)</f>
        <v>2</v>
      </c>
      <c r="G37" s="13" t="str">
        <f aca="false">IF(E37=0,"—",IF(F37&gt;0,"⚠ FALTA",IF(E37&gt;D37,"+ SOBRA","✓ OK")))</f>
        <v>—</v>
      </c>
    </row>
    <row r="38" customFormat="false" ht="15" hidden="false" customHeight="false" outlineLevel="0" collapsed="false">
      <c r="A38" s="7" t="s">
        <v>26</v>
      </c>
      <c r="B38" s="14" t="s">
        <v>19</v>
      </c>
      <c r="C38" s="15" t="s">
        <v>21</v>
      </c>
      <c r="D38" s="10" t="n">
        <v>4</v>
      </c>
      <c r="E38" s="11" t="n">
        <v>0</v>
      </c>
      <c r="F38" s="12" t="n">
        <f aca="false">MAX(0,D38-E38)</f>
        <v>4</v>
      </c>
      <c r="G38" s="13" t="str">
        <f aca="false">IF(E38=0,"—",IF(F38&gt;0,"⚠ FALTA",IF(E38&gt;D38,"+ SOBRA","✓ OK")))</f>
        <v>—</v>
      </c>
    </row>
    <row r="39" customFormat="false" ht="15" hidden="false" customHeight="false" outlineLevel="0" collapsed="false">
      <c r="A39" s="7" t="s">
        <v>26</v>
      </c>
      <c r="B39" s="8" t="s">
        <v>19</v>
      </c>
      <c r="C39" s="9" t="s">
        <v>29</v>
      </c>
      <c r="D39" s="10" t="n">
        <v>3</v>
      </c>
      <c r="E39" s="11" t="n">
        <v>0</v>
      </c>
      <c r="F39" s="12" t="n">
        <f aca="false">MAX(0,D39-E39)</f>
        <v>3</v>
      </c>
      <c r="G39" s="13" t="str">
        <f aca="false">IF(E39=0,"—",IF(F39&gt;0,"⚠ FALTA",IF(E39&gt;D39,"+ SOBRA","✓ OK")))</f>
        <v>—</v>
      </c>
    </row>
    <row r="40" customFormat="false" ht="15" hidden="false" customHeight="false" outlineLevel="0" collapsed="false">
      <c r="A40" s="7" t="s">
        <v>26</v>
      </c>
      <c r="B40" s="14" t="s">
        <v>19</v>
      </c>
      <c r="C40" s="15" t="s">
        <v>22</v>
      </c>
      <c r="D40" s="10" t="n">
        <v>2</v>
      </c>
      <c r="E40" s="11" t="n">
        <v>0</v>
      </c>
      <c r="F40" s="12" t="n">
        <f aca="false">MAX(0,D40-E40)</f>
        <v>2</v>
      </c>
      <c r="G40" s="13" t="str">
        <f aca="false">IF(E40=0,"—",IF(F40&gt;0,"⚠ FALTA",IF(E40&gt;D40,"+ SOBRA","✓ OK")))</f>
        <v>—</v>
      </c>
    </row>
    <row r="41" customFormat="false" ht="15" hidden="false" customHeight="false" outlineLevel="0" collapsed="false">
      <c r="A41" s="7" t="s">
        <v>26</v>
      </c>
      <c r="B41" s="8" t="s">
        <v>19</v>
      </c>
      <c r="C41" s="9" t="s">
        <v>23</v>
      </c>
      <c r="D41" s="10" t="n">
        <v>2</v>
      </c>
      <c r="E41" s="11" t="n">
        <v>0</v>
      </c>
      <c r="F41" s="12" t="n">
        <f aca="false">MAX(0,D41-E41)</f>
        <v>2</v>
      </c>
      <c r="G41" s="13" t="str">
        <f aca="false">IF(E41=0,"—",IF(F41&gt;0,"⚠ FALTA",IF(E41&gt;D41,"+ SOBRA","✓ OK")))</f>
        <v>—</v>
      </c>
    </row>
    <row r="42" customFormat="false" ht="15" hidden="false" customHeight="false" outlineLevel="0" collapsed="false">
      <c r="A42" s="7" t="s">
        <v>26</v>
      </c>
      <c r="B42" s="14" t="s">
        <v>19</v>
      </c>
      <c r="C42" s="15" t="s">
        <v>24</v>
      </c>
      <c r="D42" s="10" t="n">
        <v>1</v>
      </c>
      <c r="E42" s="11" t="n">
        <v>0</v>
      </c>
      <c r="F42" s="12" t="n">
        <f aca="false">MAX(0,D42-E42)</f>
        <v>1</v>
      </c>
      <c r="G42" s="13" t="str">
        <f aca="false">IF(E42=0,"—",IF(F42&gt;0,"⚠ FALTA",IF(E42&gt;D42,"+ SOBRA","✓ OK")))</f>
        <v>—</v>
      </c>
    </row>
    <row r="43" customFormat="false" ht="15" hidden="false" customHeight="false" outlineLevel="0" collapsed="false">
      <c r="A43" s="7" t="s">
        <v>26</v>
      </c>
      <c r="B43" s="8" t="s">
        <v>19</v>
      </c>
      <c r="C43" s="9" t="s">
        <v>30</v>
      </c>
      <c r="D43" s="10" t="n">
        <v>1</v>
      </c>
      <c r="E43" s="11" t="n">
        <v>0</v>
      </c>
      <c r="F43" s="12" t="n">
        <f aca="false">MAX(0,D43-E43)</f>
        <v>1</v>
      </c>
      <c r="G43" s="13" t="str">
        <f aca="false">IF(E43=0,"—",IF(F43&gt;0,"⚠ FALTA",IF(E43&gt;D43,"+ SOBRA","✓ OK")))</f>
        <v>—</v>
      </c>
    </row>
    <row r="44" customFormat="false" ht="15" hidden="false" customHeight="false" outlineLevel="0" collapsed="false">
      <c r="A44" s="7" t="s">
        <v>26</v>
      </c>
      <c r="B44" s="14" t="s">
        <v>19</v>
      </c>
      <c r="C44" s="15" t="s">
        <v>25</v>
      </c>
      <c r="D44" s="10" t="n">
        <v>2</v>
      </c>
      <c r="E44" s="11" t="n">
        <v>0</v>
      </c>
      <c r="F44" s="12" t="n">
        <f aca="false">MAX(0,D44-E44)</f>
        <v>2</v>
      </c>
      <c r="G44" s="13" t="str">
        <f aca="false">IF(E44=0,"—",IF(F44&gt;0,"⚠ FALTA",IF(E44&gt;D44,"+ SOBRA","✓ OK")))</f>
        <v>—</v>
      </c>
    </row>
    <row r="45" customFormat="false" ht="15" hidden="false" customHeight="false" outlineLevel="0" collapsed="false">
      <c r="A45" s="7" t="s">
        <v>31</v>
      </c>
      <c r="B45" s="8" t="s">
        <v>11</v>
      </c>
      <c r="C45" s="9" t="s">
        <v>12</v>
      </c>
      <c r="D45" s="10" t="n">
        <v>12</v>
      </c>
      <c r="E45" s="11" t="n">
        <v>0</v>
      </c>
      <c r="F45" s="12" t="n">
        <f aca="false">MAX(0,D45-E45)</f>
        <v>12</v>
      </c>
      <c r="G45" s="13" t="str">
        <f aca="false">IF(E45=0,"—",IF(F45&gt;0,"⚠ FALTA",IF(E45&gt;D45,"+ SOBRA","✓ OK")))</f>
        <v>—</v>
      </c>
    </row>
    <row r="46" customFormat="false" ht="15" hidden="false" customHeight="false" outlineLevel="0" collapsed="false">
      <c r="A46" s="7" t="s">
        <v>31</v>
      </c>
      <c r="B46" s="14" t="s">
        <v>11</v>
      </c>
      <c r="C46" s="15" t="s">
        <v>13</v>
      </c>
      <c r="D46" s="10" t="n">
        <v>15</v>
      </c>
      <c r="E46" s="11" t="n">
        <v>0</v>
      </c>
      <c r="F46" s="12" t="n">
        <f aca="false">MAX(0,D46-E46)</f>
        <v>15</v>
      </c>
      <c r="G46" s="13" t="str">
        <f aca="false">IF(E46=0,"—",IF(F46&gt;0,"⚠ FALTA",IF(E46&gt;D46,"+ SOBRA","✓ OK")))</f>
        <v>—</v>
      </c>
    </row>
    <row r="47" customFormat="false" ht="15" hidden="false" customHeight="false" outlineLevel="0" collapsed="false">
      <c r="A47" s="7" t="s">
        <v>31</v>
      </c>
      <c r="B47" s="8" t="s">
        <v>11</v>
      </c>
      <c r="C47" s="9" t="s">
        <v>14</v>
      </c>
      <c r="D47" s="10" t="n">
        <v>25</v>
      </c>
      <c r="E47" s="11" t="n">
        <v>0</v>
      </c>
      <c r="F47" s="12" t="n">
        <f aca="false">MAX(0,D47-E47)</f>
        <v>25</v>
      </c>
      <c r="G47" s="13" t="str">
        <f aca="false">IF(E47=0,"—",IF(F47&gt;0,"⚠ FALTA",IF(E47&gt;D47,"+ SOBRA","✓ OK")))</f>
        <v>—</v>
      </c>
    </row>
    <row r="48" customFormat="false" ht="15" hidden="false" customHeight="false" outlineLevel="0" collapsed="false">
      <c r="A48" s="7" t="s">
        <v>31</v>
      </c>
      <c r="B48" s="14" t="s">
        <v>11</v>
      </c>
      <c r="C48" s="15" t="s">
        <v>15</v>
      </c>
      <c r="D48" s="10" t="n">
        <v>8</v>
      </c>
      <c r="E48" s="11" t="n">
        <v>0</v>
      </c>
      <c r="F48" s="12" t="n">
        <f aca="false">MAX(0,D48-E48)</f>
        <v>8</v>
      </c>
      <c r="G48" s="13" t="str">
        <f aca="false">IF(E48=0,"—",IF(F48&gt;0,"⚠ FALTA",IF(E48&gt;D48,"+ SOBRA","✓ OK")))</f>
        <v>—</v>
      </c>
    </row>
    <row r="49" customFormat="false" ht="15" hidden="false" customHeight="false" outlineLevel="0" collapsed="false">
      <c r="A49" s="7" t="s">
        <v>31</v>
      </c>
      <c r="B49" s="8" t="s">
        <v>11</v>
      </c>
      <c r="C49" s="9" t="s">
        <v>16</v>
      </c>
      <c r="D49" s="10" t="n">
        <v>2</v>
      </c>
      <c r="E49" s="11" t="n">
        <v>0</v>
      </c>
      <c r="F49" s="12" t="n">
        <f aca="false">MAX(0,D49-E49)</f>
        <v>2</v>
      </c>
      <c r="G49" s="13" t="str">
        <f aca="false">IF(E49=0,"—",IF(F49&gt;0,"⚠ FALTA",IF(E49&gt;D49,"+ SOBRA","✓ OK")))</f>
        <v>—</v>
      </c>
    </row>
    <row r="50" customFormat="false" ht="15" hidden="false" customHeight="false" outlineLevel="0" collapsed="false">
      <c r="A50" s="7" t="s">
        <v>31</v>
      </c>
      <c r="B50" s="14" t="s">
        <v>11</v>
      </c>
      <c r="C50" s="15" t="s">
        <v>17</v>
      </c>
      <c r="D50" s="10" t="n">
        <v>2</v>
      </c>
      <c r="E50" s="11" t="n">
        <v>0</v>
      </c>
      <c r="F50" s="12" t="n">
        <f aca="false">MAX(0,D50-E50)</f>
        <v>2</v>
      </c>
      <c r="G50" s="13" t="str">
        <f aca="false">IF(E50=0,"—",IF(F50&gt;0,"⚠ FALTA",IF(E50&gt;D50,"+ SOBRA","✓ OK")))</f>
        <v>—</v>
      </c>
    </row>
    <row r="51" customFormat="false" ht="15" hidden="false" customHeight="false" outlineLevel="0" collapsed="false">
      <c r="A51" s="7" t="s">
        <v>31</v>
      </c>
      <c r="B51" s="8" t="s">
        <v>11</v>
      </c>
      <c r="C51" s="9" t="s">
        <v>27</v>
      </c>
      <c r="D51" s="10" t="n">
        <v>1</v>
      </c>
      <c r="E51" s="11" t="n">
        <v>0</v>
      </c>
      <c r="F51" s="12" t="n">
        <f aca="false">MAX(0,D51-E51)</f>
        <v>1</v>
      </c>
      <c r="G51" s="13" t="str">
        <f aca="false">IF(E51=0,"—",IF(F51&gt;0,"⚠ FALTA",IF(E51&gt;D51,"+ SOBRA","✓ OK")))</f>
        <v>—</v>
      </c>
    </row>
    <row r="52" customFormat="false" ht="15" hidden="false" customHeight="false" outlineLevel="0" collapsed="false">
      <c r="A52" s="7" t="s">
        <v>31</v>
      </c>
      <c r="B52" s="14" t="s">
        <v>18</v>
      </c>
      <c r="C52" s="15" t="s">
        <v>12</v>
      </c>
      <c r="D52" s="10" t="n">
        <v>2</v>
      </c>
      <c r="E52" s="11" t="n">
        <v>0</v>
      </c>
      <c r="F52" s="12" t="n">
        <f aca="false">MAX(0,D52-E52)</f>
        <v>2</v>
      </c>
      <c r="G52" s="13" t="str">
        <f aca="false">IF(E52=0,"—",IF(F52&gt;0,"⚠ FALTA",IF(E52&gt;D52,"+ SOBRA","✓ OK")))</f>
        <v>—</v>
      </c>
    </row>
    <row r="53" customFormat="false" ht="15" hidden="false" customHeight="false" outlineLevel="0" collapsed="false">
      <c r="A53" s="7" t="s">
        <v>31</v>
      </c>
      <c r="B53" s="8" t="s">
        <v>18</v>
      </c>
      <c r="C53" s="9" t="s">
        <v>13</v>
      </c>
      <c r="D53" s="10" t="n">
        <v>9</v>
      </c>
      <c r="E53" s="11" t="n">
        <v>0</v>
      </c>
      <c r="F53" s="12" t="n">
        <f aca="false">MAX(0,D53-E53)</f>
        <v>9</v>
      </c>
      <c r="G53" s="13" t="str">
        <f aca="false">IF(E53=0,"—",IF(F53&gt;0,"⚠ FALTA",IF(E53&gt;D53,"+ SOBRA","✓ OK")))</f>
        <v>—</v>
      </c>
    </row>
    <row r="54" customFormat="false" ht="15" hidden="false" customHeight="false" outlineLevel="0" collapsed="false">
      <c r="A54" s="7" t="s">
        <v>31</v>
      </c>
      <c r="B54" s="14" t="s">
        <v>18</v>
      </c>
      <c r="C54" s="15" t="s">
        <v>14</v>
      </c>
      <c r="D54" s="10" t="n">
        <v>13</v>
      </c>
      <c r="E54" s="11" t="n">
        <v>0</v>
      </c>
      <c r="F54" s="12" t="n">
        <f aca="false">MAX(0,D54-E54)</f>
        <v>13</v>
      </c>
      <c r="G54" s="13" t="str">
        <f aca="false">IF(E54=0,"—",IF(F54&gt;0,"⚠ FALTA",IF(E54&gt;D54,"+ SOBRA","✓ OK")))</f>
        <v>—</v>
      </c>
    </row>
    <row r="55" customFormat="false" ht="15" hidden="false" customHeight="false" outlineLevel="0" collapsed="false">
      <c r="A55" s="7" t="s">
        <v>31</v>
      </c>
      <c r="B55" s="8" t="s">
        <v>18</v>
      </c>
      <c r="C55" s="9" t="s">
        <v>15</v>
      </c>
      <c r="D55" s="10" t="n">
        <v>7</v>
      </c>
      <c r="E55" s="11" t="n">
        <v>0</v>
      </c>
      <c r="F55" s="12" t="n">
        <f aca="false">MAX(0,D55-E55)</f>
        <v>7</v>
      </c>
      <c r="G55" s="13" t="str">
        <f aca="false">IF(E55=0,"—",IF(F55&gt;0,"⚠ FALTA",IF(E55&gt;D55,"+ SOBRA","✓ OK")))</f>
        <v>—</v>
      </c>
    </row>
    <row r="56" customFormat="false" ht="15" hidden="false" customHeight="false" outlineLevel="0" collapsed="false">
      <c r="A56" s="7" t="s">
        <v>31</v>
      </c>
      <c r="B56" s="14" t="s">
        <v>18</v>
      </c>
      <c r="C56" s="15" t="s">
        <v>16</v>
      </c>
      <c r="D56" s="10" t="n">
        <v>3</v>
      </c>
      <c r="E56" s="11" t="n">
        <v>0</v>
      </c>
      <c r="F56" s="12" t="n">
        <f aca="false">MAX(0,D56-E56)</f>
        <v>3</v>
      </c>
      <c r="G56" s="13" t="str">
        <f aca="false">IF(E56=0,"—",IF(F56&gt;0,"⚠ FALTA",IF(E56&gt;D56,"+ SOBRA","✓ OK")))</f>
        <v>—</v>
      </c>
    </row>
    <row r="57" customFormat="false" ht="15" hidden="false" customHeight="false" outlineLevel="0" collapsed="false">
      <c r="A57" s="7" t="s">
        <v>31</v>
      </c>
      <c r="B57" s="8" t="s">
        <v>18</v>
      </c>
      <c r="C57" s="9" t="s">
        <v>17</v>
      </c>
      <c r="D57" s="10" t="n">
        <v>4</v>
      </c>
      <c r="E57" s="11" t="n">
        <v>0</v>
      </c>
      <c r="F57" s="12" t="n">
        <f aca="false">MAX(0,D57-E57)</f>
        <v>4</v>
      </c>
      <c r="G57" s="13" t="str">
        <f aca="false">IF(E57=0,"—",IF(F57&gt;0,"⚠ FALTA",IF(E57&gt;D57,"+ SOBRA","✓ OK")))</f>
        <v>—</v>
      </c>
    </row>
    <row r="58" customFormat="false" ht="15" hidden="false" customHeight="false" outlineLevel="0" collapsed="false">
      <c r="A58" s="7" t="s">
        <v>31</v>
      </c>
      <c r="B58" s="14" t="s">
        <v>18</v>
      </c>
      <c r="C58" s="15" t="s">
        <v>27</v>
      </c>
      <c r="D58" s="10" t="n">
        <v>4</v>
      </c>
      <c r="E58" s="11" t="n">
        <v>0</v>
      </c>
      <c r="F58" s="12" t="n">
        <f aca="false">MAX(0,D58-E58)</f>
        <v>4</v>
      </c>
      <c r="G58" s="13" t="str">
        <f aca="false">IF(E58=0,"—",IF(F58&gt;0,"⚠ FALTA",IF(E58&gt;D58,"+ SOBRA","✓ OK")))</f>
        <v>—</v>
      </c>
    </row>
    <row r="59" customFormat="false" ht="15" hidden="false" customHeight="false" outlineLevel="0" collapsed="false">
      <c r="A59" s="7" t="s">
        <v>31</v>
      </c>
      <c r="B59" s="8" t="s">
        <v>19</v>
      </c>
      <c r="C59" s="9" t="s">
        <v>20</v>
      </c>
      <c r="D59" s="10" t="n">
        <v>1</v>
      </c>
      <c r="E59" s="11" t="n">
        <v>0</v>
      </c>
      <c r="F59" s="12" t="n">
        <f aca="false">MAX(0,D59-E59)</f>
        <v>1</v>
      </c>
      <c r="G59" s="13" t="str">
        <f aca="false">IF(E59=0,"—",IF(F59&gt;0,"⚠ FALTA",IF(E59&gt;D59,"+ SOBRA","✓ OK")))</f>
        <v>—</v>
      </c>
    </row>
    <row r="60" customFormat="false" ht="15" hidden="false" customHeight="false" outlineLevel="0" collapsed="false">
      <c r="A60" s="7" t="s">
        <v>31</v>
      </c>
      <c r="B60" s="14" t="s">
        <v>19</v>
      </c>
      <c r="C60" s="15" t="s">
        <v>21</v>
      </c>
      <c r="D60" s="10" t="n">
        <v>1</v>
      </c>
      <c r="E60" s="11" t="n">
        <v>0</v>
      </c>
      <c r="F60" s="12" t="n">
        <f aca="false">MAX(0,D60-E60)</f>
        <v>1</v>
      </c>
      <c r="G60" s="13" t="str">
        <f aca="false">IF(E60=0,"—",IF(F60&gt;0,"⚠ FALTA",IF(E60&gt;D60,"+ SOBRA","✓ OK")))</f>
        <v>—</v>
      </c>
    </row>
    <row r="61" customFormat="false" ht="15" hidden="false" customHeight="false" outlineLevel="0" collapsed="false">
      <c r="A61" s="7" t="s">
        <v>31</v>
      </c>
      <c r="B61" s="8" t="s">
        <v>19</v>
      </c>
      <c r="C61" s="9" t="s">
        <v>29</v>
      </c>
      <c r="D61" s="10" t="n">
        <v>2</v>
      </c>
      <c r="E61" s="11" t="n">
        <v>0</v>
      </c>
      <c r="F61" s="12" t="n">
        <f aca="false">MAX(0,D61-E61)</f>
        <v>2</v>
      </c>
      <c r="G61" s="13" t="str">
        <f aca="false">IF(E61=0,"—",IF(F61&gt;0,"⚠ FALTA",IF(E61&gt;D61,"+ SOBRA","✓ OK")))</f>
        <v>—</v>
      </c>
    </row>
    <row r="62" customFormat="false" ht="15" hidden="false" customHeight="false" outlineLevel="0" collapsed="false">
      <c r="A62" s="7" t="s">
        <v>31</v>
      </c>
      <c r="B62" s="14" t="s">
        <v>19</v>
      </c>
      <c r="C62" s="15" t="s">
        <v>22</v>
      </c>
      <c r="D62" s="10" t="n">
        <v>5</v>
      </c>
      <c r="E62" s="11" t="n">
        <v>0</v>
      </c>
      <c r="F62" s="12" t="n">
        <f aca="false">MAX(0,D62-E62)</f>
        <v>5</v>
      </c>
      <c r="G62" s="13" t="str">
        <f aca="false">IF(E62=0,"—",IF(F62&gt;0,"⚠ FALTA",IF(E62&gt;D62,"+ SOBRA","✓ OK")))</f>
        <v>—</v>
      </c>
    </row>
    <row r="63" customFormat="false" ht="15" hidden="false" customHeight="false" outlineLevel="0" collapsed="false">
      <c r="A63" s="7" t="s">
        <v>31</v>
      </c>
      <c r="B63" s="8" t="s">
        <v>19</v>
      </c>
      <c r="C63" s="9" t="s">
        <v>23</v>
      </c>
      <c r="D63" s="10" t="n">
        <v>4</v>
      </c>
      <c r="E63" s="11" t="n">
        <v>0</v>
      </c>
      <c r="F63" s="12" t="n">
        <f aca="false">MAX(0,D63-E63)</f>
        <v>4</v>
      </c>
      <c r="G63" s="13" t="str">
        <f aca="false">IF(E63=0,"—",IF(F63&gt;0,"⚠ FALTA",IF(E63&gt;D63,"+ SOBRA","✓ OK")))</f>
        <v>—</v>
      </c>
    </row>
    <row r="64" customFormat="false" ht="15" hidden="false" customHeight="false" outlineLevel="0" collapsed="false">
      <c r="A64" s="7" t="s">
        <v>31</v>
      </c>
      <c r="B64" s="14" t="s">
        <v>19</v>
      </c>
      <c r="C64" s="15" t="s">
        <v>24</v>
      </c>
      <c r="D64" s="10" t="n">
        <v>1</v>
      </c>
      <c r="E64" s="11" t="n">
        <v>0</v>
      </c>
      <c r="F64" s="12" t="n">
        <f aca="false">MAX(0,D64-E64)</f>
        <v>1</v>
      </c>
      <c r="G64" s="13" t="str">
        <f aca="false">IF(E64=0,"—",IF(F64&gt;0,"⚠ FALTA",IF(E64&gt;D64,"+ SOBRA","✓ OK")))</f>
        <v>—</v>
      </c>
    </row>
    <row r="65" customFormat="false" ht="15" hidden="false" customHeight="false" outlineLevel="0" collapsed="false">
      <c r="A65" s="7" t="s">
        <v>31</v>
      </c>
      <c r="B65" s="8" t="s">
        <v>19</v>
      </c>
      <c r="C65" s="9" t="s">
        <v>30</v>
      </c>
      <c r="D65" s="10" t="n">
        <v>4</v>
      </c>
      <c r="E65" s="11" t="n">
        <v>0</v>
      </c>
      <c r="F65" s="12" t="n">
        <f aca="false">MAX(0,D65-E65)</f>
        <v>4</v>
      </c>
      <c r="G65" s="13" t="str">
        <f aca="false">IF(E65=0,"—",IF(F65&gt;0,"⚠ FALTA",IF(E65&gt;D65,"+ SOBRA","✓ OK")))</f>
        <v>—</v>
      </c>
    </row>
    <row r="66" customFormat="false" ht="24" hidden="false" customHeight="true" outlineLevel="0" collapsed="false">
      <c r="A66" s="16" t="s">
        <v>32</v>
      </c>
      <c r="B66" s="16"/>
      <c r="C66" s="16"/>
      <c r="D66" s="17" t="n">
        <f aca="false">SUM(D5:D65)</f>
        <v>305</v>
      </c>
      <c r="E66" s="17" t="n">
        <f aca="false">SUM(E5:E65)</f>
        <v>0</v>
      </c>
      <c r="F66" s="18" t="n">
        <f aca="false">SUM(F5:F65)</f>
        <v>305</v>
      </c>
      <c r="G66" s="19"/>
    </row>
  </sheetData>
  <mergeCells count="4">
    <mergeCell ref="A1:G1"/>
    <mergeCell ref="A2:G2"/>
    <mergeCell ref="A3:G3"/>
    <mergeCell ref="A66:C66"/>
  </mergeCells>
  <conditionalFormatting sqref="F5:F65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G5:G65">
    <cfRule type="expression" priority="4" aboveAverage="0" equalAverage="0" bottom="0" percent="0" rank="0" text="" dxfId="0">
      <formula>F5&gt;0</formula>
    </cfRule>
    <cfRule type="expression" priority="5" aboveAverage="0" equalAverage="0" bottom="0" percent="0" rank="0" text="" dxfId="1">
      <formula>AND(E5&gt;0,F5=0)</formula>
    </cfRule>
  </conditionalFormatting>
  <hyperlinks>
    <hyperlink ref="A3" r:id="rId1" location="'Lista%20Faltantes'!A1" display="▶  CLIQUE AQUI PARA VER A LISTA DE FALTANTES  ▶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20" t="s">
        <v>33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21" t="s">
        <v>34</v>
      </c>
      <c r="B2" s="21"/>
      <c r="C2" s="21"/>
      <c r="D2" s="21"/>
      <c r="E2" s="21"/>
      <c r="F2" s="21"/>
    </row>
    <row r="3" customFormat="false" ht="21.75" hidden="false" customHeight="true" outlineLevel="0" collapsed="false">
      <c r="A3" s="4" t="s">
        <v>3</v>
      </c>
      <c r="B3" s="4" t="s">
        <v>4</v>
      </c>
      <c r="C3" s="4" t="s">
        <v>5</v>
      </c>
      <c r="D3" s="5" t="s">
        <v>6</v>
      </c>
      <c r="E3" s="4" t="s">
        <v>35</v>
      </c>
      <c r="F3" s="6" t="s">
        <v>36</v>
      </c>
    </row>
    <row r="4" customFormat="false" ht="18" hidden="false" customHeight="true" outlineLevel="0" collapsed="false">
      <c r="A4" s="22" t="str">
        <f aca="false">IFERROR(IF(ROWS(filter(Contagem!A5:F65,Contagem!F5:F65&gt;0))=0,"✓ Nenhum faltante — estoque completo!",filter(Contagem!A5:F65,Contagem!F5:F65&gt;0,"✓ Nenhum faltante")),"⚠ Atualize para Excel 365 ou use a aba Para Fabricação")</f>
        <v>⚠ Atualize para Excel 365 ou use a aba Para Fabricação</v>
      </c>
      <c r="B4" s="22"/>
      <c r="C4" s="22"/>
      <c r="D4" s="22"/>
      <c r="E4" s="22"/>
      <c r="F4" s="22"/>
    </row>
    <row r="6" customFormat="false" ht="13.5" hidden="false" customHeight="true" outlineLevel="0" collapsed="false">
      <c r="A6" s="23" t="s">
        <v>37</v>
      </c>
      <c r="B6" s="23"/>
      <c r="C6" s="23"/>
      <c r="D6" s="23"/>
      <c r="E6" s="23"/>
      <c r="F6" s="23"/>
    </row>
    <row r="7" customFormat="false" ht="15" hidden="false" customHeight="false" outlineLevel="0" collapsed="false">
      <c r="A7" s="24" t="str">
        <f aca="false">Contagem!A5</f>
        <v>Layout A</v>
      </c>
      <c r="B7" s="8" t="str">
        <f aca="false">Contagem!B5</f>
        <v>Normal</v>
      </c>
      <c r="C7" s="9" t="str">
        <f aca="false">Contagem!C5</f>
        <v>P</v>
      </c>
      <c r="D7" s="25" t="n">
        <f aca="false">Contagem!D5</f>
        <v>2</v>
      </c>
      <c r="E7" s="11" t="n">
        <f aca="false">Contagem!E5</f>
        <v>0</v>
      </c>
      <c r="F7" s="26" t="n">
        <f aca="false">Contagem!F5</f>
        <v>2</v>
      </c>
    </row>
    <row r="8" customFormat="false" ht="15" hidden="false" customHeight="false" outlineLevel="0" collapsed="false">
      <c r="A8" s="24" t="str">
        <f aca="false">Contagem!A6</f>
        <v>Layout A</v>
      </c>
      <c r="B8" s="14" t="str">
        <f aca="false">Contagem!B6</f>
        <v>Normal</v>
      </c>
      <c r="C8" s="15" t="str">
        <f aca="false">Contagem!C6</f>
        <v>M</v>
      </c>
      <c r="D8" s="25" t="n">
        <f aca="false">Contagem!D6</f>
        <v>6</v>
      </c>
      <c r="E8" s="11" t="n">
        <f aca="false">Contagem!E6</f>
        <v>0</v>
      </c>
      <c r="F8" s="26" t="n">
        <f aca="false">Contagem!F6</f>
        <v>6</v>
      </c>
    </row>
    <row r="9" customFormat="false" ht="15" hidden="false" customHeight="false" outlineLevel="0" collapsed="false">
      <c r="A9" s="24" t="str">
        <f aca="false">Contagem!A7</f>
        <v>Layout A</v>
      </c>
      <c r="B9" s="8" t="str">
        <f aca="false">Contagem!B7</f>
        <v>Normal</v>
      </c>
      <c r="C9" s="9" t="str">
        <f aca="false">Contagem!C7</f>
        <v>G</v>
      </c>
      <c r="D9" s="25" t="n">
        <f aca="false">Contagem!D7</f>
        <v>13</v>
      </c>
      <c r="E9" s="11" t="n">
        <f aca="false">Contagem!E7</f>
        <v>0</v>
      </c>
      <c r="F9" s="26" t="n">
        <f aca="false">Contagem!F7</f>
        <v>13</v>
      </c>
    </row>
    <row r="10" customFormat="false" ht="15" hidden="false" customHeight="false" outlineLevel="0" collapsed="false">
      <c r="A10" s="24" t="str">
        <f aca="false">Contagem!A8</f>
        <v>Layout A</v>
      </c>
      <c r="B10" s="14" t="str">
        <f aca="false">Contagem!B8</f>
        <v>Normal</v>
      </c>
      <c r="C10" s="15" t="str">
        <f aca="false">Contagem!C8</f>
        <v>GG</v>
      </c>
      <c r="D10" s="25" t="n">
        <f aca="false">Contagem!D8</f>
        <v>3</v>
      </c>
      <c r="E10" s="11" t="n">
        <f aca="false">Contagem!E8</f>
        <v>0</v>
      </c>
      <c r="F10" s="26" t="n">
        <f aca="false">Contagem!F8</f>
        <v>3</v>
      </c>
    </row>
    <row r="11" customFormat="false" ht="15" hidden="false" customHeight="false" outlineLevel="0" collapsed="false">
      <c r="A11" s="24" t="str">
        <f aca="false">Contagem!A9</f>
        <v>Layout A</v>
      </c>
      <c r="B11" s="8" t="str">
        <f aca="false">Contagem!B9</f>
        <v>Normal</v>
      </c>
      <c r="C11" s="9" t="str">
        <f aca="false">Contagem!C9</f>
        <v>EG</v>
      </c>
      <c r="D11" s="25" t="n">
        <f aca="false">Contagem!D9</f>
        <v>3</v>
      </c>
      <c r="E11" s="11" t="n">
        <f aca="false">Contagem!E9</f>
        <v>0</v>
      </c>
      <c r="F11" s="26" t="n">
        <f aca="false">Contagem!F9</f>
        <v>3</v>
      </c>
    </row>
    <row r="12" customFormat="false" ht="15" hidden="false" customHeight="false" outlineLevel="0" collapsed="false">
      <c r="A12" s="24" t="str">
        <f aca="false">Contagem!A10</f>
        <v>Layout A</v>
      </c>
      <c r="B12" s="14" t="str">
        <f aca="false">Contagem!B10</f>
        <v>Normal</v>
      </c>
      <c r="C12" s="15" t="str">
        <f aca="false">Contagem!C10</f>
        <v>EXG</v>
      </c>
      <c r="D12" s="25" t="n">
        <f aca="false">Contagem!D10</f>
        <v>1</v>
      </c>
      <c r="E12" s="11" t="n">
        <f aca="false">Contagem!E10</f>
        <v>0</v>
      </c>
      <c r="F12" s="26" t="n">
        <f aca="false">Contagem!F10</f>
        <v>1</v>
      </c>
    </row>
    <row r="13" customFormat="false" ht="15" hidden="false" customHeight="false" outlineLevel="0" collapsed="false">
      <c r="A13" s="24" t="str">
        <f aca="false">Contagem!A11</f>
        <v>Layout A</v>
      </c>
      <c r="B13" s="8" t="str">
        <f aca="false">Contagem!B11</f>
        <v>Babylook</v>
      </c>
      <c r="C13" s="9" t="str">
        <f aca="false">Contagem!C11</f>
        <v>P</v>
      </c>
      <c r="D13" s="25" t="n">
        <f aca="false">Contagem!D11</f>
        <v>1</v>
      </c>
      <c r="E13" s="11" t="n">
        <f aca="false">Contagem!E11</f>
        <v>0</v>
      </c>
      <c r="F13" s="26" t="n">
        <f aca="false">Contagem!F11</f>
        <v>1</v>
      </c>
    </row>
    <row r="14" customFormat="false" ht="15" hidden="false" customHeight="false" outlineLevel="0" collapsed="false">
      <c r="A14" s="24" t="str">
        <f aca="false">Contagem!A12</f>
        <v>Layout A</v>
      </c>
      <c r="B14" s="14" t="str">
        <f aca="false">Contagem!B12</f>
        <v>Babylook</v>
      </c>
      <c r="C14" s="15" t="str">
        <f aca="false">Contagem!C12</f>
        <v>M</v>
      </c>
      <c r="D14" s="25" t="n">
        <f aca="false">Contagem!D12</f>
        <v>5</v>
      </c>
      <c r="E14" s="11" t="n">
        <f aca="false">Contagem!E12</f>
        <v>0</v>
      </c>
      <c r="F14" s="26" t="n">
        <f aca="false">Contagem!F12</f>
        <v>5</v>
      </c>
    </row>
    <row r="15" customFormat="false" ht="15" hidden="false" customHeight="false" outlineLevel="0" collapsed="false">
      <c r="A15" s="24" t="str">
        <f aca="false">Contagem!A13</f>
        <v>Layout A</v>
      </c>
      <c r="B15" s="8" t="str">
        <f aca="false">Contagem!B13</f>
        <v>Babylook</v>
      </c>
      <c r="C15" s="9" t="str">
        <f aca="false">Contagem!C13</f>
        <v>G</v>
      </c>
      <c r="D15" s="25" t="n">
        <f aca="false">Contagem!D13</f>
        <v>3</v>
      </c>
      <c r="E15" s="11" t="n">
        <f aca="false">Contagem!E13</f>
        <v>0</v>
      </c>
      <c r="F15" s="26" t="n">
        <f aca="false">Contagem!F13</f>
        <v>3</v>
      </c>
    </row>
    <row r="16" customFormat="false" ht="15" hidden="false" customHeight="false" outlineLevel="0" collapsed="false">
      <c r="A16" s="24" t="str">
        <f aca="false">Contagem!A14</f>
        <v>Layout A</v>
      </c>
      <c r="B16" s="14" t="str">
        <f aca="false">Contagem!B14</f>
        <v>Babylook</v>
      </c>
      <c r="C16" s="15" t="str">
        <f aca="false">Contagem!C14</f>
        <v>GG</v>
      </c>
      <c r="D16" s="25" t="n">
        <f aca="false">Contagem!D14</f>
        <v>4</v>
      </c>
      <c r="E16" s="11" t="n">
        <f aca="false">Contagem!E14</f>
        <v>0</v>
      </c>
      <c r="F16" s="26" t="n">
        <f aca="false">Contagem!F14</f>
        <v>4</v>
      </c>
    </row>
    <row r="17" customFormat="false" ht="15" hidden="false" customHeight="false" outlineLevel="0" collapsed="false">
      <c r="A17" s="24" t="str">
        <f aca="false">Contagem!A15</f>
        <v>Layout A</v>
      </c>
      <c r="B17" s="8" t="str">
        <f aca="false">Contagem!B15</f>
        <v>Babylook</v>
      </c>
      <c r="C17" s="9" t="str">
        <f aca="false">Contagem!C15</f>
        <v>EG</v>
      </c>
      <c r="D17" s="25" t="n">
        <f aca="false">Contagem!D15</f>
        <v>3</v>
      </c>
      <c r="E17" s="11" t="n">
        <f aca="false">Contagem!E15</f>
        <v>0</v>
      </c>
      <c r="F17" s="26" t="n">
        <f aca="false">Contagem!F15</f>
        <v>3</v>
      </c>
    </row>
    <row r="18" customFormat="false" ht="15" hidden="false" customHeight="false" outlineLevel="0" collapsed="false">
      <c r="A18" s="24" t="str">
        <f aca="false">Contagem!A16</f>
        <v>Layout A</v>
      </c>
      <c r="B18" s="14" t="str">
        <f aca="false">Contagem!B16</f>
        <v>Babylook</v>
      </c>
      <c r="C18" s="15" t="str">
        <f aca="false">Contagem!C16</f>
        <v>EXG</v>
      </c>
      <c r="D18" s="25" t="n">
        <f aca="false">Contagem!D16</f>
        <v>5</v>
      </c>
      <c r="E18" s="11" t="n">
        <f aca="false">Contagem!E16</f>
        <v>0</v>
      </c>
      <c r="F18" s="26" t="n">
        <f aca="false">Contagem!F16</f>
        <v>5</v>
      </c>
    </row>
    <row r="19" customFormat="false" ht="15" hidden="false" customHeight="false" outlineLevel="0" collapsed="false">
      <c r="A19" s="24" t="str">
        <f aca="false">Contagem!A17</f>
        <v>Layout A</v>
      </c>
      <c r="B19" s="8" t="str">
        <f aca="false">Contagem!B17</f>
        <v>Infantil</v>
      </c>
      <c r="C19" s="9" t="str">
        <f aca="false">Contagem!C17</f>
        <v>1</v>
      </c>
      <c r="D19" s="25" t="n">
        <f aca="false">Contagem!D17</f>
        <v>1</v>
      </c>
      <c r="E19" s="11" t="n">
        <f aca="false">Contagem!E17</f>
        <v>0</v>
      </c>
      <c r="F19" s="26" t="n">
        <f aca="false">Contagem!F17</f>
        <v>1</v>
      </c>
    </row>
    <row r="20" customFormat="false" ht="15" hidden="false" customHeight="false" outlineLevel="0" collapsed="false">
      <c r="A20" s="24" t="str">
        <f aca="false">Contagem!A18</f>
        <v>Layout A</v>
      </c>
      <c r="B20" s="14" t="str">
        <f aca="false">Contagem!B18</f>
        <v>Infantil</v>
      </c>
      <c r="C20" s="15" t="str">
        <f aca="false">Contagem!C18</f>
        <v>2</v>
      </c>
      <c r="D20" s="25" t="n">
        <f aca="false">Contagem!D18</f>
        <v>1</v>
      </c>
      <c r="E20" s="11" t="n">
        <f aca="false">Contagem!E18</f>
        <v>0</v>
      </c>
      <c r="F20" s="26" t="n">
        <f aca="false">Contagem!F18</f>
        <v>1</v>
      </c>
    </row>
    <row r="21" customFormat="false" ht="15" hidden="false" customHeight="false" outlineLevel="0" collapsed="false">
      <c r="A21" s="24" t="str">
        <f aca="false">Contagem!A19</f>
        <v>Layout A</v>
      </c>
      <c r="B21" s="8" t="str">
        <f aca="false">Contagem!B19</f>
        <v>Infantil</v>
      </c>
      <c r="C21" s="9" t="str">
        <f aca="false">Contagem!C19</f>
        <v>6</v>
      </c>
      <c r="D21" s="25" t="n">
        <f aca="false">Contagem!D19</f>
        <v>2</v>
      </c>
      <c r="E21" s="11" t="n">
        <f aca="false">Contagem!E19</f>
        <v>0</v>
      </c>
      <c r="F21" s="26" t="n">
        <f aca="false">Contagem!F19</f>
        <v>2</v>
      </c>
    </row>
    <row r="22" customFormat="false" ht="15" hidden="false" customHeight="false" outlineLevel="0" collapsed="false">
      <c r="A22" s="24" t="str">
        <f aca="false">Contagem!A20</f>
        <v>Layout A</v>
      </c>
      <c r="B22" s="14" t="str">
        <f aca="false">Contagem!B20</f>
        <v>Infantil</v>
      </c>
      <c r="C22" s="15" t="str">
        <f aca="false">Contagem!C20</f>
        <v>8</v>
      </c>
      <c r="D22" s="25" t="n">
        <f aca="false">Contagem!D20</f>
        <v>2</v>
      </c>
      <c r="E22" s="11" t="n">
        <f aca="false">Contagem!E20</f>
        <v>0</v>
      </c>
      <c r="F22" s="26" t="n">
        <f aca="false">Contagem!F20</f>
        <v>2</v>
      </c>
    </row>
    <row r="23" customFormat="false" ht="15" hidden="false" customHeight="false" outlineLevel="0" collapsed="false">
      <c r="A23" s="24" t="str">
        <f aca="false">Contagem!A21</f>
        <v>Layout A</v>
      </c>
      <c r="B23" s="8" t="str">
        <f aca="false">Contagem!B21</f>
        <v>Infantil</v>
      </c>
      <c r="C23" s="9" t="str">
        <f aca="false">Contagem!C21</f>
        <v>10</v>
      </c>
      <c r="D23" s="25" t="n">
        <f aca="false">Contagem!D21</f>
        <v>1</v>
      </c>
      <c r="E23" s="11" t="n">
        <f aca="false">Contagem!E21</f>
        <v>0</v>
      </c>
      <c r="F23" s="26" t="n">
        <f aca="false">Contagem!F21</f>
        <v>1</v>
      </c>
    </row>
    <row r="24" customFormat="false" ht="15" hidden="false" customHeight="false" outlineLevel="0" collapsed="false">
      <c r="A24" s="24" t="str">
        <f aca="false">Contagem!A22</f>
        <v>Layout A</v>
      </c>
      <c r="B24" s="14" t="str">
        <f aca="false">Contagem!B22</f>
        <v>Infantil</v>
      </c>
      <c r="C24" s="15" t="str">
        <f aca="false">Contagem!C22</f>
        <v>14</v>
      </c>
      <c r="D24" s="25" t="n">
        <f aca="false">Contagem!D22</f>
        <v>1</v>
      </c>
      <c r="E24" s="11" t="n">
        <f aca="false">Contagem!E22</f>
        <v>0</v>
      </c>
      <c r="F24" s="26" t="n">
        <f aca="false">Contagem!F22</f>
        <v>1</v>
      </c>
    </row>
    <row r="25" customFormat="false" ht="15" hidden="false" customHeight="false" outlineLevel="0" collapsed="false">
      <c r="A25" s="24" t="str">
        <f aca="false">Contagem!A23</f>
        <v>Layout B</v>
      </c>
      <c r="B25" s="8" t="str">
        <f aca="false">Contagem!B23</f>
        <v>Normal</v>
      </c>
      <c r="C25" s="9" t="str">
        <f aca="false">Contagem!C23</f>
        <v>P</v>
      </c>
      <c r="D25" s="25" t="n">
        <f aca="false">Contagem!D23</f>
        <v>14</v>
      </c>
      <c r="E25" s="11" t="n">
        <f aca="false">Contagem!E23</f>
        <v>0</v>
      </c>
      <c r="F25" s="26" t="n">
        <f aca="false">Contagem!F23</f>
        <v>14</v>
      </c>
    </row>
    <row r="26" customFormat="false" ht="15" hidden="false" customHeight="false" outlineLevel="0" collapsed="false">
      <c r="A26" s="24" t="str">
        <f aca="false">Contagem!A24</f>
        <v>Layout B</v>
      </c>
      <c r="B26" s="14" t="str">
        <f aca="false">Contagem!B24</f>
        <v>Normal</v>
      </c>
      <c r="C26" s="15" t="str">
        <f aca="false">Contagem!C24</f>
        <v>M</v>
      </c>
      <c r="D26" s="25" t="n">
        <f aca="false">Contagem!D24</f>
        <v>16</v>
      </c>
      <c r="E26" s="11" t="n">
        <f aca="false">Contagem!E24</f>
        <v>0</v>
      </c>
      <c r="F26" s="26" t="n">
        <f aca="false">Contagem!F24</f>
        <v>16</v>
      </c>
    </row>
    <row r="27" customFormat="false" ht="15" hidden="false" customHeight="false" outlineLevel="0" collapsed="false">
      <c r="A27" s="24" t="str">
        <f aca="false">Contagem!A25</f>
        <v>Layout B</v>
      </c>
      <c r="B27" s="8" t="str">
        <f aca="false">Contagem!B25</f>
        <v>Normal</v>
      </c>
      <c r="C27" s="9" t="str">
        <f aca="false">Contagem!C25</f>
        <v>G</v>
      </c>
      <c r="D27" s="25" t="n">
        <f aca="false">Contagem!D25</f>
        <v>19</v>
      </c>
      <c r="E27" s="11" t="n">
        <f aca="false">Contagem!E25</f>
        <v>0</v>
      </c>
      <c r="F27" s="26" t="n">
        <f aca="false">Contagem!F25</f>
        <v>19</v>
      </c>
    </row>
    <row r="28" customFormat="false" ht="15" hidden="false" customHeight="false" outlineLevel="0" collapsed="false">
      <c r="A28" s="24" t="str">
        <f aca="false">Contagem!A26</f>
        <v>Layout B</v>
      </c>
      <c r="B28" s="14" t="str">
        <f aca="false">Contagem!B26</f>
        <v>Normal</v>
      </c>
      <c r="C28" s="15" t="str">
        <f aca="false">Contagem!C26</f>
        <v>GG</v>
      </c>
      <c r="D28" s="25" t="n">
        <f aca="false">Contagem!D26</f>
        <v>6</v>
      </c>
      <c r="E28" s="11" t="n">
        <f aca="false">Contagem!E26</f>
        <v>0</v>
      </c>
      <c r="F28" s="26" t="n">
        <f aca="false">Contagem!F26</f>
        <v>6</v>
      </c>
    </row>
    <row r="29" customFormat="false" ht="15" hidden="false" customHeight="false" outlineLevel="0" collapsed="false">
      <c r="A29" s="24" t="str">
        <f aca="false">Contagem!A27</f>
        <v>Layout B</v>
      </c>
      <c r="B29" s="8" t="str">
        <f aca="false">Contagem!B27</f>
        <v>Normal</v>
      </c>
      <c r="C29" s="9" t="str">
        <f aca="false">Contagem!C27</f>
        <v>EG</v>
      </c>
      <c r="D29" s="25" t="n">
        <f aca="false">Contagem!D27</f>
        <v>2</v>
      </c>
      <c r="E29" s="11" t="n">
        <f aca="false">Contagem!E27</f>
        <v>0</v>
      </c>
      <c r="F29" s="26" t="n">
        <f aca="false">Contagem!F27</f>
        <v>2</v>
      </c>
    </row>
    <row r="30" customFormat="false" ht="15" hidden="false" customHeight="false" outlineLevel="0" collapsed="false">
      <c r="A30" s="24" t="str">
        <f aca="false">Contagem!A28</f>
        <v>Layout B</v>
      </c>
      <c r="B30" s="14" t="str">
        <f aca="false">Contagem!B28</f>
        <v>Normal</v>
      </c>
      <c r="C30" s="15" t="str">
        <f aca="false">Contagem!C28</f>
        <v>EXG</v>
      </c>
      <c r="D30" s="25" t="n">
        <f aca="false">Contagem!D28</f>
        <v>2</v>
      </c>
      <c r="E30" s="11" t="n">
        <f aca="false">Contagem!E28</f>
        <v>0</v>
      </c>
      <c r="F30" s="26" t="n">
        <f aca="false">Contagem!F28</f>
        <v>2</v>
      </c>
    </row>
    <row r="31" customFormat="false" ht="15" hidden="false" customHeight="false" outlineLevel="0" collapsed="false">
      <c r="A31" s="24" t="str">
        <f aca="false">Contagem!A29</f>
        <v>Layout B</v>
      </c>
      <c r="B31" s="8" t="str">
        <f aca="false">Contagem!B29</f>
        <v>Normal</v>
      </c>
      <c r="C31" s="9" t="str">
        <f aca="false">Contagem!C29</f>
        <v>56</v>
      </c>
      <c r="D31" s="25" t="n">
        <f aca="false">Contagem!D29</f>
        <v>2</v>
      </c>
      <c r="E31" s="11" t="n">
        <f aca="false">Contagem!E29</f>
        <v>0</v>
      </c>
      <c r="F31" s="26" t="n">
        <f aca="false">Contagem!F29</f>
        <v>2</v>
      </c>
    </row>
    <row r="32" customFormat="false" ht="15" hidden="false" customHeight="false" outlineLevel="0" collapsed="false">
      <c r="A32" s="24" t="str">
        <f aca="false">Contagem!A30</f>
        <v>Layout B</v>
      </c>
      <c r="B32" s="14" t="str">
        <f aca="false">Contagem!B30</f>
        <v>Babylook</v>
      </c>
      <c r="C32" s="15" t="str">
        <f aca="false">Contagem!C30</f>
        <v>P</v>
      </c>
      <c r="D32" s="25" t="n">
        <f aca="false">Contagem!D30</f>
        <v>5</v>
      </c>
      <c r="E32" s="11" t="n">
        <f aca="false">Contagem!E30</f>
        <v>0</v>
      </c>
      <c r="F32" s="26" t="n">
        <f aca="false">Contagem!F30</f>
        <v>5</v>
      </c>
    </row>
    <row r="33" customFormat="false" ht="15" hidden="false" customHeight="false" outlineLevel="0" collapsed="false">
      <c r="A33" s="24" t="str">
        <f aca="false">Contagem!A31</f>
        <v>Layout B</v>
      </c>
      <c r="B33" s="8" t="str">
        <f aca="false">Contagem!B31</f>
        <v>Babylook</v>
      </c>
      <c r="C33" s="9" t="str">
        <f aca="false">Contagem!C31</f>
        <v>M</v>
      </c>
      <c r="D33" s="25" t="n">
        <f aca="false">Contagem!D31</f>
        <v>10</v>
      </c>
      <c r="E33" s="11" t="n">
        <f aca="false">Contagem!E31</f>
        <v>0</v>
      </c>
      <c r="F33" s="26" t="n">
        <f aca="false">Contagem!F31</f>
        <v>10</v>
      </c>
    </row>
    <row r="34" customFormat="false" ht="15" hidden="false" customHeight="false" outlineLevel="0" collapsed="false">
      <c r="A34" s="24" t="str">
        <f aca="false">Contagem!A32</f>
        <v>Layout B</v>
      </c>
      <c r="B34" s="14" t="str">
        <f aca="false">Contagem!B32</f>
        <v>Babylook</v>
      </c>
      <c r="C34" s="15" t="str">
        <f aca="false">Contagem!C32</f>
        <v>G</v>
      </c>
      <c r="D34" s="25" t="n">
        <f aca="false">Contagem!D32</f>
        <v>8</v>
      </c>
      <c r="E34" s="11" t="n">
        <f aca="false">Contagem!E32</f>
        <v>0</v>
      </c>
      <c r="F34" s="26" t="n">
        <f aca="false">Contagem!F32</f>
        <v>8</v>
      </c>
    </row>
    <row r="35" customFormat="false" ht="15" hidden="false" customHeight="false" outlineLevel="0" collapsed="false">
      <c r="A35" s="24" t="str">
        <f aca="false">Contagem!A33</f>
        <v>Layout B</v>
      </c>
      <c r="B35" s="8" t="str">
        <f aca="false">Contagem!B33</f>
        <v>Babylook</v>
      </c>
      <c r="C35" s="9" t="str">
        <f aca="false">Contagem!C33</f>
        <v>GG</v>
      </c>
      <c r="D35" s="25" t="n">
        <f aca="false">Contagem!D33</f>
        <v>12</v>
      </c>
      <c r="E35" s="11" t="n">
        <f aca="false">Contagem!E33</f>
        <v>0</v>
      </c>
      <c r="F35" s="26" t="n">
        <f aca="false">Contagem!F33</f>
        <v>12</v>
      </c>
    </row>
    <row r="36" customFormat="false" ht="15" hidden="false" customHeight="false" outlineLevel="0" collapsed="false">
      <c r="A36" s="24" t="str">
        <f aca="false">Contagem!A34</f>
        <v>Layout B</v>
      </c>
      <c r="B36" s="14" t="str">
        <f aca="false">Contagem!B34</f>
        <v>Babylook</v>
      </c>
      <c r="C36" s="15" t="str">
        <f aca="false">Contagem!C34</f>
        <v>EG</v>
      </c>
      <c r="D36" s="25" t="n">
        <f aca="false">Contagem!D34</f>
        <v>6</v>
      </c>
      <c r="E36" s="11" t="n">
        <f aca="false">Contagem!E34</f>
        <v>0</v>
      </c>
      <c r="F36" s="26" t="n">
        <f aca="false">Contagem!F34</f>
        <v>6</v>
      </c>
    </row>
    <row r="37" customFormat="false" ht="15" hidden="false" customHeight="false" outlineLevel="0" collapsed="false">
      <c r="A37" s="24" t="str">
        <f aca="false">Contagem!A35</f>
        <v>Layout B</v>
      </c>
      <c r="B37" s="8" t="str">
        <f aca="false">Contagem!B35</f>
        <v>Babylook</v>
      </c>
      <c r="C37" s="9" t="str">
        <f aca="false">Contagem!C35</f>
        <v>EXG</v>
      </c>
      <c r="D37" s="25" t="n">
        <f aca="false">Contagem!D35</f>
        <v>3</v>
      </c>
      <c r="E37" s="11" t="n">
        <f aca="false">Contagem!E35</f>
        <v>0</v>
      </c>
      <c r="F37" s="26" t="n">
        <f aca="false">Contagem!F35</f>
        <v>3</v>
      </c>
    </row>
    <row r="38" customFormat="false" ht="15" hidden="false" customHeight="false" outlineLevel="0" collapsed="false">
      <c r="A38" s="24" t="str">
        <f aca="false">Contagem!A36</f>
        <v>Layout B</v>
      </c>
      <c r="B38" s="14" t="str">
        <f aca="false">Contagem!B36</f>
        <v>Babylook</v>
      </c>
      <c r="C38" s="15" t="str">
        <f aca="false">Contagem!C36</f>
        <v>BIG</v>
      </c>
      <c r="D38" s="25" t="n">
        <f aca="false">Contagem!D36</f>
        <v>1</v>
      </c>
      <c r="E38" s="11" t="n">
        <f aca="false">Contagem!E36</f>
        <v>0</v>
      </c>
      <c r="F38" s="26" t="n">
        <f aca="false">Contagem!F36</f>
        <v>1</v>
      </c>
    </row>
    <row r="39" customFormat="false" ht="15" hidden="false" customHeight="false" outlineLevel="0" collapsed="false">
      <c r="A39" s="24" t="str">
        <f aca="false">Contagem!A37</f>
        <v>Layout B</v>
      </c>
      <c r="B39" s="8" t="str">
        <f aca="false">Contagem!B37</f>
        <v>Infantil</v>
      </c>
      <c r="C39" s="9" t="str">
        <f aca="false">Contagem!C37</f>
        <v>1</v>
      </c>
      <c r="D39" s="25" t="n">
        <f aca="false">Contagem!D37</f>
        <v>2</v>
      </c>
      <c r="E39" s="11" t="n">
        <f aca="false">Contagem!E37</f>
        <v>0</v>
      </c>
      <c r="F39" s="26" t="n">
        <f aca="false">Contagem!F37</f>
        <v>2</v>
      </c>
    </row>
    <row r="40" customFormat="false" ht="15" hidden="false" customHeight="false" outlineLevel="0" collapsed="false">
      <c r="A40" s="24" t="str">
        <f aca="false">Contagem!A38</f>
        <v>Layout B</v>
      </c>
      <c r="B40" s="14" t="str">
        <f aca="false">Contagem!B38</f>
        <v>Infantil</v>
      </c>
      <c r="C40" s="15" t="str">
        <f aca="false">Contagem!C38</f>
        <v>2</v>
      </c>
      <c r="D40" s="25" t="n">
        <f aca="false">Contagem!D38</f>
        <v>4</v>
      </c>
      <c r="E40" s="11" t="n">
        <f aca="false">Contagem!E38</f>
        <v>0</v>
      </c>
      <c r="F40" s="26" t="n">
        <f aca="false">Contagem!F38</f>
        <v>4</v>
      </c>
    </row>
    <row r="41" customFormat="false" ht="15" hidden="false" customHeight="false" outlineLevel="0" collapsed="false">
      <c r="A41" s="24" t="str">
        <f aca="false">Contagem!A39</f>
        <v>Layout B</v>
      </c>
      <c r="B41" s="8" t="str">
        <f aca="false">Contagem!B39</f>
        <v>Infantil</v>
      </c>
      <c r="C41" s="9" t="str">
        <f aca="false">Contagem!C39</f>
        <v>4</v>
      </c>
      <c r="D41" s="25" t="n">
        <f aca="false">Contagem!D39</f>
        <v>3</v>
      </c>
      <c r="E41" s="11" t="n">
        <f aca="false">Contagem!E39</f>
        <v>0</v>
      </c>
      <c r="F41" s="26" t="n">
        <f aca="false">Contagem!F39</f>
        <v>3</v>
      </c>
    </row>
    <row r="42" customFormat="false" ht="15" hidden="false" customHeight="false" outlineLevel="0" collapsed="false">
      <c r="A42" s="24" t="str">
        <f aca="false">Contagem!A40</f>
        <v>Layout B</v>
      </c>
      <c r="B42" s="14" t="str">
        <f aca="false">Contagem!B40</f>
        <v>Infantil</v>
      </c>
      <c r="C42" s="15" t="str">
        <f aca="false">Contagem!C40</f>
        <v>6</v>
      </c>
      <c r="D42" s="25" t="n">
        <f aca="false">Contagem!D40</f>
        <v>2</v>
      </c>
      <c r="E42" s="11" t="n">
        <f aca="false">Contagem!E40</f>
        <v>0</v>
      </c>
      <c r="F42" s="26" t="n">
        <f aca="false">Contagem!F40</f>
        <v>2</v>
      </c>
    </row>
    <row r="43" customFormat="false" ht="15" hidden="false" customHeight="false" outlineLevel="0" collapsed="false">
      <c r="A43" s="24" t="str">
        <f aca="false">Contagem!A41</f>
        <v>Layout B</v>
      </c>
      <c r="B43" s="8" t="str">
        <f aca="false">Contagem!B41</f>
        <v>Infantil</v>
      </c>
      <c r="C43" s="9" t="str">
        <f aca="false">Contagem!C41</f>
        <v>8</v>
      </c>
      <c r="D43" s="25" t="n">
        <f aca="false">Contagem!D41</f>
        <v>2</v>
      </c>
      <c r="E43" s="11" t="n">
        <f aca="false">Contagem!E41</f>
        <v>0</v>
      </c>
      <c r="F43" s="26" t="n">
        <f aca="false">Contagem!F41</f>
        <v>2</v>
      </c>
    </row>
    <row r="44" customFormat="false" ht="15" hidden="false" customHeight="false" outlineLevel="0" collapsed="false">
      <c r="A44" s="24" t="str">
        <f aca="false">Contagem!A42</f>
        <v>Layout B</v>
      </c>
      <c r="B44" s="14" t="str">
        <f aca="false">Contagem!B42</f>
        <v>Infantil</v>
      </c>
      <c r="C44" s="15" t="str">
        <f aca="false">Contagem!C42</f>
        <v>10</v>
      </c>
      <c r="D44" s="25" t="n">
        <f aca="false">Contagem!D42</f>
        <v>1</v>
      </c>
      <c r="E44" s="11" t="n">
        <f aca="false">Contagem!E42</f>
        <v>0</v>
      </c>
      <c r="F44" s="26" t="n">
        <f aca="false">Contagem!F42</f>
        <v>1</v>
      </c>
    </row>
    <row r="45" customFormat="false" ht="15" hidden="false" customHeight="false" outlineLevel="0" collapsed="false">
      <c r="A45" s="24" t="str">
        <f aca="false">Contagem!A43</f>
        <v>Layout B</v>
      </c>
      <c r="B45" s="8" t="str">
        <f aca="false">Contagem!B43</f>
        <v>Infantil</v>
      </c>
      <c r="C45" s="9" t="str">
        <f aca="false">Contagem!C43</f>
        <v>12</v>
      </c>
      <c r="D45" s="25" t="n">
        <f aca="false">Contagem!D43</f>
        <v>1</v>
      </c>
      <c r="E45" s="11" t="n">
        <f aca="false">Contagem!E43</f>
        <v>0</v>
      </c>
      <c r="F45" s="26" t="n">
        <f aca="false">Contagem!F43</f>
        <v>1</v>
      </c>
    </row>
    <row r="46" customFormat="false" ht="15" hidden="false" customHeight="false" outlineLevel="0" collapsed="false">
      <c r="A46" s="24" t="str">
        <f aca="false">Contagem!A44</f>
        <v>Layout B</v>
      </c>
      <c r="B46" s="14" t="str">
        <f aca="false">Contagem!B44</f>
        <v>Infantil</v>
      </c>
      <c r="C46" s="15" t="str">
        <f aca="false">Contagem!C44</f>
        <v>14</v>
      </c>
      <c r="D46" s="25" t="n">
        <f aca="false">Contagem!D44</f>
        <v>2</v>
      </c>
      <c r="E46" s="11" t="n">
        <f aca="false">Contagem!E44</f>
        <v>0</v>
      </c>
      <c r="F46" s="26" t="n">
        <f aca="false">Contagem!F44</f>
        <v>2</v>
      </c>
    </row>
    <row r="47" customFormat="false" ht="15" hidden="false" customHeight="false" outlineLevel="0" collapsed="false">
      <c r="A47" s="24" t="str">
        <f aca="false">Contagem!A45</f>
        <v>Layout C</v>
      </c>
      <c r="B47" s="8" t="str">
        <f aca="false">Contagem!B45</f>
        <v>Normal</v>
      </c>
      <c r="C47" s="9" t="str">
        <f aca="false">Contagem!C45</f>
        <v>P</v>
      </c>
      <c r="D47" s="25" t="n">
        <f aca="false">Contagem!D45</f>
        <v>12</v>
      </c>
      <c r="E47" s="11" t="n">
        <f aca="false">Contagem!E45</f>
        <v>0</v>
      </c>
      <c r="F47" s="26" t="n">
        <f aca="false">Contagem!F45</f>
        <v>12</v>
      </c>
    </row>
    <row r="48" customFormat="false" ht="15" hidden="false" customHeight="false" outlineLevel="0" collapsed="false">
      <c r="A48" s="24" t="str">
        <f aca="false">Contagem!A46</f>
        <v>Layout C</v>
      </c>
      <c r="B48" s="14" t="str">
        <f aca="false">Contagem!B46</f>
        <v>Normal</v>
      </c>
      <c r="C48" s="15" t="str">
        <f aca="false">Contagem!C46</f>
        <v>M</v>
      </c>
      <c r="D48" s="25" t="n">
        <f aca="false">Contagem!D46</f>
        <v>15</v>
      </c>
      <c r="E48" s="11" t="n">
        <f aca="false">Contagem!E46</f>
        <v>0</v>
      </c>
      <c r="F48" s="26" t="n">
        <f aca="false">Contagem!F46</f>
        <v>15</v>
      </c>
    </row>
    <row r="49" customFormat="false" ht="15" hidden="false" customHeight="false" outlineLevel="0" collapsed="false">
      <c r="A49" s="24" t="str">
        <f aca="false">Contagem!A47</f>
        <v>Layout C</v>
      </c>
      <c r="B49" s="8" t="str">
        <f aca="false">Contagem!B47</f>
        <v>Normal</v>
      </c>
      <c r="C49" s="9" t="str">
        <f aca="false">Contagem!C47</f>
        <v>G</v>
      </c>
      <c r="D49" s="25" t="n">
        <f aca="false">Contagem!D47</f>
        <v>25</v>
      </c>
      <c r="E49" s="11" t="n">
        <f aca="false">Contagem!E47</f>
        <v>0</v>
      </c>
      <c r="F49" s="26" t="n">
        <f aca="false">Contagem!F47</f>
        <v>25</v>
      </c>
    </row>
    <row r="50" customFormat="false" ht="15" hidden="false" customHeight="false" outlineLevel="0" collapsed="false">
      <c r="A50" s="24" t="str">
        <f aca="false">Contagem!A48</f>
        <v>Layout C</v>
      </c>
      <c r="B50" s="14" t="str">
        <f aca="false">Contagem!B48</f>
        <v>Normal</v>
      </c>
      <c r="C50" s="15" t="str">
        <f aca="false">Contagem!C48</f>
        <v>GG</v>
      </c>
      <c r="D50" s="25" t="n">
        <f aca="false">Contagem!D48</f>
        <v>8</v>
      </c>
      <c r="E50" s="11" t="n">
        <f aca="false">Contagem!E48</f>
        <v>0</v>
      </c>
      <c r="F50" s="26" t="n">
        <f aca="false">Contagem!F48</f>
        <v>8</v>
      </c>
    </row>
    <row r="51" customFormat="false" ht="15" hidden="false" customHeight="false" outlineLevel="0" collapsed="false">
      <c r="A51" s="24" t="str">
        <f aca="false">Contagem!A49</f>
        <v>Layout C</v>
      </c>
      <c r="B51" s="8" t="str">
        <f aca="false">Contagem!B49</f>
        <v>Normal</v>
      </c>
      <c r="C51" s="9" t="str">
        <f aca="false">Contagem!C49</f>
        <v>EG</v>
      </c>
      <c r="D51" s="25" t="n">
        <f aca="false">Contagem!D49</f>
        <v>2</v>
      </c>
      <c r="E51" s="11" t="n">
        <f aca="false">Contagem!E49</f>
        <v>0</v>
      </c>
      <c r="F51" s="26" t="n">
        <f aca="false">Contagem!F49</f>
        <v>2</v>
      </c>
    </row>
    <row r="52" customFormat="false" ht="15" hidden="false" customHeight="false" outlineLevel="0" collapsed="false">
      <c r="A52" s="24" t="str">
        <f aca="false">Contagem!A50</f>
        <v>Layout C</v>
      </c>
      <c r="B52" s="14" t="str">
        <f aca="false">Contagem!B50</f>
        <v>Normal</v>
      </c>
      <c r="C52" s="15" t="str">
        <f aca="false">Contagem!C50</f>
        <v>EXG</v>
      </c>
      <c r="D52" s="25" t="n">
        <f aca="false">Contagem!D50</f>
        <v>2</v>
      </c>
      <c r="E52" s="11" t="n">
        <f aca="false">Contagem!E50</f>
        <v>0</v>
      </c>
      <c r="F52" s="26" t="n">
        <f aca="false">Contagem!F50</f>
        <v>2</v>
      </c>
    </row>
    <row r="53" customFormat="false" ht="15" hidden="false" customHeight="false" outlineLevel="0" collapsed="false">
      <c r="A53" s="24" t="str">
        <f aca="false">Contagem!A51</f>
        <v>Layout C</v>
      </c>
      <c r="B53" s="8" t="str">
        <f aca="false">Contagem!B51</f>
        <v>Normal</v>
      </c>
      <c r="C53" s="9" t="str">
        <f aca="false">Contagem!C51</f>
        <v>56</v>
      </c>
      <c r="D53" s="25" t="n">
        <f aca="false">Contagem!D51</f>
        <v>1</v>
      </c>
      <c r="E53" s="11" t="n">
        <f aca="false">Contagem!E51</f>
        <v>0</v>
      </c>
      <c r="F53" s="26" t="n">
        <f aca="false">Contagem!F51</f>
        <v>1</v>
      </c>
    </row>
    <row r="54" customFormat="false" ht="15" hidden="false" customHeight="false" outlineLevel="0" collapsed="false">
      <c r="A54" s="24" t="str">
        <f aca="false">Contagem!A52</f>
        <v>Layout C</v>
      </c>
      <c r="B54" s="14" t="str">
        <f aca="false">Contagem!B52</f>
        <v>Babylook</v>
      </c>
      <c r="C54" s="15" t="str">
        <f aca="false">Contagem!C52</f>
        <v>P</v>
      </c>
      <c r="D54" s="25" t="n">
        <f aca="false">Contagem!D52</f>
        <v>2</v>
      </c>
      <c r="E54" s="11" t="n">
        <f aca="false">Contagem!E52</f>
        <v>0</v>
      </c>
      <c r="F54" s="26" t="n">
        <f aca="false">Contagem!F52</f>
        <v>2</v>
      </c>
    </row>
    <row r="55" customFormat="false" ht="15" hidden="false" customHeight="false" outlineLevel="0" collapsed="false">
      <c r="A55" s="24" t="str">
        <f aca="false">Contagem!A53</f>
        <v>Layout C</v>
      </c>
      <c r="B55" s="8" t="str">
        <f aca="false">Contagem!B53</f>
        <v>Babylook</v>
      </c>
      <c r="C55" s="9" t="str">
        <f aca="false">Contagem!C53</f>
        <v>M</v>
      </c>
      <c r="D55" s="25" t="n">
        <f aca="false">Contagem!D53</f>
        <v>9</v>
      </c>
      <c r="E55" s="11" t="n">
        <f aca="false">Contagem!E53</f>
        <v>0</v>
      </c>
      <c r="F55" s="26" t="n">
        <f aca="false">Contagem!F53</f>
        <v>9</v>
      </c>
    </row>
    <row r="56" customFormat="false" ht="15" hidden="false" customHeight="false" outlineLevel="0" collapsed="false">
      <c r="A56" s="24" t="str">
        <f aca="false">Contagem!A54</f>
        <v>Layout C</v>
      </c>
      <c r="B56" s="14" t="str">
        <f aca="false">Contagem!B54</f>
        <v>Babylook</v>
      </c>
      <c r="C56" s="15" t="str">
        <f aca="false">Contagem!C54</f>
        <v>G</v>
      </c>
      <c r="D56" s="25" t="n">
        <f aca="false">Contagem!D54</f>
        <v>13</v>
      </c>
      <c r="E56" s="11" t="n">
        <f aca="false">Contagem!E54</f>
        <v>0</v>
      </c>
      <c r="F56" s="26" t="n">
        <f aca="false">Contagem!F54</f>
        <v>13</v>
      </c>
    </row>
    <row r="57" customFormat="false" ht="15" hidden="false" customHeight="false" outlineLevel="0" collapsed="false">
      <c r="A57" s="24" t="str">
        <f aca="false">Contagem!A55</f>
        <v>Layout C</v>
      </c>
      <c r="B57" s="8" t="str">
        <f aca="false">Contagem!B55</f>
        <v>Babylook</v>
      </c>
      <c r="C57" s="9" t="str">
        <f aca="false">Contagem!C55</f>
        <v>GG</v>
      </c>
      <c r="D57" s="25" t="n">
        <f aca="false">Contagem!D55</f>
        <v>7</v>
      </c>
      <c r="E57" s="11" t="n">
        <f aca="false">Contagem!E55</f>
        <v>0</v>
      </c>
      <c r="F57" s="26" t="n">
        <f aca="false">Contagem!F55</f>
        <v>7</v>
      </c>
    </row>
    <row r="58" customFormat="false" ht="15" hidden="false" customHeight="false" outlineLevel="0" collapsed="false">
      <c r="A58" s="24" t="str">
        <f aca="false">Contagem!A56</f>
        <v>Layout C</v>
      </c>
      <c r="B58" s="14" t="str">
        <f aca="false">Contagem!B56</f>
        <v>Babylook</v>
      </c>
      <c r="C58" s="15" t="str">
        <f aca="false">Contagem!C56</f>
        <v>EG</v>
      </c>
      <c r="D58" s="25" t="n">
        <f aca="false">Contagem!D56</f>
        <v>3</v>
      </c>
      <c r="E58" s="11" t="n">
        <f aca="false">Contagem!E56</f>
        <v>0</v>
      </c>
      <c r="F58" s="26" t="n">
        <f aca="false">Contagem!F56</f>
        <v>3</v>
      </c>
    </row>
    <row r="59" customFormat="false" ht="15" hidden="false" customHeight="false" outlineLevel="0" collapsed="false">
      <c r="A59" s="24" t="str">
        <f aca="false">Contagem!A57</f>
        <v>Layout C</v>
      </c>
      <c r="B59" s="8" t="str">
        <f aca="false">Contagem!B57</f>
        <v>Babylook</v>
      </c>
      <c r="C59" s="9" t="str">
        <f aca="false">Contagem!C57</f>
        <v>EXG</v>
      </c>
      <c r="D59" s="25" t="n">
        <f aca="false">Contagem!D57</f>
        <v>4</v>
      </c>
      <c r="E59" s="11" t="n">
        <f aca="false">Contagem!E57</f>
        <v>0</v>
      </c>
      <c r="F59" s="26" t="n">
        <f aca="false">Contagem!F57</f>
        <v>4</v>
      </c>
    </row>
    <row r="60" customFormat="false" ht="15" hidden="false" customHeight="false" outlineLevel="0" collapsed="false">
      <c r="A60" s="24" t="str">
        <f aca="false">Contagem!A58</f>
        <v>Layout C</v>
      </c>
      <c r="B60" s="14" t="str">
        <f aca="false">Contagem!B58</f>
        <v>Babylook</v>
      </c>
      <c r="C60" s="15" t="str">
        <f aca="false">Contagem!C58</f>
        <v>56</v>
      </c>
      <c r="D60" s="25" t="n">
        <f aca="false">Contagem!D58</f>
        <v>4</v>
      </c>
      <c r="E60" s="11" t="n">
        <f aca="false">Contagem!E58</f>
        <v>0</v>
      </c>
      <c r="F60" s="26" t="n">
        <f aca="false">Contagem!F58</f>
        <v>4</v>
      </c>
    </row>
    <row r="61" customFormat="false" ht="15" hidden="false" customHeight="false" outlineLevel="0" collapsed="false">
      <c r="A61" s="24" t="str">
        <f aca="false">Contagem!A59</f>
        <v>Layout C</v>
      </c>
      <c r="B61" s="8" t="str">
        <f aca="false">Contagem!B59</f>
        <v>Infantil</v>
      </c>
      <c r="C61" s="9" t="str">
        <f aca="false">Contagem!C59</f>
        <v>1</v>
      </c>
      <c r="D61" s="25" t="n">
        <f aca="false">Contagem!D59</f>
        <v>1</v>
      </c>
      <c r="E61" s="11" t="n">
        <f aca="false">Contagem!E59</f>
        <v>0</v>
      </c>
      <c r="F61" s="26" t="n">
        <f aca="false">Contagem!F59</f>
        <v>1</v>
      </c>
    </row>
    <row r="62" customFormat="false" ht="15" hidden="false" customHeight="false" outlineLevel="0" collapsed="false">
      <c r="A62" s="24" t="str">
        <f aca="false">Contagem!A60</f>
        <v>Layout C</v>
      </c>
      <c r="B62" s="14" t="str">
        <f aca="false">Contagem!B60</f>
        <v>Infantil</v>
      </c>
      <c r="C62" s="15" t="str">
        <f aca="false">Contagem!C60</f>
        <v>2</v>
      </c>
      <c r="D62" s="25" t="n">
        <f aca="false">Contagem!D60</f>
        <v>1</v>
      </c>
      <c r="E62" s="11" t="n">
        <f aca="false">Contagem!E60</f>
        <v>0</v>
      </c>
      <c r="F62" s="26" t="n">
        <f aca="false">Contagem!F60</f>
        <v>1</v>
      </c>
    </row>
    <row r="63" customFormat="false" ht="15" hidden="false" customHeight="false" outlineLevel="0" collapsed="false">
      <c r="A63" s="24" t="str">
        <f aca="false">Contagem!A61</f>
        <v>Layout C</v>
      </c>
      <c r="B63" s="8" t="str">
        <f aca="false">Contagem!B61</f>
        <v>Infantil</v>
      </c>
      <c r="C63" s="9" t="str">
        <f aca="false">Contagem!C61</f>
        <v>4</v>
      </c>
      <c r="D63" s="25" t="n">
        <f aca="false">Contagem!D61</f>
        <v>2</v>
      </c>
      <c r="E63" s="11" t="n">
        <f aca="false">Contagem!E61</f>
        <v>0</v>
      </c>
      <c r="F63" s="26" t="n">
        <f aca="false">Contagem!F61</f>
        <v>2</v>
      </c>
    </row>
    <row r="64" customFormat="false" ht="15" hidden="false" customHeight="false" outlineLevel="0" collapsed="false">
      <c r="A64" s="24" t="str">
        <f aca="false">Contagem!A62</f>
        <v>Layout C</v>
      </c>
      <c r="B64" s="14" t="str">
        <f aca="false">Contagem!B62</f>
        <v>Infantil</v>
      </c>
      <c r="C64" s="15" t="str">
        <f aca="false">Contagem!C62</f>
        <v>6</v>
      </c>
      <c r="D64" s="25" t="n">
        <f aca="false">Contagem!D62</f>
        <v>5</v>
      </c>
      <c r="E64" s="11" t="n">
        <f aca="false">Contagem!E62</f>
        <v>0</v>
      </c>
      <c r="F64" s="26" t="n">
        <f aca="false">Contagem!F62</f>
        <v>5</v>
      </c>
    </row>
    <row r="65" customFormat="false" ht="15" hidden="false" customHeight="false" outlineLevel="0" collapsed="false">
      <c r="A65" s="24" t="str">
        <f aca="false">Contagem!A63</f>
        <v>Layout C</v>
      </c>
      <c r="B65" s="8" t="str">
        <f aca="false">Contagem!B63</f>
        <v>Infantil</v>
      </c>
      <c r="C65" s="9" t="str">
        <f aca="false">Contagem!C63</f>
        <v>8</v>
      </c>
      <c r="D65" s="25" t="n">
        <f aca="false">Contagem!D63</f>
        <v>4</v>
      </c>
      <c r="E65" s="11" t="n">
        <f aca="false">Contagem!E63</f>
        <v>0</v>
      </c>
      <c r="F65" s="26" t="n">
        <f aca="false">Contagem!F63</f>
        <v>4</v>
      </c>
    </row>
    <row r="66" customFormat="false" ht="15" hidden="false" customHeight="false" outlineLevel="0" collapsed="false">
      <c r="A66" s="24" t="str">
        <f aca="false">Contagem!A64</f>
        <v>Layout C</v>
      </c>
      <c r="B66" s="14" t="str">
        <f aca="false">Contagem!B64</f>
        <v>Infantil</v>
      </c>
      <c r="C66" s="15" t="str">
        <f aca="false">Contagem!C64</f>
        <v>10</v>
      </c>
      <c r="D66" s="25" t="n">
        <f aca="false">Contagem!D64</f>
        <v>1</v>
      </c>
      <c r="E66" s="11" t="n">
        <f aca="false">Contagem!E64</f>
        <v>0</v>
      </c>
      <c r="F66" s="26" t="n">
        <f aca="false">Contagem!F64</f>
        <v>1</v>
      </c>
    </row>
    <row r="67" customFormat="false" ht="15" hidden="false" customHeight="false" outlineLevel="0" collapsed="false">
      <c r="A67" s="24" t="str">
        <f aca="false">Contagem!A65</f>
        <v>Layout C</v>
      </c>
      <c r="B67" s="8" t="str">
        <f aca="false">Contagem!B65</f>
        <v>Infantil</v>
      </c>
      <c r="C67" s="9" t="str">
        <f aca="false">Contagem!C65</f>
        <v>12</v>
      </c>
      <c r="D67" s="25" t="n">
        <f aca="false">Contagem!D65</f>
        <v>4</v>
      </c>
      <c r="E67" s="11" t="n">
        <f aca="false">Contagem!E65</f>
        <v>0</v>
      </c>
      <c r="F67" s="26" t="n">
        <f aca="false">Contagem!F65</f>
        <v>4</v>
      </c>
    </row>
    <row r="68" customFormat="false" ht="25.5" hidden="false" customHeight="true" outlineLevel="0" collapsed="false">
      <c r="A68" s="16" t="s">
        <v>38</v>
      </c>
      <c r="B68" s="16"/>
      <c r="C68" s="16"/>
      <c r="D68" s="17" t="n">
        <f aca="false">Contagem!D66</f>
        <v>305</v>
      </c>
      <c r="E68" s="17" t="n">
        <f aca="false">Contagem!E66</f>
        <v>0</v>
      </c>
      <c r="F68" s="27" t="n">
        <f aca="false">Contagem!F66</f>
        <v>305</v>
      </c>
    </row>
    <row r="70" customFormat="false" ht="30" hidden="false" customHeight="true" outlineLevel="0" collapsed="false">
      <c r="A70" s="28" t="s">
        <v>39</v>
      </c>
      <c r="B70" s="28"/>
      <c r="C70" s="28"/>
      <c r="D70" s="28"/>
      <c r="E70" s="28"/>
      <c r="F70" s="28"/>
    </row>
  </sheetData>
  <mergeCells count="6">
    <mergeCell ref="A1:F1"/>
    <mergeCell ref="A2:F2"/>
    <mergeCell ref="A4:F4"/>
    <mergeCell ref="A6:F6"/>
    <mergeCell ref="A68:C68"/>
    <mergeCell ref="A70:F70"/>
  </mergeCells>
  <conditionalFormatting sqref="A7:F7">
    <cfRule type="expression" priority="2" aboveAverage="0" equalAverage="0" bottom="0" percent="0" rank="0" text="" dxfId="2">
      <formula>$F7=0</formula>
    </cfRule>
  </conditionalFormatting>
  <conditionalFormatting sqref="F7">
    <cfRule type="cellIs" priority="3" operator="greaterThan" aboveAverage="0" equalAverage="0" bottom="0" percent="0" rank="0" text="" dxfId="0">
      <formula>0</formula>
    </cfRule>
  </conditionalFormatting>
  <conditionalFormatting sqref="A8:F8">
    <cfRule type="expression" priority="4" aboveAverage="0" equalAverage="0" bottom="0" percent="0" rank="0" text="" dxfId="2">
      <formula>$F8=0</formula>
    </cfRule>
  </conditionalFormatting>
  <conditionalFormatting sqref="F8">
    <cfRule type="cellIs" priority="5" operator="greaterThan" aboveAverage="0" equalAverage="0" bottom="0" percent="0" rank="0" text="" dxfId="0">
      <formula>0</formula>
    </cfRule>
  </conditionalFormatting>
  <conditionalFormatting sqref="A9:F9">
    <cfRule type="expression" priority="6" aboveAverage="0" equalAverage="0" bottom="0" percent="0" rank="0" text="" dxfId="2">
      <formula>$F9=0</formula>
    </cfRule>
  </conditionalFormatting>
  <conditionalFormatting sqref="F9">
    <cfRule type="cellIs" priority="7" operator="greaterThan" aboveAverage="0" equalAverage="0" bottom="0" percent="0" rank="0" text="" dxfId="0">
      <formula>0</formula>
    </cfRule>
  </conditionalFormatting>
  <conditionalFormatting sqref="A10:F10">
    <cfRule type="expression" priority="8" aboveAverage="0" equalAverage="0" bottom="0" percent="0" rank="0" text="" dxfId="2">
      <formula>$F10=0</formula>
    </cfRule>
  </conditionalFormatting>
  <conditionalFormatting sqref="F10">
    <cfRule type="cellIs" priority="9" operator="greaterThan" aboveAverage="0" equalAverage="0" bottom="0" percent="0" rank="0" text="" dxfId="0">
      <formula>0</formula>
    </cfRule>
  </conditionalFormatting>
  <conditionalFormatting sqref="A11:F11">
    <cfRule type="expression" priority="10" aboveAverage="0" equalAverage="0" bottom="0" percent="0" rank="0" text="" dxfId="2">
      <formula>$F11=0</formula>
    </cfRule>
  </conditionalFormatting>
  <conditionalFormatting sqref="F11">
    <cfRule type="cellIs" priority="11" operator="greaterThan" aboveAverage="0" equalAverage="0" bottom="0" percent="0" rank="0" text="" dxfId="0">
      <formula>0</formula>
    </cfRule>
  </conditionalFormatting>
  <conditionalFormatting sqref="A12:F12">
    <cfRule type="expression" priority="12" aboveAverage="0" equalAverage="0" bottom="0" percent="0" rank="0" text="" dxfId="2">
      <formula>$F12=0</formula>
    </cfRule>
  </conditionalFormatting>
  <conditionalFormatting sqref="F12">
    <cfRule type="cellIs" priority="13" operator="greaterThan" aboveAverage="0" equalAverage="0" bottom="0" percent="0" rank="0" text="" dxfId="0">
      <formula>0</formula>
    </cfRule>
  </conditionalFormatting>
  <conditionalFormatting sqref="A13:F13">
    <cfRule type="expression" priority="14" aboveAverage="0" equalAverage="0" bottom="0" percent="0" rank="0" text="" dxfId="2">
      <formula>$F13=0</formula>
    </cfRule>
  </conditionalFormatting>
  <conditionalFormatting sqref="F13">
    <cfRule type="cellIs" priority="15" operator="greaterThan" aboveAverage="0" equalAverage="0" bottom="0" percent="0" rank="0" text="" dxfId="0">
      <formula>0</formula>
    </cfRule>
  </conditionalFormatting>
  <conditionalFormatting sqref="A14:F14">
    <cfRule type="expression" priority="16" aboveAverage="0" equalAverage="0" bottom="0" percent="0" rank="0" text="" dxfId="2">
      <formula>$F14=0</formula>
    </cfRule>
  </conditionalFormatting>
  <conditionalFormatting sqref="F14">
    <cfRule type="cellIs" priority="17" operator="greaterThan" aboveAverage="0" equalAverage="0" bottom="0" percent="0" rank="0" text="" dxfId="0">
      <formula>0</formula>
    </cfRule>
  </conditionalFormatting>
  <conditionalFormatting sqref="A15:F15">
    <cfRule type="expression" priority="18" aboveAverage="0" equalAverage="0" bottom="0" percent="0" rank="0" text="" dxfId="2">
      <formula>$F15=0</formula>
    </cfRule>
  </conditionalFormatting>
  <conditionalFormatting sqref="F15">
    <cfRule type="cellIs" priority="19" operator="greaterThan" aboveAverage="0" equalAverage="0" bottom="0" percent="0" rank="0" text="" dxfId="0">
      <formula>0</formula>
    </cfRule>
  </conditionalFormatting>
  <conditionalFormatting sqref="A16:F16">
    <cfRule type="expression" priority="20" aboveAverage="0" equalAverage="0" bottom="0" percent="0" rank="0" text="" dxfId="2">
      <formula>$F16=0</formula>
    </cfRule>
  </conditionalFormatting>
  <conditionalFormatting sqref="F16">
    <cfRule type="cellIs" priority="21" operator="greaterThan" aboveAverage="0" equalAverage="0" bottom="0" percent="0" rank="0" text="" dxfId="0">
      <formula>0</formula>
    </cfRule>
  </conditionalFormatting>
  <conditionalFormatting sqref="A17:F17">
    <cfRule type="expression" priority="22" aboveAverage="0" equalAverage="0" bottom="0" percent="0" rank="0" text="" dxfId="2">
      <formula>$F17=0</formula>
    </cfRule>
  </conditionalFormatting>
  <conditionalFormatting sqref="F17">
    <cfRule type="cellIs" priority="23" operator="greaterThan" aboveAverage="0" equalAverage="0" bottom="0" percent="0" rank="0" text="" dxfId="0">
      <formula>0</formula>
    </cfRule>
  </conditionalFormatting>
  <conditionalFormatting sqref="A18:F18">
    <cfRule type="expression" priority="24" aboveAverage="0" equalAverage="0" bottom="0" percent="0" rank="0" text="" dxfId="2">
      <formula>$F18=0</formula>
    </cfRule>
  </conditionalFormatting>
  <conditionalFormatting sqref="F18">
    <cfRule type="cellIs" priority="25" operator="greaterThan" aboveAverage="0" equalAverage="0" bottom="0" percent="0" rank="0" text="" dxfId="0">
      <formula>0</formula>
    </cfRule>
  </conditionalFormatting>
  <conditionalFormatting sqref="A19:F19">
    <cfRule type="expression" priority="26" aboveAverage="0" equalAverage="0" bottom="0" percent="0" rank="0" text="" dxfId="2">
      <formula>$F19=0</formula>
    </cfRule>
  </conditionalFormatting>
  <conditionalFormatting sqref="F19">
    <cfRule type="cellIs" priority="27" operator="greaterThan" aboveAverage="0" equalAverage="0" bottom="0" percent="0" rank="0" text="" dxfId="0">
      <formula>0</formula>
    </cfRule>
  </conditionalFormatting>
  <conditionalFormatting sqref="A20:F20">
    <cfRule type="expression" priority="28" aboveAverage="0" equalAverage="0" bottom="0" percent="0" rank="0" text="" dxfId="2">
      <formula>$F20=0</formula>
    </cfRule>
  </conditionalFormatting>
  <conditionalFormatting sqref="F20">
    <cfRule type="cellIs" priority="29" operator="greaterThan" aboveAverage="0" equalAverage="0" bottom="0" percent="0" rank="0" text="" dxfId="0">
      <formula>0</formula>
    </cfRule>
  </conditionalFormatting>
  <conditionalFormatting sqref="A21:F21">
    <cfRule type="expression" priority="30" aboveAverage="0" equalAverage="0" bottom="0" percent="0" rank="0" text="" dxfId="2">
      <formula>$F21=0</formula>
    </cfRule>
  </conditionalFormatting>
  <conditionalFormatting sqref="F21">
    <cfRule type="cellIs" priority="31" operator="greaterThan" aboveAverage="0" equalAverage="0" bottom="0" percent="0" rank="0" text="" dxfId="0">
      <formula>0</formula>
    </cfRule>
  </conditionalFormatting>
  <conditionalFormatting sqref="A22:F22">
    <cfRule type="expression" priority="32" aboveAverage="0" equalAverage="0" bottom="0" percent="0" rank="0" text="" dxfId="2">
      <formula>$F22=0</formula>
    </cfRule>
  </conditionalFormatting>
  <conditionalFormatting sqref="F22">
    <cfRule type="cellIs" priority="33" operator="greaterThan" aboveAverage="0" equalAverage="0" bottom="0" percent="0" rank="0" text="" dxfId="0">
      <formula>0</formula>
    </cfRule>
  </conditionalFormatting>
  <conditionalFormatting sqref="A23:F23">
    <cfRule type="expression" priority="34" aboveAverage="0" equalAverage="0" bottom="0" percent="0" rank="0" text="" dxfId="2">
      <formula>$F23=0</formula>
    </cfRule>
  </conditionalFormatting>
  <conditionalFormatting sqref="F23">
    <cfRule type="cellIs" priority="35" operator="greaterThan" aboveAverage="0" equalAverage="0" bottom="0" percent="0" rank="0" text="" dxfId="0">
      <formula>0</formula>
    </cfRule>
  </conditionalFormatting>
  <conditionalFormatting sqref="A24:F24">
    <cfRule type="expression" priority="36" aboveAverage="0" equalAverage="0" bottom="0" percent="0" rank="0" text="" dxfId="2">
      <formula>$F24=0</formula>
    </cfRule>
  </conditionalFormatting>
  <conditionalFormatting sqref="F24">
    <cfRule type="cellIs" priority="37" operator="greaterThan" aboveAverage="0" equalAverage="0" bottom="0" percent="0" rank="0" text="" dxfId="0">
      <formula>0</formula>
    </cfRule>
  </conditionalFormatting>
  <conditionalFormatting sqref="A25:F25">
    <cfRule type="expression" priority="38" aboveAverage="0" equalAverage="0" bottom="0" percent="0" rank="0" text="" dxfId="2">
      <formula>$F25=0</formula>
    </cfRule>
  </conditionalFormatting>
  <conditionalFormatting sqref="F25">
    <cfRule type="cellIs" priority="39" operator="greaterThan" aboveAverage="0" equalAverage="0" bottom="0" percent="0" rank="0" text="" dxfId="0">
      <formula>0</formula>
    </cfRule>
  </conditionalFormatting>
  <conditionalFormatting sqref="A26:F26">
    <cfRule type="expression" priority="40" aboveAverage="0" equalAverage="0" bottom="0" percent="0" rank="0" text="" dxfId="2">
      <formula>$F26=0</formula>
    </cfRule>
  </conditionalFormatting>
  <conditionalFormatting sqref="F26">
    <cfRule type="cellIs" priority="41" operator="greaterThan" aboveAverage="0" equalAverage="0" bottom="0" percent="0" rank="0" text="" dxfId="0">
      <formula>0</formula>
    </cfRule>
  </conditionalFormatting>
  <conditionalFormatting sqref="A27:F27">
    <cfRule type="expression" priority="42" aboveAverage="0" equalAverage="0" bottom="0" percent="0" rank="0" text="" dxfId="2">
      <formula>$F27=0</formula>
    </cfRule>
  </conditionalFormatting>
  <conditionalFormatting sqref="F27">
    <cfRule type="cellIs" priority="43" operator="greaterThan" aboveAverage="0" equalAverage="0" bottom="0" percent="0" rank="0" text="" dxfId="0">
      <formula>0</formula>
    </cfRule>
  </conditionalFormatting>
  <conditionalFormatting sqref="A28:F28">
    <cfRule type="expression" priority="44" aboveAverage="0" equalAverage="0" bottom="0" percent="0" rank="0" text="" dxfId="2">
      <formula>$F28=0</formula>
    </cfRule>
  </conditionalFormatting>
  <conditionalFormatting sqref="F28">
    <cfRule type="cellIs" priority="45" operator="greaterThan" aboveAverage="0" equalAverage="0" bottom="0" percent="0" rank="0" text="" dxfId="0">
      <formula>0</formula>
    </cfRule>
  </conditionalFormatting>
  <conditionalFormatting sqref="A29:F29">
    <cfRule type="expression" priority="46" aboveAverage="0" equalAverage="0" bottom="0" percent="0" rank="0" text="" dxfId="2">
      <formula>$F29=0</formula>
    </cfRule>
  </conditionalFormatting>
  <conditionalFormatting sqref="F29">
    <cfRule type="cellIs" priority="47" operator="greaterThan" aboveAverage="0" equalAverage="0" bottom="0" percent="0" rank="0" text="" dxfId="0">
      <formula>0</formula>
    </cfRule>
  </conditionalFormatting>
  <conditionalFormatting sqref="A30:F30">
    <cfRule type="expression" priority="48" aboveAverage="0" equalAverage="0" bottom="0" percent="0" rank="0" text="" dxfId="2">
      <formula>$F30=0</formula>
    </cfRule>
  </conditionalFormatting>
  <conditionalFormatting sqref="F30">
    <cfRule type="cellIs" priority="49" operator="greaterThan" aboveAverage="0" equalAverage="0" bottom="0" percent="0" rank="0" text="" dxfId="0">
      <formula>0</formula>
    </cfRule>
  </conditionalFormatting>
  <conditionalFormatting sqref="A31:F31">
    <cfRule type="expression" priority="50" aboveAverage="0" equalAverage="0" bottom="0" percent="0" rank="0" text="" dxfId="2">
      <formula>$F31=0</formula>
    </cfRule>
  </conditionalFormatting>
  <conditionalFormatting sqref="F31">
    <cfRule type="cellIs" priority="51" operator="greaterThan" aboveAverage="0" equalAverage="0" bottom="0" percent="0" rank="0" text="" dxfId="0">
      <formula>0</formula>
    </cfRule>
  </conditionalFormatting>
  <conditionalFormatting sqref="A32:F32">
    <cfRule type="expression" priority="52" aboveAverage="0" equalAverage="0" bottom="0" percent="0" rank="0" text="" dxfId="2">
      <formula>$F32=0</formula>
    </cfRule>
  </conditionalFormatting>
  <conditionalFormatting sqref="F32">
    <cfRule type="cellIs" priority="53" operator="greaterThan" aboveAverage="0" equalAverage="0" bottom="0" percent="0" rank="0" text="" dxfId="0">
      <formula>0</formula>
    </cfRule>
  </conditionalFormatting>
  <conditionalFormatting sqref="A33:F33">
    <cfRule type="expression" priority="54" aboveAverage="0" equalAverage="0" bottom="0" percent="0" rank="0" text="" dxfId="2">
      <formula>$F33=0</formula>
    </cfRule>
  </conditionalFormatting>
  <conditionalFormatting sqref="F33">
    <cfRule type="cellIs" priority="55" operator="greaterThan" aboveAverage="0" equalAverage="0" bottom="0" percent="0" rank="0" text="" dxfId="0">
      <formula>0</formula>
    </cfRule>
  </conditionalFormatting>
  <conditionalFormatting sqref="A34:F34">
    <cfRule type="expression" priority="56" aboveAverage="0" equalAverage="0" bottom="0" percent="0" rank="0" text="" dxfId="2">
      <formula>$F34=0</formula>
    </cfRule>
  </conditionalFormatting>
  <conditionalFormatting sqref="F34">
    <cfRule type="cellIs" priority="57" operator="greaterThan" aboveAverage="0" equalAverage="0" bottom="0" percent="0" rank="0" text="" dxfId="0">
      <formula>0</formula>
    </cfRule>
  </conditionalFormatting>
  <conditionalFormatting sqref="A35:F35">
    <cfRule type="expression" priority="58" aboveAverage="0" equalAverage="0" bottom="0" percent="0" rank="0" text="" dxfId="2">
      <formula>$F35=0</formula>
    </cfRule>
  </conditionalFormatting>
  <conditionalFormatting sqref="F35">
    <cfRule type="cellIs" priority="59" operator="greaterThan" aboveAverage="0" equalAverage="0" bottom="0" percent="0" rank="0" text="" dxfId="0">
      <formula>0</formula>
    </cfRule>
  </conditionalFormatting>
  <conditionalFormatting sqref="A36:F36">
    <cfRule type="expression" priority="60" aboveAverage="0" equalAverage="0" bottom="0" percent="0" rank="0" text="" dxfId="2">
      <formula>$F36=0</formula>
    </cfRule>
  </conditionalFormatting>
  <conditionalFormatting sqref="F36">
    <cfRule type="cellIs" priority="61" operator="greaterThan" aboveAverage="0" equalAverage="0" bottom="0" percent="0" rank="0" text="" dxfId="0">
      <formula>0</formula>
    </cfRule>
  </conditionalFormatting>
  <conditionalFormatting sqref="A37:F37">
    <cfRule type="expression" priority="62" aboveAverage="0" equalAverage="0" bottom="0" percent="0" rank="0" text="" dxfId="2">
      <formula>$F37=0</formula>
    </cfRule>
  </conditionalFormatting>
  <conditionalFormatting sqref="F37">
    <cfRule type="cellIs" priority="63" operator="greaterThan" aboveAverage="0" equalAverage="0" bottom="0" percent="0" rank="0" text="" dxfId="0">
      <formula>0</formula>
    </cfRule>
  </conditionalFormatting>
  <conditionalFormatting sqref="A38:F38">
    <cfRule type="expression" priority="64" aboveAverage="0" equalAverage="0" bottom="0" percent="0" rank="0" text="" dxfId="2">
      <formula>$F38=0</formula>
    </cfRule>
  </conditionalFormatting>
  <conditionalFormatting sqref="F38">
    <cfRule type="cellIs" priority="65" operator="greaterThan" aboveAverage="0" equalAverage="0" bottom="0" percent="0" rank="0" text="" dxfId="0">
      <formula>0</formula>
    </cfRule>
  </conditionalFormatting>
  <conditionalFormatting sqref="A39:F39">
    <cfRule type="expression" priority="66" aboveAverage="0" equalAverage="0" bottom="0" percent="0" rank="0" text="" dxfId="2">
      <formula>$F39=0</formula>
    </cfRule>
  </conditionalFormatting>
  <conditionalFormatting sqref="F39">
    <cfRule type="cellIs" priority="67" operator="greaterThan" aboveAverage="0" equalAverage="0" bottom="0" percent="0" rank="0" text="" dxfId="0">
      <formula>0</formula>
    </cfRule>
  </conditionalFormatting>
  <conditionalFormatting sqref="A40:F40">
    <cfRule type="expression" priority="68" aboveAverage="0" equalAverage="0" bottom="0" percent="0" rank="0" text="" dxfId="2">
      <formula>$F40=0</formula>
    </cfRule>
  </conditionalFormatting>
  <conditionalFormatting sqref="F40">
    <cfRule type="cellIs" priority="69" operator="greaterThan" aboveAverage="0" equalAverage="0" bottom="0" percent="0" rank="0" text="" dxfId="0">
      <formula>0</formula>
    </cfRule>
  </conditionalFormatting>
  <conditionalFormatting sqref="A41:F41">
    <cfRule type="expression" priority="70" aboveAverage="0" equalAverage="0" bottom="0" percent="0" rank="0" text="" dxfId="2">
      <formula>$F41=0</formula>
    </cfRule>
  </conditionalFormatting>
  <conditionalFormatting sqref="F41">
    <cfRule type="cellIs" priority="71" operator="greaterThan" aboveAverage="0" equalAverage="0" bottom="0" percent="0" rank="0" text="" dxfId="0">
      <formula>0</formula>
    </cfRule>
  </conditionalFormatting>
  <conditionalFormatting sqref="A42:F42">
    <cfRule type="expression" priority="72" aboveAverage="0" equalAverage="0" bottom="0" percent="0" rank="0" text="" dxfId="2">
      <formula>$F42=0</formula>
    </cfRule>
  </conditionalFormatting>
  <conditionalFormatting sqref="F42">
    <cfRule type="cellIs" priority="73" operator="greaterThan" aboveAverage="0" equalAverage="0" bottom="0" percent="0" rank="0" text="" dxfId="0">
      <formula>0</formula>
    </cfRule>
  </conditionalFormatting>
  <conditionalFormatting sqref="A43:F43">
    <cfRule type="expression" priority="74" aboveAverage="0" equalAverage="0" bottom="0" percent="0" rank="0" text="" dxfId="2">
      <formula>$F43=0</formula>
    </cfRule>
  </conditionalFormatting>
  <conditionalFormatting sqref="F43">
    <cfRule type="cellIs" priority="75" operator="greaterThan" aboveAverage="0" equalAverage="0" bottom="0" percent="0" rank="0" text="" dxfId="0">
      <formula>0</formula>
    </cfRule>
  </conditionalFormatting>
  <conditionalFormatting sqref="A44:F44">
    <cfRule type="expression" priority="76" aboveAverage="0" equalAverage="0" bottom="0" percent="0" rank="0" text="" dxfId="2">
      <formula>$F44=0</formula>
    </cfRule>
  </conditionalFormatting>
  <conditionalFormatting sqref="F44">
    <cfRule type="cellIs" priority="77" operator="greaterThan" aboveAverage="0" equalAverage="0" bottom="0" percent="0" rank="0" text="" dxfId="0">
      <formula>0</formula>
    </cfRule>
  </conditionalFormatting>
  <conditionalFormatting sqref="A45:F45">
    <cfRule type="expression" priority="78" aboveAverage="0" equalAverage="0" bottom="0" percent="0" rank="0" text="" dxfId="2">
      <formula>$F45=0</formula>
    </cfRule>
  </conditionalFormatting>
  <conditionalFormatting sqref="F45">
    <cfRule type="cellIs" priority="79" operator="greaterThan" aboveAverage="0" equalAverage="0" bottom="0" percent="0" rank="0" text="" dxfId="0">
      <formula>0</formula>
    </cfRule>
  </conditionalFormatting>
  <conditionalFormatting sqref="A46:F46">
    <cfRule type="expression" priority="80" aboveAverage="0" equalAverage="0" bottom="0" percent="0" rank="0" text="" dxfId="2">
      <formula>$F46=0</formula>
    </cfRule>
  </conditionalFormatting>
  <conditionalFormatting sqref="F46">
    <cfRule type="cellIs" priority="81" operator="greaterThan" aboveAverage="0" equalAverage="0" bottom="0" percent="0" rank="0" text="" dxfId="0">
      <formula>0</formula>
    </cfRule>
  </conditionalFormatting>
  <conditionalFormatting sqref="A47:F47">
    <cfRule type="expression" priority="82" aboveAverage="0" equalAverage="0" bottom="0" percent="0" rank="0" text="" dxfId="2">
      <formula>$F47=0</formula>
    </cfRule>
  </conditionalFormatting>
  <conditionalFormatting sqref="F47">
    <cfRule type="cellIs" priority="83" operator="greaterThan" aboveAverage="0" equalAverage="0" bottom="0" percent="0" rank="0" text="" dxfId="0">
      <formula>0</formula>
    </cfRule>
  </conditionalFormatting>
  <conditionalFormatting sqref="A48:F48">
    <cfRule type="expression" priority="84" aboveAverage="0" equalAverage="0" bottom="0" percent="0" rank="0" text="" dxfId="2">
      <formula>$F48=0</formula>
    </cfRule>
  </conditionalFormatting>
  <conditionalFormatting sqref="F48">
    <cfRule type="cellIs" priority="85" operator="greaterThan" aboveAverage="0" equalAverage="0" bottom="0" percent="0" rank="0" text="" dxfId="0">
      <formula>0</formula>
    </cfRule>
  </conditionalFormatting>
  <conditionalFormatting sqref="A49:F49">
    <cfRule type="expression" priority="86" aboveAverage="0" equalAverage="0" bottom="0" percent="0" rank="0" text="" dxfId="2">
      <formula>$F49=0</formula>
    </cfRule>
  </conditionalFormatting>
  <conditionalFormatting sqref="F49">
    <cfRule type="cellIs" priority="87" operator="greaterThan" aboveAverage="0" equalAverage="0" bottom="0" percent="0" rank="0" text="" dxfId="0">
      <formula>0</formula>
    </cfRule>
  </conditionalFormatting>
  <conditionalFormatting sqref="A50:F50">
    <cfRule type="expression" priority="88" aboveAverage="0" equalAverage="0" bottom="0" percent="0" rank="0" text="" dxfId="2">
      <formula>$F50=0</formula>
    </cfRule>
  </conditionalFormatting>
  <conditionalFormatting sqref="F50">
    <cfRule type="cellIs" priority="89" operator="greaterThan" aboveAverage="0" equalAverage="0" bottom="0" percent="0" rank="0" text="" dxfId="0">
      <formula>0</formula>
    </cfRule>
  </conditionalFormatting>
  <conditionalFormatting sqref="A51:F51">
    <cfRule type="expression" priority="90" aboveAverage="0" equalAverage="0" bottom="0" percent="0" rank="0" text="" dxfId="2">
      <formula>$F51=0</formula>
    </cfRule>
  </conditionalFormatting>
  <conditionalFormatting sqref="F51">
    <cfRule type="cellIs" priority="91" operator="greaterThan" aboveAverage="0" equalAverage="0" bottom="0" percent="0" rank="0" text="" dxfId="0">
      <formula>0</formula>
    </cfRule>
  </conditionalFormatting>
  <conditionalFormatting sqref="A52:F52">
    <cfRule type="expression" priority="92" aboveAverage="0" equalAverage="0" bottom="0" percent="0" rank="0" text="" dxfId="2">
      <formula>$F52=0</formula>
    </cfRule>
  </conditionalFormatting>
  <conditionalFormatting sqref="F52">
    <cfRule type="cellIs" priority="93" operator="greaterThan" aboveAverage="0" equalAverage="0" bottom="0" percent="0" rank="0" text="" dxfId="0">
      <formula>0</formula>
    </cfRule>
  </conditionalFormatting>
  <conditionalFormatting sqref="A53:F53">
    <cfRule type="expression" priority="94" aboveAverage="0" equalAverage="0" bottom="0" percent="0" rank="0" text="" dxfId="2">
      <formula>$F53=0</formula>
    </cfRule>
  </conditionalFormatting>
  <conditionalFormatting sqref="F53">
    <cfRule type="cellIs" priority="95" operator="greaterThan" aboveAverage="0" equalAverage="0" bottom="0" percent="0" rank="0" text="" dxfId="0">
      <formula>0</formula>
    </cfRule>
  </conditionalFormatting>
  <conditionalFormatting sqref="A54:F54">
    <cfRule type="expression" priority="96" aboveAverage="0" equalAverage="0" bottom="0" percent="0" rank="0" text="" dxfId="2">
      <formula>$F54=0</formula>
    </cfRule>
  </conditionalFormatting>
  <conditionalFormatting sqref="F54">
    <cfRule type="cellIs" priority="97" operator="greaterThan" aboveAverage="0" equalAverage="0" bottom="0" percent="0" rank="0" text="" dxfId="0">
      <formula>0</formula>
    </cfRule>
  </conditionalFormatting>
  <conditionalFormatting sqref="A55:F55">
    <cfRule type="expression" priority="98" aboveAverage="0" equalAverage="0" bottom="0" percent="0" rank="0" text="" dxfId="2">
      <formula>$F55=0</formula>
    </cfRule>
  </conditionalFormatting>
  <conditionalFormatting sqref="F55">
    <cfRule type="cellIs" priority="99" operator="greaterThan" aboveAverage="0" equalAverage="0" bottom="0" percent="0" rank="0" text="" dxfId="0">
      <formula>0</formula>
    </cfRule>
  </conditionalFormatting>
  <conditionalFormatting sqref="A56:F56">
    <cfRule type="expression" priority="100" aboveAverage="0" equalAverage="0" bottom="0" percent="0" rank="0" text="" dxfId="2">
      <formula>$F56=0</formula>
    </cfRule>
  </conditionalFormatting>
  <conditionalFormatting sqref="F56">
    <cfRule type="cellIs" priority="101" operator="greaterThan" aboveAverage="0" equalAverage="0" bottom="0" percent="0" rank="0" text="" dxfId="0">
      <formula>0</formula>
    </cfRule>
  </conditionalFormatting>
  <conditionalFormatting sqref="A57:F57">
    <cfRule type="expression" priority="102" aboveAverage="0" equalAverage="0" bottom="0" percent="0" rank="0" text="" dxfId="2">
      <formula>$F57=0</formula>
    </cfRule>
  </conditionalFormatting>
  <conditionalFormatting sqref="F57">
    <cfRule type="cellIs" priority="103" operator="greaterThan" aboveAverage="0" equalAverage="0" bottom="0" percent="0" rank="0" text="" dxfId="0">
      <formula>0</formula>
    </cfRule>
  </conditionalFormatting>
  <conditionalFormatting sqref="A58:F58">
    <cfRule type="expression" priority="104" aboveAverage="0" equalAverage="0" bottom="0" percent="0" rank="0" text="" dxfId="2">
      <formula>$F58=0</formula>
    </cfRule>
  </conditionalFormatting>
  <conditionalFormatting sqref="F58">
    <cfRule type="cellIs" priority="105" operator="greaterThan" aboveAverage="0" equalAverage="0" bottom="0" percent="0" rank="0" text="" dxfId="0">
      <formula>0</formula>
    </cfRule>
  </conditionalFormatting>
  <conditionalFormatting sqref="A59:F59">
    <cfRule type="expression" priority="106" aboveAverage="0" equalAverage="0" bottom="0" percent="0" rank="0" text="" dxfId="2">
      <formula>$F59=0</formula>
    </cfRule>
  </conditionalFormatting>
  <conditionalFormatting sqref="F59">
    <cfRule type="cellIs" priority="107" operator="greaterThan" aboveAverage="0" equalAverage="0" bottom="0" percent="0" rank="0" text="" dxfId="0">
      <formula>0</formula>
    </cfRule>
  </conditionalFormatting>
  <conditionalFormatting sqref="A60:F60">
    <cfRule type="expression" priority="108" aboveAverage="0" equalAverage="0" bottom="0" percent="0" rank="0" text="" dxfId="2">
      <formula>$F60=0</formula>
    </cfRule>
  </conditionalFormatting>
  <conditionalFormatting sqref="F60">
    <cfRule type="cellIs" priority="109" operator="greaterThan" aboveAverage="0" equalAverage="0" bottom="0" percent="0" rank="0" text="" dxfId="0">
      <formula>0</formula>
    </cfRule>
  </conditionalFormatting>
  <conditionalFormatting sqref="A61:F61">
    <cfRule type="expression" priority="110" aboveAverage="0" equalAverage="0" bottom="0" percent="0" rank="0" text="" dxfId="2">
      <formula>$F61=0</formula>
    </cfRule>
  </conditionalFormatting>
  <conditionalFormatting sqref="F61">
    <cfRule type="cellIs" priority="111" operator="greaterThan" aboveAverage="0" equalAverage="0" bottom="0" percent="0" rank="0" text="" dxfId="0">
      <formula>0</formula>
    </cfRule>
  </conditionalFormatting>
  <conditionalFormatting sqref="A62:F62">
    <cfRule type="expression" priority="112" aboveAverage="0" equalAverage="0" bottom="0" percent="0" rank="0" text="" dxfId="2">
      <formula>$F62=0</formula>
    </cfRule>
  </conditionalFormatting>
  <conditionalFormatting sqref="F62">
    <cfRule type="cellIs" priority="113" operator="greaterThan" aboveAverage="0" equalAverage="0" bottom="0" percent="0" rank="0" text="" dxfId="0">
      <formula>0</formula>
    </cfRule>
  </conditionalFormatting>
  <conditionalFormatting sqref="A63:F63">
    <cfRule type="expression" priority="114" aboveAverage="0" equalAverage="0" bottom="0" percent="0" rank="0" text="" dxfId="2">
      <formula>$F63=0</formula>
    </cfRule>
  </conditionalFormatting>
  <conditionalFormatting sqref="F63">
    <cfRule type="cellIs" priority="115" operator="greaterThan" aboveAverage="0" equalAverage="0" bottom="0" percent="0" rank="0" text="" dxfId="0">
      <formula>0</formula>
    </cfRule>
  </conditionalFormatting>
  <conditionalFormatting sqref="A64:F64">
    <cfRule type="expression" priority="116" aboveAverage="0" equalAverage="0" bottom="0" percent="0" rank="0" text="" dxfId="2">
      <formula>$F64=0</formula>
    </cfRule>
  </conditionalFormatting>
  <conditionalFormatting sqref="F64">
    <cfRule type="cellIs" priority="117" operator="greaterThan" aboveAverage="0" equalAverage="0" bottom="0" percent="0" rank="0" text="" dxfId="0">
      <formula>0</formula>
    </cfRule>
  </conditionalFormatting>
  <conditionalFormatting sqref="A65:F65">
    <cfRule type="expression" priority="118" aboveAverage="0" equalAverage="0" bottom="0" percent="0" rank="0" text="" dxfId="2">
      <formula>$F65=0</formula>
    </cfRule>
  </conditionalFormatting>
  <conditionalFormatting sqref="F65">
    <cfRule type="cellIs" priority="119" operator="greaterThan" aboveAverage="0" equalAverage="0" bottom="0" percent="0" rank="0" text="" dxfId="0">
      <formula>0</formula>
    </cfRule>
  </conditionalFormatting>
  <conditionalFormatting sqref="A66:F66">
    <cfRule type="expression" priority="120" aboveAverage="0" equalAverage="0" bottom="0" percent="0" rank="0" text="" dxfId="2">
      <formula>$F66=0</formula>
    </cfRule>
  </conditionalFormatting>
  <conditionalFormatting sqref="F66">
    <cfRule type="cellIs" priority="121" operator="greaterThan" aboveAverage="0" equalAverage="0" bottom="0" percent="0" rank="0" text="" dxfId="0">
      <formula>0</formula>
    </cfRule>
  </conditionalFormatting>
  <conditionalFormatting sqref="A67:F67">
    <cfRule type="expression" priority="122" aboveAverage="0" equalAverage="0" bottom="0" percent="0" rank="0" text="" dxfId="2">
      <formula>$F67=0</formula>
    </cfRule>
  </conditionalFormatting>
  <conditionalFormatting sqref="F67">
    <cfRule type="cellIs" priority="12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29" t="s">
        <v>40</v>
      </c>
      <c r="B1" s="29"/>
      <c r="C1" s="29"/>
      <c r="D1" s="29"/>
      <c r="E1" s="29"/>
      <c r="F1" s="29"/>
    </row>
    <row r="3" customFormat="false" ht="21.75" hidden="false" customHeight="true" outlineLevel="0" collapsed="false">
      <c r="A3" s="30" t="s">
        <v>41</v>
      </c>
      <c r="B3" s="30"/>
      <c r="C3" s="30"/>
      <c r="D3" s="30"/>
      <c r="E3" s="30"/>
      <c r="F3" s="30"/>
    </row>
    <row r="4" customFormat="false" ht="18" hidden="false" customHeight="true" outlineLevel="0" collapsed="false">
      <c r="A4" s="31" t="s">
        <v>3</v>
      </c>
      <c r="B4" s="31" t="s">
        <v>4</v>
      </c>
      <c r="C4" s="31" t="s">
        <v>5</v>
      </c>
      <c r="D4" s="32" t="s">
        <v>6</v>
      </c>
      <c r="E4" s="31" t="s">
        <v>35</v>
      </c>
      <c r="F4" s="33" t="s">
        <v>42</v>
      </c>
    </row>
    <row r="5" customFormat="false" ht="15" hidden="false" customHeight="false" outlineLevel="0" collapsed="false">
      <c r="A5" s="24" t="str">
        <f aca="false">Contagem!A5</f>
        <v>Layout A</v>
      </c>
      <c r="B5" s="13" t="str">
        <f aca="false">Contagem!B5</f>
        <v>Normal</v>
      </c>
      <c r="C5" s="9" t="str">
        <f aca="false">Contagem!C5</f>
        <v>P</v>
      </c>
      <c r="D5" s="25" t="n">
        <f aca="false">Contagem!D5</f>
        <v>2</v>
      </c>
      <c r="E5" s="34" t="n">
        <f aca="false">Contagem!E5</f>
        <v>0</v>
      </c>
      <c r="F5" s="26" t="n">
        <f aca="false">Contagem!F5</f>
        <v>2</v>
      </c>
    </row>
    <row r="6" customFormat="false" ht="15" hidden="false" customHeight="false" outlineLevel="0" collapsed="false">
      <c r="A6" s="24" t="str">
        <f aca="false">Contagem!A6</f>
        <v>Layout A</v>
      </c>
      <c r="B6" s="35" t="str">
        <f aca="false">Contagem!B6</f>
        <v>Normal</v>
      </c>
      <c r="C6" s="15" t="str">
        <f aca="false">Contagem!C6</f>
        <v>M</v>
      </c>
      <c r="D6" s="25" t="n">
        <f aca="false">Contagem!D6</f>
        <v>6</v>
      </c>
      <c r="E6" s="34" t="n">
        <f aca="false">Contagem!E6</f>
        <v>0</v>
      </c>
      <c r="F6" s="26" t="n">
        <f aca="false">Contagem!F6</f>
        <v>6</v>
      </c>
    </row>
    <row r="7" customFormat="false" ht="15" hidden="false" customHeight="false" outlineLevel="0" collapsed="false">
      <c r="A7" s="24" t="str">
        <f aca="false">Contagem!A7</f>
        <v>Layout A</v>
      </c>
      <c r="B7" s="13" t="str">
        <f aca="false">Contagem!B7</f>
        <v>Normal</v>
      </c>
      <c r="C7" s="9" t="str">
        <f aca="false">Contagem!C7</f>
        <v>G</v>
      </c>
      <c r="D7" s="25" t="n">
        <f aca="false">Contagem!D7</f>
        <v>13</v>
      </c>
      <c r="E7" s="34" t="n">
        <f aca="false">Contagem!E7</f>
        <v>0</v>
      </c>
      <c r="F7" s="26" t="n">
        <f aca="false">Contagem!F7</f>
        <v>13</v>
      </c>
    </row>
    <row r="8" customFormat="false" ht="15" hidden="false" customHeight="false" outlineLevel="0" collapsed="false">
      <c r="A8" s="24" t="str">
        <f aca="false">Contagem!A8</f>
        <v>Layout A</v>
      </c>
      <c r="B8" s="35" t="str">
        <f aca="false">Contagem!B8</f>
        <v>Normal</v>
      </c>
      <c r="C8" s="15" t="str">
        <f aca="false">Contagem!C8</f>
        <v>GG</v>
      </c>
      <c r="D8" s="25" t="n">
        <f aca="false">Contagem!D8</f>
        <v>3</v>
      </c>
      <c r="E8" s="34" t="n">
        <f aca="false">Contagem!E8</f>
        <v>0</v>
      </c>
      <c r="F8" s="26" t="n">
        <f aca="false">Contagem!F8</f>
        <v>3</v>
      </c>
    </row>
    <row r="9" customFormat="false" ht="15" hidden="false" customHeight="false" outlineLevel="0" collapsed="false">
      <c r="A9" s="24" t="str">
        <f aca="false">Contagem!A9</f>
        <v>Layout A</v>
      </c>
      <c r="B9" s="13" t="str">
        <f aca="false">Contagem!B9</f>
        <v>Normal</v>
      </c>
      <c r="C9" s="9" t="str">
        <f aca="false">Contagem!C9</f>
        <v>EG</v>
      </c>
      <c r="D9" s="25" t="n">
        <f aca="false">Contagem!D9</f>
        <v>3</v>
      </c>
      <c r="E9" s="34" t="n">
        <f aca="false">Contagem!E9</f>
        <v>0</v>
      </c>
      <c r="F9" s="26" t="n">
        <f aca="false">Contagem!F9</f>
        <v>3</v>
      </c>
    </row>
    <row r="10" customFormat="false" ht="15" hidden="false" customHeight="false" outlineLevel="0" collapsed="false">
      <c r="A10" s="24" t="str">
        <f aca="false">Contagem!A10</f>
        <v>Layout A</v>
      </c>
      <c r="B10" s="35" t="str">
        <f aca="false">Contagem!B10</f>
        <v>Normal</v>
      </c>
      <c r="C10" s="15" t="str">
        <f aca="false">Contagem!C10</f>
        <v>EXG</v>
      </c>
      <c r="D10" s="25" t="n">
        <f aca="false">Contagem!D10</f>
        <v>1</v>
      </c>
      <c r="E10" s="34" t="n">
        <f aca="false">Contagem!E10</f>
        <v>0</v>
      </c>
      <c r="F10" s="26" t="n">
        <f aca="false">Contagem!F10</f>
        <v>1</v>
      </c>
    </row>
    <row r="11" customFormat="false" ht="15" hidden="false" customHeight="false" outlineLevel="0" collapsed="false">
      <c r="A11" s="24" t="str">
        <f aca="false">Contagem!A11</f>
        <v>Layout A</v>
      </c>
      <c r="B11" s="13" t="str">
        <f aca="false">Contagem!B11</f>
        <v>Babylook</v>
      </c>
      <c r="C11" s="9" t="str">
        <f aca="false">Contagem!C11</f>
        <v>P</v>
      </c>
      <c r="D11" s="25" t="n">
        <f aca="false">Contagem!D11</f>
        <v>1</v>
      </c>
      <c r="E11" s="34" t="n">
        <f aca="false">Contagem!E11</f>
        <v>0</v>
      </c>
      <c r="F11" s="26" t="n">
        <f aca="false">Contagem!F11</f>
        <v>1</v>
      </c>
    </row>
    <row r="12" customFormat="false" ht="15" hidden="false" customHeight="false" outlineLevel="0" collapsed="false">
      <c r="A12" s="24" t="str">
        <f aca="false">Contagem!A12</f>
        <v>Layout A</v>
      </c>
      <c r="B12" s="35" t="str">
        <f aca="false">Contagem!B12</f>
        <v>Babylook</v>
      </c>
      <c r="C12" s="15" t="str">
        <f aca="false">Contagem!C12</f>
        <v>M</v>
      </c>
      <c r="D12" s="25" t="n">
        <f aca="false">Contagem!D12</f>
        <v>5</v>
      </c>
      <c r="E12" s="34" t="n">
        <f aca="false">Contagem!E12</f>
        <v>0</v>
      </c>
      <c r="F12" s="26" t="n">
        <f aca="false">Contagem!F12</f>
        <v>5</v>
      </c>
    </row>
    <row r="13" customFormat="false" ht="15" hidden="false" customHeight="false" outlineLevel="0" collapsed="false">
      <c r="A13" s="24" t="str">
        <f aca="false">Contagem!A13</f>
        <v>Layout A</v>
      </c>
      <c r="B13" s="13" t="str">
        <f aca="false">Contagem!B13</f>
        <v>Babylook</v>
      </c>
      <c r="C13" s="9" t="str">
        <f aca="false">Contagem!C13</f>
        <v>G</v>
      </c>
      <c r="D13" s="25" t="n">
        <f aca="false">Contagem!D13</f>
        <v>3</v>
      </c>
      <c r="E13" s="34" t="n">
        <f aca="false">Contagem!E13</f>
        <v>0</v>
      </c>
      <c r="F13" s="26" t="n">
        <f aca="false">Contagem!F13</f>
        <v>3</v>
      </c>
    </row>
    <row r="14" customFormat="false" ht="15" hidden="false" customHeight="false" outlineLevel="0" collapsed="false">
      <c r="A14" s="24" t="str">
        <f aca="false">Contagem!A14</f>
        <v>Layout A</v>
      </c>
      <c r="B14" s="35" t="str">
        <f aca="false">Contagem!B14</f>
        <v>Babylook</v>
      </c>
      <c r="C14" s="15" t="str">
        <f aca="false">Contagem!C14</f>
        <v>GG</v>
      </c>
      <c r="D14" s="25" t="n">
        <f aca="false">Contagem!D14</f>
        <v>4</v>
      </c>
      <c r="E14" s="34" t="n">
        <f aca="false">Contagem!E14</f>
        <v>0</v>
      </c>
      <c r="F14" s="26" t="n">
        <f aca="false">Contagem!F14</f>
        <v>4</v>
      </c>
    </row>
    <row r="15" customFormat="false" ht="15" hidden="false" customHeight="false" outlineLevel="0" collapsed="false">
      <c r="A15" s="24" t="str">
        <f aca="false">Contagem!A15</f>
        <v>Layout A</v>
      </c>
      <c r="B15" s="13" t="str">
        <f aca="false">Contagem!B15</f>
        <v>Babylook</v>
      </c>
      <c r="C15" s="9" t="str">
        <f aca="false">Contagem!C15</f>
        <v>EG</v>
      </c>
      <c r="D15" s="25" t="n">
        <f aca="false">Contagem!D15</f>
        <v>3</v>
      </c>
      <c r="E15" s="34" t="n">
        <f aca="false">Contagem!E15</f>
        <v>0</v>
      </c>
      <c r="F15" s="26" t="n">
        <f aca="false">Contagem!F15</f>
        <v>3</v>
      </c>
    </row>
    <row r="16" customFormat="false" ht="15" hidden="false" customHeight="false" outlineLevel="0" collapsed="false">
      <c r="A16" s="24" t="str">
        <f aca="false">Contagem!A16</f>
        <v>Layout A</v>
      </c>
      <c r="B16" s="35" t="str">
        <f aca="false">Contagem!B16</f>
        <v>Babylook</v>
      </c>
      <c r="C16" s="15" t="str">
        <f aca="false">Contagem!C16</f>
        <v>EXG</v>
      </c>
      <c r="D16" s="25" t="n">
        <f aca="false">Contagem!D16</f>
        <v>5</v>
      </c>
      <c r="E16" s="34" t="n">
        <f aca="false">Contagem!E16</f>
        <v>0</v>
      </c>
      <c r="F16" s="26" t="n">
        <f aca="false">Contagem!F16</f>
        <v>5</v>
      </c>
    </row>
    <row r="17" customFormat="false" ht="15" hidden="false" customHeight="false" outlineLevel="0" collapsed="false">
      <c r="A17" s="24" t="str">
        <f aca="false">Contagem!A17</f>
        <v>Layout A</v>
      </c>
      <c r="B17" s="13" t="str">
        <f aca="false">Contagem!B17</f>
        <v>Infantil</v>
      </c>
      <c r="C17" s="9" t="str">
        <f aca="false">Contagem!C17</f>
        <v>1</v>
      </c>
      <c r="D17" s="25" t="n">
        <f aca="false">Contagem!D17</f>
        <v>1</v>
      </c>
      <c r="E17" s="34" t="n">
        <f aca="false">Contagem!E17</f>
        <v>0</v>
      </c>
      <c r="F17" s="26" t="n">
        <f aca="false">Contagem!F17</f>
        <v>1</v>
      </c>
    </row>
    <row r="18" customFormat="false" ht="15" hidden="false" customHeight="false" outlineLevel="0" collapsed="false">
      <c r="A18" s="24" t="str">
        <f aca="false">Contagem!A18</f>
        <v>Layout A</v>
      </c>
      <c r="B18" s="35" t="str">
        <f aca="false">Contagem!B18</f>
        <v>Infantil</v>
      </c>
      <c r="C18" s="15" t="str">
        <f aca="false">Contagem!C18</f>
        <v>2</v>
      </c>
      <c r="D18" s="25" t="n">
        <f aca="false">Contagem!D18</f>
        <v>1</v>
      </c>
      <c r="E18" s="34" t="n">
        <f aca="false">Contagem!E18</f>
        <v>0</v>
      </c>
      <c r="F18" s="26" t="n">
        <f aca="false">Contagem!F18</f>
        <v>1</v>
      </c>
    </row>
    <row r="19" customFormat="false" ht="15" hidden="false" customHeight="false" outlineLevel="0" collapsed="false">
      <c r="A19" s="24" t="str">
        <f aca="false">Contagem!A19</f>
        <v>Layout A</v>
      </c>
      <c r="B19" s="13" t="str">
        <f aca="false">Contagem!B19</f>
        <v>Infantil</v>
      </c>
      <c r="C19" s="9" t="str">
        <f aca="false">Contagem!C19</f>
        <v>6</v>
      </c>
      <c r="D19" s="25" t="n">
        <f aca="false">Contagem!D19</f>
        <v>2</v>
      </c>
      <c r="E19" s="34" t="n">
        <f aca="false">Contagem!E19</f>
        <v>0</v>
      </c>
      <c r="F19" s="26" t="n">
        <f aca="false">Contagem!F19</f>
        <v>2</v>
      </c>
    </row>
    <row r="20" customFormat="false" ht="15" hidden="false" customHeight="false" outlineLevel="0" collapsed="false">
      <c r="A20" s="24" t="str">
        <f aca="false">Contagem!A20</f>
        <v>Layout A</v>
      </c>
      <c r="B20" s="35" t="str">
        <f aca="false">Contagem!B20</f>
        <v>Infantil</v>
      </c>
      <c r="C20" s="15" t="str">
        <f aca="false">Contagem!C20</f>
        <v>8</v>
      </c>
      <c r="D20" s="25" t="n">
        <f aca="false">Contagem!D20</f>
        <v>2</v>
      </c>
      <c r="E20" s="34" t="n">
        <f aca="false">Contagem!E20</f>
        <v>0</v>
      </c>
      <c r="F20" s="26" t="n">
        <f aca="false">Contagem!F20</f>
        <v>2</v>
      </c>
    </row>
    <row r="21" customFormat="false" ht="15" hidden="false" customHeight="false" outlineLevel="0" collapsed="false">
      <c r="A21" s="24" t="str">
        <f aca="false">Contagem!A21</f>
        <v>Layout A</v>
      </c>
      <c r="B21" s="13" t="str">
        <f aca="false">Contagem!B21</f>
        <v>Infantil</v>
      </c>
      <c r="C21" s="9" t="str">
        <f aca="false">Contagem!C21</f>
        <v>10</v>
      </c>
      <c r="D21" s="25" t="n">
        <f aca="false">Contagem!D21</f>
        <v>1</v>
      </c>
      <c r="E21" s="34" t="n">
        <f aca="false">Contagem!E21</f>
        <v>0</v>
      </c>
      <c r="F21" s="26" t="n">
        <f aca="false">Contagem!F21</f>
        <v>1</v>
      </c>
    </row>
    <row r="22" customFormat="false" ht="15" hidden="false" customHeight="false" outlineLevel="0" collapsed="false">
      <c r="A22" s="24" t="str">
        <f aca="false">Contagem!A22</f>
        <v>Layout A</v>
      </c>
      <c r="B22" s="35" t="str">
        <f aca="false">Contagem!B22</f>
        <v>Infantil</v>
      </c>
      <c r="C22" s="15" t="str">
        <f aca="false">Contagem!C22</f>
        <v>14</v>
      </c>
      <c r="D22" s="25" t="n">
        <f aca="false">Contagem!D22</f>
        <v>1</v>
      </c>
      <c r="E22" s="34" t="n">
        <f aca="false">Contagem!E22</f>
        <v>0</v>
      </c>
      <c r="F22" s="26" t="n">
        <f aca="false">Contagem!F22</f>
        <v>1</v>
      </c>
    </row>
    <row r="23" customFormat="false" ht="19.5" hidden="false" customHeight="true" outlineLevel="0" collapsed="false">
      <c r="A23" s="36" t="s">
        <v>43</v>
      </c>
      <c r="B23" s="36"/>
      <c r="C23" s="36"/>
      <c r="D23" s="37" t="n">
        <f aca="false">SUM(D5:D22)</f>
        <v>57</v>
      </c>
      <c r="E23" s="37" t="n">
        <f aca="false">SUM(E5:E22)</f>
        <v>0</v>
      </c>
      <c r="F23" s="38" t="n">
        <f aca="false">SUM(F5:F22)</f>
        <v>57</v>
      </c>
    </row>
    <row r="25" customFormat="false" ht="21.75" hidden="false" customHeight="true" outlineLevel="0" collapsed="false">
      <c r="A25" s="30" t="s">
        <v>44</v>
      </c>
      <c r="B25" s="30"/>
      <c r="C25" s="30"/>
      <c r="D25" s="30"/>
      <c r="E25" s="30"/>
      <c r="F25" s="30"/>
    </row>
    <row r="26" customFormat="false" ht="18" hidden="false" customHeight="true" outlineLevel="0" collapsed="false">
      <c r="A26" s="31" t="s">
        <v>3</v>
      </c>
      <c r="B26" s="31" t="s">
        <v>4</v>
      </c>
      <c r="C26" s="31" t="s">
        <v>5</v>
      </c>
      <c r="D26" s="32" t="s">
        <v>6</v>
      </c>
      <c r="E26" s="31" t="s">
        <v>35</v>
      </c>
      <c r="F26" s="33" t="s">
        <v>42</v>
      </c>
    </row>
    <row r="27" customFormat="false" ht="15" hidden="false" customHeight="false" outlineLevel="0" collapsed="false">
      <c r="A27" s="24" t="str">
        <f aca="false">Contagem!A23</f>
        <v>Layout B</v>
      </c>
      <c r="B27" s="13" t="str">
        <f aca="false">Contagem!B23</f>
        <v>Normal</v>
      </c>
      <c r="C27" s="9" t="str">
        <f aca="false">Contagem!C23</f>
        <v>P</v>
      </c>
      <c r="D27" s="25" t="n">
        <f aca="false">Contagem!D23</f>
        <v>14</v>
      </c>
      <c r="E27" s="34" t="n">
        <f aca="false">Contagem!E23</f>
        <v>0</v>
      </c>
      <c r="F27" s="26" t="n">
        <f aca="false">Contagem!F23</f>
        <v>14</v>
      </c>
    </row>
    <row r="28" customFormat="false" ht="15" hidden="false" customHeight="false" outlineLevel="0" collapsed="false">
      <c r="A28" s="24" t="str">
        <f aca="false">Contagem!A24</f>
        <v>Layout B</v>
      </c>
      <c r="B28" s="35" t="str">
        <f aca="false">Contagem!B24</f>
        <v>Normal</v>
      </c>
      <c r="C28" s="15" t="str">
        <f aca="false">Contagem!C24</f>
        <v>M</v>
      </c>
      <c r="D28" s="25" t="n">
        <f aca="false">Contagem!D24</f>
        <v>16</v>
      </c>
      <c r="E28" s="34" t="n">
        <f aca="false">Contagem!E24</f>
        <v>0</v>
      </c>
      <c r="F28" s="26" t="n">
        <f aca="false">Contagem!F24</f>
        <v>16</v>
      </c>
    </row>
    <row r="29" customFormat="false" ht="15" hidden="false" customHeight="false" outlineLevel="0" collapsed="false">
      <c r="A29" s="24" t="str">
        <f aca="false">Contagem!A25</f>
        <v>Layout B</v>
      </c>
      <c r="B29" s="13" t="str">
        <f aca="false">Contagem!B25</f>
        <v>Normal</v>
      </c>
      <c r="C29" s="9" t="str">
        <f aca="false">Contagem!C25</f>
        <v>G</v>
      </c>
      <c r="D29" s="25" t="n">
        <f aca="false">Contagem!D25</f>
        <v>19</v>
      </c>
      <c r="E29" s="34" t="n">
        <f aca="false">Contagem!E25</f>
        <v>0</v>
      </c>
      <c r="F29" s="26" t="n">
        <f aca="false">Contagem!F25</f>
        <v>19</v>
      </c>
    </row>
    <row r="30" customFormat="false" ht="15" hidden="false" customHeight="false" outlineLevel="0" collapsed="false">
      <c r="A30" s="24" t="str">
        <f aca="false">Contagem!A26</f>
        <v>Layout B</v>
      </c>
      <c r="B30" s="35" t="str">
        <f aca="false">Contagem!B26</f>
        <v>Normal</v>
      </c>
      <c r="C30" s="15" t="str">
        <f aca="false">Contagem!C26</f>
        <v>GG</v>
      </c>
      <c r="D30" s="25" t="n">
        <f aca="false">Contagem!D26</f>
        <v>6</v>
      </c>
      <c r="E30" s="34" t="n">
        <f aca="false">Contagem!E26</f>
        <v>0</v>
      </c>
      <c r="F30" s="26" t="n">
        <f aca="false">Contagem!F26</f>
        <v>6</v>
      </c>
    </row>
    <row r="31" customFormat="false" ht="15" hidden="false" customHeight="false" outlineLevel="0" collapsed="false">
      <c r="A31" s="24" t="str">
        <f aca="false">Contagem!A27</f>
        <v>Layout B</v>
      </c>
      <c r="B31" s="13" t="str">
        <f aca="false">Contagem!B27</f>
        <v>Normal</v>
      </c>
      <c r="C31" s="9" t="str">
        <f aca="false">Contagem!C27</f>
        <v>EG</v>
      </c>
      <c r="D31" s="25" t="n">
        <f aca="false">Contagem!D27</f>
        <v>2</v>
      </c>
      <c r="E31" s="34" t="n">
        <f aca="false">Contagem!E27</f>
        <v>0</v>
      </c>
      <c r="F31" s="26" t="n">
        <f aca="false">Contagem!F27</f>
        <v>2</v>
      </c>
    </row>
    <row r="32" customFormat="false" ht="15" hidden="false" customHeight="false" outlineLevel="0" collapsed="false">
      <c r="A32" s="24" t="str">
        <f aca="false">Contagem!A28</f>
        <v>Layout B</v>
      </c>
      <c r="B32" s="35" t="str">
        <f aca="false">Contagem!B28</f>
        <v>Normal</v>
      </c>
      <c r="C32" s="15" t="str">
        <f aca="false">Contagem!C28</f>
        <v>EXG</v>
      </c>
      <c r="D32" s="25" t="n">
        <f aca="false">Contagem!D28</f>
        <v>2</v>
      </c>
      <c r="E32" s="34" t="n">
        <f aca="false">Contagem!E28</f>
        <v>0</v>
      </c>
      <c r="F32" s="26" t="n">
        <f aca="false">Contagem!F28</f>
        <v>2</v>
      </c>
    </row>
    <row r="33" customFormat="false" ht="15" hidden="false" customHeight="false" outlineLevel="0" collapsed="false">
      <c r="A33" s="24" t="str">
        <f aca="false">Contagem!A29</f>
        <v>Layout B</v>
      </c>
      <c r="B33" s="13" t="str">
        <f aca="false">Contagem!B29</f>
        <v>Normal</v>
      </c>
      <c r="C33" s="9" t="str">
        <f aca="false">Contagem!C29</f>
        <v>56</v>
      </c>
      <c r="D33" s="25" t="n">
        <f aca="false">Contagem!D29</f>
        <v>2</v>
      </c>
      <c r="E33" s="34" t="n">
        <f aca="false">Contagem!E29</f>
        <v>0</v>
      </c>
      <c r="F33" s="26" t="n">
        <f aca="false">Contagem!F29</f>
        <v>2</v>
      </c>
    </row>
    <row r="34" customFormat="false" ht="15" hidden="false" customHeight="false" outlineLevel="0" collapsed="false">
      <c r="A34" s="24" t="str">
        <f aca="false">Contagem!A30</f>
        <v>Layout B</v>
      </c>
      <c r="B34" s="35" t="str">
        <f aca="false">Contagem!B30</f>
        <v>Babylook</v>
      </c>
      <c r="C34" s="15" t="str">
        <f aca="false">Contagem!C30</f>
        <v>P</v>
      </c>
      <c r="D34" s="25" t="n">
        <f aca="false">Contagem!D30</f>
        <v>5</v>
      </c>
      <c r="E34" s="34" t="n">
        <f aca="false">Contagem!E30</f>
        <v>0</v>
      </c>
      <c r="F34" s="26" t="n">
        <f aca="false">Contagem!F30</f>
        <v>5</v>
      </c>
    </row>
    <row r="35" customFormat="false" ht="15" hidden="false" customHeight="false" outlineLevel="0" collapsed="false">
      <c r="A35" s="24" t="str">
        <f aca="false">Contagem!A31</f>
        <v>Layout B</v>
      </c>
      <c r="B35" s="13" t="str">
        <f aca="false">Contagem!B31</f>
        <v>Babylook</v>
      </c>
      <c r="C35" s="9" t="str">
        <f aca="false">Contagem!C31</f>
        <v>M</v>
      </c>
      <c r="D35" s="25" t="n">
        <f aca="false">Contagem!D31</f>
        <v>10</v>
      </c>
      <c r="E35" s="34" t="n">
        <f aca="false">Contagem!E31</f>
        <v>0</v>
      </c>
      <c r="F35" s="26" t="n">
        <f aca="false">Contagem!F31</f>
        <v>10</v>
      </c>
    </row>
    <row r="36" customFormat="false" ht="15" hidden="false" customHeight="false" outlineLevel="0" collapsed="false">
      <c r="A36" s="24" t="str">
        <f aca="false">Contagem!A32</f>
        <v>Layout B</v>
      </c>
      <c r="B36" s="35" t="str">
        <f aca="false">Contagem!B32</f>
        <v>Babylook</v>
      </c>
      <c r="C36" s="15" t="str">
        <f aca="false">Contagem!C32</f>
        <v>G</v>
      </c>
      <c r="D36" s="25" t="n">
        <f aca="false">Contagem!D32</f>
        <v>8</v>
      </c>
      <c r="E36" s="34" t="n">
        <f aca="false">Contagem!E32</f>
        <v>0</v>
      </c>
      <c r="F36" s="26" t="n">
        <f aca="false">Contagem!F32</f>
        <v>8</v>
      </c>
    </row>
    <row r="37" customFormat="false" ht="15" hidden="false" customHeight="false" outlineLevel="0" collapsed="false">
      <c r="A37" s="24" t="str">
        <f aca="false">Contagem!A33</f>
        <v>Layout B</v>
      </c>
      <c r="B37" s="13" t="str">
        <f aca="false">Contagem!B33</f>
        <v>Babylook</v>
      </c>
      <c r="C37" s="9" t="str">
        <f aca="false">Contagem!C33</f>
        <v>GG</v>
      </c>
      <c r="D37" s="25" t="n">
        <f aca="false">Contagem!D33</f>
        <v>12</v>
      </c>
      <c r="E37" s="34" t="n">
        <f aca="false">Contagem!E33</f>
        <v>0</v>
      </c>
      <c r="F37" s="26" t="n">
        <f aca="false">Contagem!F33</f>
        <v>12</v>
      </c>
    </row>
    <row r="38" customFormat="false" ht="15" hidden="false" customHeight="false" outlineLevel="0" collapsed="false">
      <c r="A38" s="24" t="str">
        <f aca="false">Contagem!A34</f>
        <v>Layout B</v>
      </c>
      <c r="B38" s="35" t="str">
        <f aca="false">Contagem!B34</f>
        <v>Babylook</v>
      </c>
      <c r="C38" s="15" t="str">
        <f aca="false">Contagem!C34</f>
        <v>EG</v>
      </c>
      <c r="D38" s="25" t="n">
        <f aca="false">Contagem!D34</f>
        <v>6</v>
      </c>
      <c r="E38" s="34" t="n">
        <f aca="false">Contagem!E34</f>
        <v>0</v>
      </c>
      <c r="F38" s="26" t="n">
        <f aca="false">Contagem!F34</f>
        <v>6</v>
      </c>
    </row>
    <row r="39" customFormat="false" ht="15" hidden="false" customHeight="false" outlineLevel="0" collapsed="false">
      <c r="A39" s="24" t="str">
        <f aca="false">Contagem!A35</f>
        <v>Layout B</v>
      </c>
      <c r="B39" s="13" t="str">
        <f aca="false">Contagem!B35</f>
        <v>Babylook</v>
      </c>
      <c r="C39" s="9" t="str">
        <f aca="false">Contagem!C35</f>
        <v>EXG</v>
      </c>
      <c r="D39" s="25" t="n">
        <f aca="false">Contagem!D35</f>
        <v>3</v>
      </c>
      <c r="E39" s="34" t="n">
        <f aca="false">Contagem!E35</f>
        <v>0</v>
      </c>
      <c r="F39" s="26" t="n">
        <f aca="false">Contagem!F35</f>
        <v>3</v>
      </c>
    </row>
    <row r="40" customFormat="false" ht="15" hidden="false" customHeight="false" outlineLevel="0" collapsed="false">
      <c r="A40" s="24" t="str">
        <f aca="false">Contagem!A36</f>
        <v>Layout B</v>
      </c>
      <c r="B40" s="35" t="str">
        <f aca="false">Contagem!B36</f>
        <v>Babylook</v>
      </c>
      <c r="C40" s="15" t="str">
        <f aca="false">Contagem!C36</f>
        <v>BIG</v>
      </c>
      <c r="D40" s="25" t="n">
        <f aca="false">Contagem!D36</f>
        <v>1</v>
      </c>
      <c r="E40" s="34" t="n">
        <f aca="false">Contagem!E36</f>
        <v>0</v>
      </c>
      <c r="F40" s="26" t="n">
        <f aca="false">Contagem!F36</f>
        <v>1</v>
      </c>
    </row>
    <row r="41" customFormat="false" ht="15" hidden="false" customHeight="false" outlineLevel="0" collapsed="false">
      <c r="A41" s="24" t="str">
        <f aca="false">Contagem!A37</f>
        <v>Layout B</v>
      </c>
      <c r="B41" s="13" t="str">
        <f aca="false">Contagem!B37</f>
        <v>Infantil</v>
      </c>
      <c r="C41" s="9" t="str">
        <f aca="false">Contagem!C37</f>
        <v>1</v>
      </c>
      <c r="D41" s="25" t="n">
        <f aca="false">Contagem!D37</f>
        <v>2</v>
      </c>
      <c r="E41" s="34" t="n">
        <f aca="false">Contagem!E37</f>
        <v>0</v>
      </c>
      <c r="F41" s="26" t="n">
        <f aca="false">Contagem!F37</f>
        <v>2</v>
      </c>
    </row>
    <row r="42" customFormat="false" ht="15" hidden="false" customHeight="false" outlineLevel="0" collapsed="false">
      <c r="A42" s="24" t="str">
        <f aca="false">Contagem!A38</f>
        <v>Layout B</v>
      </c>
      <c r="B42" s="35" t="str">
        <f aca="false">Contagem!B38</f>
        <v>Infantil</v>
      </c>
      <c r="C42" s="15" t="str">
        <f aca="false">Contagem!C38</f>
        <v>2</v>
      </c>
      <c r="D42" s="25" t="n">
        <f aca="false">Contagem!D38</f>
        <v>4</v>
      </c>
      <c r="E42" s="34" t="n">
        <f aca="false">Contagem!E38</f>
        <v>0</v>
      </c>
      <c r="F42" s="26" t="n">
        <f aca="false">Contagem!F38</f>
        <v>4</v>
      </c>
    </row>
    <row r="43" customFormat="false" ht="15" hidden="false" customHeight="false" outlineLevel="0" collapsed="false">
      <c r="A43" s="24" t="str">
        <f aca="false">Contagem!A39</f>
        <v>Layout B</v>
      </c>
      <c r="B43" s="13" t="str">
        <f aca="false">Contagem!B39</f>
        <v>Infantil</v>
      </c>
      <c r="C43" s="9" t="str">
        <f aca="false">Contagem!C39</f>
        <v>4</v>
      </c>
      <c r="D43" s="25" t="n">
        <f aca="false">Contagem!D39</f>
        <v>3</v>
      </c>
      <c r="E43" s="34" t="n">
        <f aca="false">Contagem!E39</f>
        <v>0</v>
      </c>
      <c r="F43" s="26" t="n">
        <f aca="false">Contagem!F39</f>
        <v>3</v>
      </c>
    </row>
    <row r="44" customFormat="false" ht="15" hidden="false" customHeight="false" outlineLevel="0" collapsed="false">
      <c r="A44" s="24" t="str">
        <f aca="false">Contagem!A40</f>
        <v>Layout B</v>
      </c>
      <c r="B44" s="35" t="str">
        <f aca="false">Contagem!B40</f>
        <v>Infantil</v>
      </c>
      <c r="C44" s="15" t="str">
        <f aca="false">Contagem!C40</f>
        <v>6</v>
      </c>
      <c r="D44" s="25" t="n">
        <f aca="false">Contagem!D40</f>
        <v>2</v>
      </c>
      <c r="E44" s="34" t="n">
        <f aca="false">Contagem!E40</f>
        <v>0</v>
      </c>
      <c r="F44" s="26" t="n">
        <f aca="false">Contagem!F40</f>
        <v>2</v>
      </c>
    </row>
    <row r="45" customFormat="false" ht="15" hidden="false" customHeight="false" outlineLevel="0" collapsed="false">
      <c r="A45" s="24" t="str">
        <f aca="false">Contagem!A41</f>
        <v>Layout B</v>
      </c>
      <c r="B45" s="13" t="str">
        <f aca="false">Contagem!B41</f>
        <v>Infantil</v>
      </c>
      <c r="C45" s="9" t="str">
        <f aca="false">Contagem!C41</f>
        <v>8</v>
      </c>
      <c r="D45" s="25" t="n">
        <f aca="false">Contagem!D41</f>
        <v>2</v>
      </c>
      <c r="E45" s="34" t="n">
        <f aca="false">Contagem!E41</f>
        <v>0</v>
      </c>
      <c r="F45" s="26" t="n">
        <f aca="false">Contagem!F41</f>
        <v>2</v>
      </c>
    </row>
    <row r="46" customFormat="false" ht="15" hidden="false" customHeight="false" outlineLevel="0" collapsed="false">
      <c r="A46" s="24" t="str">
        <f aca="false">Contagem!A42</f>
        <v>Layout B</v>
      </c>
      <c r="B46" s="35" t="str">
        <f aca="false">Contagem!B42</f>
        <v>Infantil</v>
      </c>
      <c r="C46" s="15" t="str">
        <f aca="false">Contagem!C42</f>
        <v>10</v>
      </c>
      <c r="D46" s="25" t="n">
        <f aca="false">Contagem!D42</f>
        <v>1</v>
      </c>
      <c r="E46" s="34" t="n">
        <f aca="false">Contagem!E42</f>
        <v>0</v>
      </c>
      <c r="F46" s="26" t="n">
        <f aca="false">Contagem!F42</f>
        <v>1</v>
      </c>
    </row>
    <row r="47" customFormat="false" ht="15" hidden="false" customHeight="false" outlineLevel="0" collapsed="false">
      <c r="A47" s="24" t="str">
        <f aca="false">Contagem!A43</f>
        <v>Layout B</v>
      </c>
      <c r="B47" s="13" t="str">
        <f aca="false">Contagem!B43</f>
        <v>Infantil</v>
      </c>
      <c r="C47" s="9" t="str">
        <f aca="false">Contagem!C43</f>
        <v>12</v>
      </c>
      <c r="D47" s="25" t="n">
        <f aca="false">Contagem!D43</f>
        <v>1</v>
      </c>
      <c r="E47" s="34" t="n">
        <f aca="false">Contagem!E43</f>
        <v>0</v>
      </c>
      <c r="F47" s="26" t="n">
        <f aca="false">Contagem!F43</f>
        <v>1</v>
      </c>
    </row>
    <row r="48" customFormat="false" ht="15" hidden="false" customHeight="false" outlineLevel="0" collapsed="false">
      <c r="A48" s="24" t="str">
        <f aca="false">Contagem!A44</f>
        <v>Layout B</v>
      </c>
      <c r="B48" s="35" t="str">
        <f aca="false">Contagem!B44</f>
        <v>Infantil</v>
      </c>
      <c r="C48" s="15" t="str">
        <f aca="false">Contagem!C44</f>
        <v>14</v>
      </c>
      <c r="D48" s="25" t="n">
        <f aca="false">Contagem!D44</f>
        <v>2</v>
      </c>
      <c r="E48" s="34" t="n">
        <f aca="false">Contagem!E44</f>
        <v>0</v>
      </c>
      <c r="F48" s="26" t="n">
        <f aca="false">Contagem!F44</f>
        <v>2</v>
      </c>
    </row>
    <row r="49" customFormat="false" ht="19.5" hidden="false" customHeight="true" outlineLevel="0" collapsed="false">
      <c r="A49" s="36" t="s">
        <v>45</v>
      </c>
      <c r="B49" s="36"/>
      <c r="C49" s="36"/>
      <c r="D49" s="37" t="n">
        <f aca="false">SUM(D27:D48)</f>
        <v>123</v>
      </c>
      <c r="E49" s="37" t="n">
        <f aca="false">SUM(E27:E48)</f>
        <v>0</v>
      </c>
      <c r="F49" s="38" t="n">
        <f aca="false">SUM(F27:F48)</f>
        <v>123</v>
      </c>
    </row>
    <row r="51" customFormat="false" ht="21.75" hidden="false" customHeight="true" outlineLevel="0" collapsed="false">
      <c r="A51" s="30" t="s">
        <v>46</v>
      </c>
      <c r="B51" s="30"/>
      <c r="C51" s="30"/>
      <c r="D51" s="30"/>
      <c r="E51" s="30"/>
      <c r="F51" s="30"/>
    </row>
    <row r="52" customFormat="false" ht="18" hidden="false" customHeight="true" outlineLevel="0" collapsed="false">
      <c r="A52" s="31" t="s">
        <v>3</v>
      </c>
      <c r="B52" s="31" t="s">
        <v>4</v>
      </c>
      <c r="C52" s="31" t="s">
        <v>5</v>
      </c>
      <c r="D52" s="32" t="s">
        <v>6</v>
      </c>
      <c r="E52" s="31" t="s">
        <v>35</v>
      </c>
      <c r="F52" s="33" t="s">
        <v>42</v>
      </c>
    </row>
    <row r="53" customFormat="false" ht="15" hidden="false" customHeight="false" outlineLevel="0" collapsed="false">
      <c r="A53" s="24" t="str">
        <f aca="false">Contagem!A45</f>
        <v>Layout C</v>
      </c>
      <c r="B53" s="13" t="str">
        <f aca="false">Contagem!B45</f>
        <v>Normal</v>
      </c>
      <c r="C53" s="9" t="str">
        <f aca="false">Contagem!C45</f>
        <v>P</v>
      </c>
      <c r="D53" s="25" t="n">
        <f aca="false">Contagem!D45</f>
        <v>12</v>
      </c>
      <c r="E53" s="34" t="n">
        <f aca="false">Contagem!E45</f>
        <v>0</v>
      </c>
      <c r="F53" s="26" t="n">
        <f aca="false">Contagem!F45</f>
        <v>12</v>
      </c>
    </row>
    <row r="54" customFormat="false" ht="15" hidden="false" customHeight="false" outlineLevel="0" collapsed="false">
      <c r="A54" s="24" t="str">
        <f aca="false">Contagem!A46</f>
        <v>Layout C</v>
      </c>
      <c r="B54" s="35" t="str">
        <f aca="false">Contagem!B46</f>
        <v>Normal</v>
      </c>
      <c r="C54" s="15" t="str">
        <f aca="false">Contagem!C46</f>
        <v>M</v>
      </c>
      <c r="D54" s="25" t="n">
        <f aca="false">Contagem!D46</f>
        <v>15</v>
      </c>
      <c r="E54" s="34" t="n">
        <f aca="false">Contagem!E46</f>
        <v>0</v>
      </c>
      <c r="F54" s="26" t="n">
        <f aca="false">Contagem!F46</f>
        <v>15</v>
      </c>
    </row>
    <row r="55" customFormat="false" ht="15" hidden="false" customHeight="false" outlineLevel="0" collapsed="false">
      <c r="A55" s="24" t="str">
        <f aca="false">Contagem!A47</f>
        <v>Layout C</v>
      </c>
      <c r="B55" s="13" t="str">
        <f aca="false">Contagem!B47</f>
        <v>Normal</v>
      </c>
      <c r="C55" s="9" t="str">
        <f aca="false">Contagem!C47</f>
        <v>G</v>
      </c>
      <c r="D55" s="25" t="n">
        <f aca="false">Contagem!D47</f>
        <v>25</v>
      </c>
      <c r="E55" s="34" t="n">
        <f aca="false">Contagem!E47</f>
        <v>0</v>
      </c>
      <c r="F55" s="26" t="n">
        <f aca="false">Contagem!F47</f>
        <v>25</v>
      </c>
    </row>
    <row r="56" customFormat="false" ht="15" hidden="false" customHeight="false" outlineLevel="0" collapsed="false">
      <c r="A56" s="24" t="str">
        <f aca="false">Contagem!A48</f>
        <v>Layout C</v>
      </c>
      <c r="B56" s="35" t="str">
        <f aca="false">Contagem!B48</f>
        <v>Normal</v>
      </c>
      <c r="C56" s="15" t="str">
        <f aca="false">Contagem!C48</f>
        <v>GG</v>
      </c>
      <c r="D56" s="25" t="n">
        <f aca="false">Contagem!D48</f>
        <v>8</v>
      </c>
      <c r="E56" s="34" t="n">
        <f aca="false">Contagem!E48</f>
        <v>0</v>
      </c>
      <c r="F56" s="26" t="n">
        <f aca="false">Contagem!F48</f>
        <v>8</v>
      </c>
    </row>
    <row r="57" customFormat="false" ht="15" hidden="false" customHeight="false" outlineLevel="0" collapsed="false">
      <c r="A57" s="24" t="str">
        <f aca="false">Contagem!A49</f>
        <v>Layout C</v>
      </c>
      <c r="B57" s="13" t="str">
        <f aca="false">Contagem!B49</f>
        <v>Normal</v>
      </c>
      <c r="C57" s="9" t="str">
        <f aca="false">Contagem!C49</f>
        <v>EG</v>
      </c>
      <c r="D57" s="25" t="n">
        <f aca="false">Contagem!D49</f>
        <v>2</v>
      </c>
      <c r="E57" s="34" t="n">
        <f aca="false">Contagem!E49</f>
        <v>0</v>
      </c>
      <c r="F57" s="26" t="n">
        <f aca="false">Contagem!F49</f>
        <v>2</v>
      </c>
    </row>
    <row r="58" customFormat="false" ht="15" hidden="false" customHeight="false" outlineLevel="0" collapsed="false">
      <c r="A58" s="24" t="str">
        <f aca="false">Contagem!A50</f>
        <v>Layout C</v>
      </c>
      <c r="B58" s="35" t="str">
        <f aca="false">Contagem!B50</f>
        <v>Normal</v>
      </c>
      <c r="C58" s="15" t="str">
        <f aca="false">Contagem!C50</f>
        <v>EXG</v>
      </c>
      <c r="D58" s="25" t="n">
        <f aca="false">Contagem!D50</f>
        <v>2</v>
      </c>
      <c r="E58" s="34" t="n">
        <f aca="false">Contagem!E50</f>
        <v>0</v>
      </c>
      <c r="F58" s="26" t="n">
        <f aca="false">Contagem!F50</f>
        <v>2</v>
      </c>
    </row>
    <row r="59" customFormat="false" ht="15" hidden="false" customHeight="false" outlineLevel="0" collapsed="false">
      <c r="A59" s="24" t="str">
        <f aca="false">Contagem!A51</f>
        <v>Layout C</v>
      </c>
      <c r="B59" s="13" t="str">
        <f aca="false">Contagem!B51</f>
        <v>Normal</v>
      </c>
      <c r="C59" s="9" t="str">
        <f aca="false">Contagem!C51</f>
        <v>56</v>
      </c>
      <c r="D59" s="25" t="n">
        <f aca="false">Contagem!D51</f>
        <v>1</v>
      </c>
      <c r="E59" s="34" t="n">
        <f aca="false">Contagem!E51</f>
        <v>0</v>
      </c>
      <c r="F59" s="26" t="n">
        <f aca="false">Contagem!F51</f>
        <v>1</v>
      </c>
    </row>
    <row r="60" customFormat="false" ht="15" hidden="false" customHeight="false" outlineLevel="0" collapsed="false">
      <c r="A60" s="24" t="str">
        <f aca="false">Contagem!A52</f>
        <v>Layout C</v>
      </c>
      <c r="B60" s="35" t="str">
        <f aca="false">Contagem!B52</f>
        <v>Babylook</v>
      </c>
      <c r="C60" s="15" t="str">
        <f aca="false">Contagem!C52</f>
        <v>P</v>
      </c>
      <c r="D60" s="25" t="n">
        <f aca="false">Contagem!D52</f>
        <v>2</v>
      </c>
      <c r="E60" s="34" t="n">
        <f aca="false">Contagem!E52</f>
        <v>0</v>
      </c>
      <c r="F60" s="26" t="n">
        <f aca="false">Contagem!F52</f>
        <v>2</v>
      </c>
    </row>
    <row r="61" customFormat="false" ht="15" hidden="false" customHeight="false" outlineLevel="0" collapsed="false">
      <c r="A61" s="24" t="str">
        <f aca="false">Contagem!A53</f>
        <v>Layout C</v>
      </c>
      <c r="B61" s="13" t="str">
        <f aca="false">Contagem!B53</f>
        <v>Babylook</v>
      </c>
      <c r="C61" s="9" t="str">
        <f aca="false">Contagem!C53</f>
        <v>M</v>
      </c>
      <c r="D61" s="25" t="n">
        <f aca="false">Contagem!D53</f>
        <v>9</v>
      </c>
      <c r="E61" s="34" t="n">
        <f aca="false">Contagem!E53</f>
        <v>0</v>
      </c>
      <c r="F61" s="26" t="n">
        <f aca="false">Contagem!F53</f>
        <v>9</v>
      </c>
    </row>
    <row r="62" customFormat="false" ht="15" hidden="false" customHeight="false" outlineLevel="0" collapsed="false">
      <c r="A62" s="24" t="str">
        <f aca="false">Contagem!A54</f>
        <v>Layout C</v>
      </c>
      <c r="B62" s="35" t="str">
        <f aca="false">Contagem!B54</f>
        <v>Babylook</v>
      </c>
      <c r="C62" s="15" t="str">
        <f aca="false">Contagem!C54</f>
        <v>G</v>
      </c>
      <c r="D62" s="25" t="n">
        <f aca="false">Contagem!D54</f>
        <v>13</v>
      </c>
      <c r="E62" s="34" t="n">
        <f aca="false">Contagem!E54</f>
        <v>0</v>
      </c>
      <c r="F62" s="26" t="n">
        <f aca="false">Contagem!F54</f>
        <v>13</v>
      </c>
    </row>
    <row r="63" customFormat="false" ht="15" hidden="false" customHeight="false" outlineLevel="0" collapsed="false">
      <c r="A63" s="24" t="str">
        <f aca="false">Contagem!A55</f>
        <v>Layout C</v>
      </c>
      <c r="B63" s="13" t="str">
        <f aca="false">Contagem!B55</f>
        <v>Babylook</v>
      </c>
      <c r="C63" s="9" t="str">
        <f aca="false">Contagem!C55</f>
        <v>GG</v>
      </c>
      <c r="D63" s="25" t="n">
        <f aca="false">Contagem!D55</f>
        <v>7</v>
      </c>
      <c r="E63" s="34" t="n">
        <f aca="false">Contagem!E55</f>
        <v>0</v>
      </c>
      <c r="F63" s="26" t="n">
        <f aca="false">Contagem!F55</f>
        <v>7</v>
      </c>
    </row>
    <row r="64" customFormat="false" ht="15" hidden="false" customHeight="false" outlineLevel="0" collapsed="false">
      <c r="A64" s="24" t="str">
        <f aca="false">Contagem!A56</f>
        <v>Layout C</v>
      </c>
      <c r="B64" s="35" t="str">
        <f aca="false">Contagem!B56</f>
        <v>Babylook</v>
      </c>
      <c r="C64" s="15" t="str">
        <f aca="false">Contagem!C56</f>
        <v>EG</v>
      </c>
      <c r="D64" s="25" t="n">
        <f aca="false">Contagem!D56</f>
        <v>3</v>
      </c>
      <c r="E64" s="34" t="n">
        <f aca="false">Contagem!E56</f>
        <v>0</v>
      </c>
      <c r="F64" s="26" t="n">
        <f aca="false">Contagem!F56</f>
        <v>3</v>
      </c>
    </row>
    <row r="65" customFormat="false" ht="15" hidden="false" customHeight="false" outlineLevel="0" collapsed="false">
      <c r="A65" s="24" t="str">
        <f aca="false">Contagem!A57</f>
        <v>Layout C</v>
      </c>
      <c r="B65" s="13" t="str">
        <f aca="false">Contagem!B57</f>
        <v>Babylook</v>
      </c>
      <c r="C65" s="9" t="str">
        <f aca="false">Contagem!C57</f>
        <v>EXG</v>
      </c>
      <c r="D65" s="25" t="n">
        <f aca="false">Contagem!D57</f>
        <v>4</v>
      </c>
      <c r="E65" s="34" t="n">
        <f aca="false">Contagem!E57</f>
        <v>0</v>
      </c>
      <c r="F65" s="26" t="n">
        <f aca="false">Contagem!F57</f>
        <v>4</v>
      </c>
    </row>
    <row r="66" customFormat="false" ht="15" hidden="false" customHeight="false" outlineLevel="0" collapsed="false">
      <c r="A66" s="24" t="str">
        <f aca="false">Contagem!A58</f>
        <v>Layout C</v>
      </c>
      <c r="B66" s="35" t="str">
        <f aca="false">Contagem!B58</f>
        <v>Babylook</v>
      </c>
      <c r="C66" s="15" t="str">
        <f aca="false">Contagem!C58</f>
        <v>56</v>
      </c>
      <c r="D66" s="25" t="n">
        <f aca="false">Contagem!D58</f>
        <v>4</v>
      </c>
      <c r="E66" s="34" t="n">
        <f aca="false">Contagem!E58</f>
        <v>0</v>
      </c>
      <c r="F66" s="26" t="n">
        <f aca="false">Contagem!F58</f>
        <v>4</v>
      </c>
    </row>
    <row r="67" customFormat="false" ht="15" hidden="false" customHeight="false" outlineLevel="0" collapsed="false">
      <c r="A67" s="24" t="str">
        <f aca="false">Contagem!A59</f>
        <v>Layout C</v>
      </c>
      <c r="B67" s="13" t="str">
        <f aca="false">Contagem!B59</f>
        <v>Infantil</v>
      </c>
      <c r="C67" s="9" t="str">
        <f aca="false">Contagem!C59</f>
        <v>1</v>
      </c>
      <c r="D67" s="25" t="n">
        <f aca="false">Contagem!D59</f>
        <v>1</v>
      </c>
      <c r="E67" s="34" t="n">
        <f aca="false">Contagem!E59</f>
        <v>0</v>
      </c>
      <c r="F67" s="26" t="n">
        <f aca="false">Contagem!F59</f>
        <v>1</v>
      </c>
    </row>
    <row r="68" customFormat="false" ht="15" hidden="false" customHeight="false" outlineLevel="0" collapsed="false">
      <c r="A68" s="24" t="str">
        <f aca="false">Contagem!A60</f>
        <v>Layout C</v>
      </c>
      <c r="B68" s="35" t="str">
        <f aca="false">Contagem!B60</f>
        <v>Infantil</v>
      </c>
      <c r="C68" s="15" t="str">
        <f aca="false">Contagem!C60</f>
        <v>2</v>
      </c>
      <c r="D68" s="25" t="n">
        <f aca="false">Contagem!D60</f>
        <v>1</v>
      </c>
      <c r="E68" s="34" t="n">
        <f aca="false">Contagem!E60</f>
        <v>0</v>
      </c>
      <c r="F68" s="26" t="n">
        <f aca="false">Contagem!F60</f>
        <v>1</v>
      </c>
    </row>
    <row r="69" customFormat="false" ht="15" hidden="false" customHeight="false" outlineLevel="0" collapsed="false">
      <c r="A69" s="24" t="str">
        <f aca="false">Contagem!A61</f>
        <v>Layout C</v>
      </c>
      <c r="B69" s="13" t="str">
        <f aca="false">Contagem!B61</f>
        <v>Infantil</v>
      </c>
      <c r="C69" s="9" t="str">
        <f aca="false">Contagem!C61</f>
        <v>4</v>
      </c>
      <c r="D69" s="25" t="n">
        <f aca="false">Contagem!D61</f>
        <v>2</v>
      </c>
      <c r="E69" s="34" t="n">
        <f aca="false">Contagem!E61</f>
        <v>0</v>
      </c>
      <c r="F69" s="26" t="n">
        <f aca="false">Contagem!F61</f>
        <v>2</v>
      </c>
    </row>
    <row r="70" customFormat="false" ht="15" hidden="false" customHeight="false" outlineLevel="0" collapsed="false">
      <c r="A70" s="24" t="str">
        <f aca="false">Contagem!A62</f>
        <v>Layout C</v>
      </c>
      <c r="B70" s="35" t="str">
        <f aca="false">Contagem!B62</f>
        <v>Infantil</v>
      </c>
      <c r="C70" s="15" t="str">
        <f aca="false">Contagem!C62</f>
        <v>6</v>
      </c>
      <c r="D70" s="25" t="n">
        <f aca="false">Contagem!D62</f>
        <v>5</v>
      </c>
      <c r="E70" s="34" t="n">
        <f aca="false">Contagem!E62</f>
        <v>0</v>
      </c>
      <c r="F70" s="26" t="n">
        <f aca="false">Contagem!F62</f>
        <v>5</v>
      </c>
    </row>
    <row r="71" customFormat="false" ht="15" hidden="false" customHeight="false" outlineLevel="0" collapsed="false">
      <c r="A71" s="24" t="str">
        <f aca="false">Contagem!A63</f>
        <v>Layout C</v>
      </c>
      <c r="B71" s="13" t="str">
        <f aca="false">Contagem!B63</f>
        <v>Infantil</v>
      </c>
      <c r="C71" s="9" t="str">
        <f aca="false">Contagem!C63</f>
        <v>8</v>
      </c>
      <c r="D71" s="25" t="n">
        <f aca="false">Contagem!D63</f>
        <v>4</v>
      </c>
      <c r="E71" s="34" t="n">
        <f aca="false">Contagem!E63</f>
        <v>0</v>
      </c>
      <c r="F71" s="26" t="n">
        <f aca="false">Contagem!F63</f>
        <v>4</v>
      </c>
    </row>
    <row r="72" customFormat="false" ht="15" hidden="false" customHeight="false" outlineLevel="0" collapsed="false">
      <c r="A72" s="24" t="str">
        <f aca="false">Contagem!A64</f>
        <v>Layout C</v>
      </c>
      <c r="B72" s="35" t="str">
        <f aca="false">Contagem!B64</f>
        <v>Infantil</v>
      </c>
      <c r="C72" s="15" t="str">
        <f aca="false">Contagem!C64</f>
        <v>10</v>
      </c>
      <c r="D72" s="25" t="n">
        <f aca="false">Contagem!D64</f>
        <v>1</v>
      </c>
      <c r="E72" s="34" t="n">
        <f aca="false">Contagem!E64</f>
        <v>0</v>
      </c>
      <c r="F72" s="26" t="n">
        <f aca="false">Contagem!F64</f>
        <v>1</v>
      </c>
    </row>
    <row r="73" customFormat="false" ht="15" hidden="false" customHeight="false" outlineLevel="0" collapsed="false">
      <c r="A73" s="24" t="str">
        <f aca="false">Contagem!A65</f>
        <v>Layout C</v>
      </c>
      <c r="B73" s="13" t="str">
        <f aca="false">Contagem!B65</f>
        <v>Infantil</v>
      </c>
      <c r="C73" s="9" t="str">
        <f aca="false">Contagem!C65</f>
        <v>12</v>
      </c>
      <c r="D73" s="25" t="n">
        <f aca="false">Contagem!D65</f>
        <v>4</v>
      </c>
      <c r="E73" s="34" t="n">
        <f aca="false">Contagem!E65</f>
        <v>0</v>
      </c>
      <c r="F73" s="26" t="n">
        <f aca="false">Contagem!F65</f>
        <v>4</v>
      </c>
    </row>
    <row r="74" customFormat="false" ht="19.5" hidden="false" customHeight="true" outlineLevel="0" collapsed="false">
      <c r="A74" s="36" t="s">
        <v>47</v>
      </c>
      <c r="B74" s="36"/>
      <c r="C74" s="36"/>
      <c r="D74" s="37" t="n">
        <f aca="false">SUM(D53:D73)</f>
        <v>125</v>
      </c>
      <c r="E74" s="37" t="n">
        <f aca="false">SUM(E53:E73)</f>
        <v>0</v>
      </c>
      <c r="F74" s="38" t="n">
        <f aca="false">SUM(F53:F73)</f>
        <v>125</v>
      </c>
    </row>
  </sheetData>
  <mergeCells count="7">
    <mergeCell ref="A1:F1"/>
    <mergeCell ref="A3:F3"/>
    <mergeCell ref="A23:C23"/>
    <mergeCell ref="A25:F25"/>
    <mergeCell ref="A49:C49"/>
    <mergeCell ref="A51:F51"/>
    <mergeCell ref="A74:C74"/>
  </mergeCells>
  <conditionalFormatting sqref="F5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F6">
    <cfRule type="cellIs" priority="4" operator="greaterThan" aboveAverage="0" equalAverage="0" bottom="0" percent="0" rank="0" text="" dxfId="0">
      <formula>0</formula>
    </cfRule>
    <cfRule type="cellIs" priority="5" operator="equal" aboveAverage="0" equalAverage="0" bottom="0" percent="0" rank="0" text="" dxfId="1">
      <formula>0</formula>
    </cfRule>
  </conditionalFormatting>
  <conditionalFormatting sqref="F7">
    <cfRule type="cellIs" priority="6" operator="greaterThan" aboveAverage="0" equalAverage="0" bottom="0" percent="0" rank="0" text="" dxfId="0">
      <formula>0</formula>
    </cfRule>
    <cfRule type="cellIs" priority="7" operator="equal" aboveAverage="0" equalAverage="0" bottom="0" percent="0" rank="0" text="" dxfId="1">
      <formula>0</formula>
    </cfRule>
  </conditionalFormatting>
  <conditionalFormatting sqref="F8">
    <cfRule type="cellIs" priority="8" operator="greaterThan" aboveAverage="0" equalAverage="0" bottom="0" percent="0" rank="0" text="" dxfId="0">
      <formula>0</formula>
    </cfRule>
    <cfRule type="cellIs" priority="9" operator="equal" aboveAverage="0" equalAverage="0" bottom="0" percent="0" rank="0" text="" dxfId="1">
      <formula>0</formula>
    </cfRule>
  </conditionalFormatting>
  <conditionalFormatting sqref="F9">
    <cfRule type="cellIs" priority="10" operator="greaterThan" aboveAverage="0" equalAverage="0" bottom="0" percent="0" rank="0" text="" dxfId="0">
      <formula>0</formula>
    </cfRule>
    <cfRule type="cellIs" priority="11" operator="equal" aboveAverage="0" equalAverage="0" bottom="0" percent="0" rank="0" text="" dxfId="1">
      <formula>0</formula>
    </cfRule>
  </conditionalFormatting>
  <conditionalFormatting sqref="F10">
    <cfRule type="cellIs" priority="12" operator="greaterThan" aboveAverage="0" equalAverage="0" bottom="0" percent="0" rank="0" text="" dxfId="0">
      <formula>0</formula>
    </cfRule>
    <cfRule type="cellIs" priority="13" operator="equal" aboveAverage="0" equalAverage="0" bottom="0" percent="0" rank="0" text="" dxfId="1">
      <formula>0</formula>
    </cfRule>
  </conditionalFormatting>
  <conditionalFormatting sqref="F11">
    <cfRule type="cellIs" priority="14" operator="greaterThan" aboveAverage="0" equalAverage="0" bottom="0" percent="0" rank="0" text="" dxfId="0">
      <formula>0</formula>
    </cfRule>
    <cfRule type="cellIs" priority="15" operator="equal" aboveAverage="0" equalAverage="0" bottom="0" percent="0" rank="0" text="" dxfId="1">
      <formula>0</formula>
    </cfRule>
  </conditionalFormatting>
  <conditionalFormatting sqref="F12">
    <cfRule type="cellIs" priority="16" operator="greaterThan" aboveAverage="0" equalAverage="0" bottom="0" percent="0" rank="0" text="" dxfId="0">
      <formula>0</formula>
    </cfRule>
    <cfRule type="cellIs" priority="17" operator="equal" aboveAverage="0" equalAverage="0" bottom="0" percent="0" rank="0" text="" dxfId="1">
      <formula>0</formula>
    </cfRule>
  </conditionalFormatting>
  <conditionalFormatting sqref="F13">
    <cfRule type="cellIs" priority="18" operator="greaterThan" aboveAverage="0" equalAverage="0" bottom="0" percent="0" rank="0" text="" dxfId="0">
      <formula>0</formula>
    </cfRule>
    <cfRule type="cellIs" priority="19" operator="equal" aboveAverage="0" equalAverage="0" bottom="0" percent="0" rank="0" text="" dxfId="1">
      <formula>0</formula>
    </cfRule>
  </conditionalFormatting>
  <conditionalFormatting sqref="F14">
    <cfRule type="cellIs" priority="20" operator="greaterThan" aboveAverage="0" equalAverage="0" bottom="0" percent="0" rank="0" text="" dxfId="0">
      <formula>0</formula>
    </cfRule>
    <cfRule type="cellIs" priority="21" operator="equal" aboveAverage="0" equalAverage="0" bottom="0" percent="0" rank="0" text="" dxfId="1">
      <formula>0</formula>
    </cfRule>
  </conditionalFormatting>
  <conditionalFormatting sqref="F15">
    <cfRule type="cellIs" priority="22" operator="greaterThan" aboveAverage="0" equalAverage="0" bottom="0" percent="0" rank="0" text="" dxfId="0">
      <formula>0</formula>
    </cfRule>
    <cfRule type="cellIs" priority="23" operator="equal" aboveAverage="0" equalAverage="0" bottom="0" percent="0" rank="0" text="" dxfId="1">
      <formula>0</formula>
    </cfRule>
  </conditionalFormatting>
  <conditionalFormatting sqref="F16">
    <cfRule type="cellIs" priority="24" operator="greaterThan" aboveAverage="0" equalAverage="0" bottom="0" percent="0" rank="0" text="" dxfId="0">
      <formula>0</formula>
    </cfRule>
    <cfRule type="cellIs" priority="25" operator="equal" aboveAverage="0" equalAverage="0" bottom="0" percent="0" rank="0" text="" dxfId="1">
      <formula>0</formula>
    </cfRule>
  </conditionalFormatting>
  <conditionalFormatting sqref="F17">
    <cfRule type="cellIs" priority="26" operator="greaterThan" aboveAverage="0" equalAverage="0" bottom="0" percent="0" rank="0" text="" dxfId="0">
      <formula>0</formula>
    </cfRule>
    <cfRule type="cellIs" priority="27" operator="equal" aboveAverage="0" equalAverage="0" bottom="0" percent="0" rank="0" text="" dxfId="1">
      <formula>0</formula>
    </cfRule>
  </conditionalFormatting>
  <conditionalFormatting sqref="F18">
    <cfRule type="cellIs" priority="28" operator="greaterThan" aboveAverage="0" equalAverage="0" bottom="0" percent="0" rank="0" text="" dxfId="0">
      <formula>0</formula>
    </cfRule>
    <cfRule type="cellIs" priority="29" operator="equal" aboveAverage="0" equalAverage="0" bottom="0" percent="0" rank="0" text="" dxfId="1">
      <formula>0</formula>
    </cfRule>
  </conditionalFormatting>
  <conditionalFormatting sqref="F19">
    <cfRule type="cellIs" priority="30" operator="greaterThan" aboveAverage="0" equalAverage="0" bottom="0" percent="0" rank="0" text="" dxfId="0">
      <formula>0</formula>
    </cfRule>
    <cfRule type="cellIs" priority="31" operator="equal" aboveAverage="0" equalAverage="0" bottom="0" percent="0" rank="0" text="" dxfId="1">
      <formula>0</formula>
    </cfRule>
  </conditionalFormatting>
  <conditionalFormatting sqref="F20">
    <cfRule type="cellIs" priority="32" operator="greaterThan" aboveAverage="0" equalAverage="0" bottom="0" percent="0" rank="0" text="" dxfId="0">
      <formula>0</formula>
    </cfRule>
    <cfRule type="cellIs" priority="33" operator="equal" aboveAverage="0" equalAverage="0" bottom="0" percent="0" rank="0" text="" dxfId="1">
      <formula>0</formula>
    </cfRule>
  </conditionalFormatting>
  <conditionalFormatting sqref="F21">
    <cfRule type="cellIs" priority="34" operator="greaterThan" aboveAverage="0" equalAverage="0" bottom="0" percent="0" rank="0" text="" dxfId="0">
      <formula>0</formula>
    </cfRule>
    <cfRule type="cellIs" priority="35" operator="equal" aboveAverage="0" equalAverage="0" bottom="0" percent="0" rank="0" text="" dxfId="1">
      <formula>0</formula>
    </cfRule>
  </conditionalFormatting>
  <conditionalFormatting sqref="F22">
    <cfRule type="cellIs" priority="36" operator="greaterThan" aboveAverage="0" equalAverage="0" bottom="0" percent="0" rank="0" text="" dxfId="0">
      <formula>0</formula>
    </cfRule>
    <cfRule type="cellIs" priority="37" operator="equal" aboveAverage="0" equalAverage="0" bottom="0" percent="0" rank="0" text="" dxfId="1">
      <formula>0</formula>
    </cfRule>
  </conditionalFormatting>
  <conditionalFormatting sqref="F27">
    <cfRule type="cellIs" priority="38" operator="greaterThan" aboveAverage="0" equalAverage="0" bottom="0" percent="0" rank="0" text="" dxfId="0">
      <formula>0</formula>
    </cfRule>
    <cfRule type="cellIs" priority="39" operator="equal" aboveAverage="0" equalAverage="0" bottom="0" percent="0" rank="0" text="" dxfId="1">
      <formula>0</formula>
    </cfRule>
  </conditionalFormatting>
  <conditionalFormatting sqref="F28">
    <cfRule type="cellIs" priority="40" operator="greaterThan" aboveAverage="0" equalAverage="0" bottom="0" percent="0" rank="0" text="" dxfId="0">
      <formula>0</formula>
    </cfRule>
    <cfRule type="cellIs" priority="41" operator="equal" aboveAverage="0" equalAverage="0" bottom="0" percent="0" rank="0" text="" dxfId="1">
      <formula>0</formula>
    </cfRule>
  </conditionalFormatting>
  <conditionalFormatting sqref="F29">
    <cfRule type="cellIs" priority="42" operator="greaterThan" aboveAverage="0" equalAverage="0" bottom="0" percent="0" rank="0" text="" dxfId="0">
      <formula>0</formula>
    </cfRule>
    <cfRule type="cellIs" priority="43" operator="equal" aboveAverage="0" equalAverage="0" bottom="0" percent="0" rank="0" text="" dxfId="1">
      <formula>0</formula>
    </cfRule>
  </conditionalFormatting>
  <conditionalFormatting sqref="F30">
    <cfRule type="cellIs" priority="44" operator="greaterThan" aboveAverage="0" equalAverage="0" bottom="0" percent="0" rank="0" text="" dxfId="0">
      <formula>0</formula>
    </cfRule>
    <cfRule type="cellIs" priority="45" operator="equal" aboveAverage="0" equalAverage="0" bottom="0" percent="0" rank="0" text="" dxfId="1">
      <formula>0</formula>
    </cfRule>
  </conditionalFormatting>
  <conditionalFormatting sqref="F31">
    <cfRule type="cellIs" priority="46" operator="greaterThan" aboveAverage="0" equalAverage="0" bottom="0" percent="0" rank="0" text="" dxfId="0">
      <formula>0</formula>
    </cfRule>
    <cfRule type="cellIs" priority="47" operator="equal" aboveAverage="0" equalAverage="0" bottom="0" percent="0" rank="0" text="" dxfId="1">
      <formula>0</formula>
    </cfRule>
  </conditionalFormatting>
  <conditionalFormatting sqref="F32">
    <cfRule type="cellIs" priority="48" operator="greaterThan" aboveAverage="0" equalAverage="0" bottom="0" percent="0" rank="0" text="" dxfId="0">
      <formula>0</formula>
    </cfRule>
    <cfRule type="cellIs" priority="49" operator="equal" aboveAverage="0" equalAverage="0" bottom="0" percent="0" rank="0" text="" dxfId="1">
      <formula>0</formula>
    </cfRule>
  </conditionalFormatting>
  <conditionalFormatting sqref="F33">
    <cfRule type="cellIs" priority="50" operator="greaterThan" aboveAverage="0" equalAverage="0" bottom="0" percent="0" rank="0" text="" dxfId="0">
      <formula>0</formula>
    </cfRule>
    <cfRule type="cellIs" priority="51" operator="equal" aboveAverage="0" equalAverage="0" bottom="0" percent="0" rank="0" text="" dxfId="1">
      <formula>0</formula>
    </cfRule>
  </conditionalFormatting>
  <conditionalFormatting sqref="F34">
    <cfRule type="cellIs" priority="52" operator="greaterThan" aboveAverage="0" equalAverage="0" bottom="0" percent="0" rank="0" text="" dxfId="0">
      <formula>0</formula>
    </cfRule>
    <cfRule type="cellIs" priority="53" operator="equal" aboveAverage="0" equalAverage="0" bottom="0" percent="0" rank="0" text="" dxfId="1">
      <formula>0</formula>
    </cfRule>
  </conditionalFormatting>
  <conditionalFormatting sqref="F35">
    <cfRule type="cellIs" priority="54" operator="greaterThan" aboveAverage="0" equalAverage="0" bottom="0" percent="0" rank="0" text="" dxfId="0">
      <formula>0</formula>
    </cfRule>
    <cfRule type="cellIs" priority="55" operator="equal" aboveAverage="0" equalAverage="0" bottom="0" percent="0" rank="0" text="" dxfId="1">
      <formula>0</formula>
    </cfRule>
  </conditionalFormatting>
  <conditionalFormatting sqref="F36">
    <cfRule type="cellIs" priority="56" operator="greaterThan" aboveAverage="0" equalAverage="0" bottom="0" percent="0" rank="0" text="" dxfId="0">
      <formula>0</formula>
    </cfRule>
    <cfRule type="cellIs" priority="57" operator="equal" aboveAverage="0" equalAverage="0" bottom="0" percent="0" rank="0" text="" dxfId="1">
      <formula>0</formula>
    </cfRule>
  </conditionalFormatting>
  <conditionalFormatting sqref="F37">
    <cfRule type="cellIs" priority="58" operator="greaterThan" aboveAverage="0" equalAverage="0" bottom="0" percent="0" rank="0" text="" dxfId="0">
      <formula>0</formula>
    </cfRule>
    <cfRule type="cellIs" priority="59" operator="equal" aboveAverage="0" equalAverage="0" bottom="0" percent="0" rank="0" text="" dxfId="1">
      <formula>0</formula>
    </cfRule>
  </conditionalFormatting>
  <conditionalFormatting sqref="F38">
    <cfRule type="cellIs" priority="60" operator="greaterThan" aboveAverage="0" equalAverage="0" bottom="0" percent="0" rank="0" text="" dxfId="0">
      <formula>0</formula>
    </cfRule>
    <cfRule type="cellIs" priority="61" operator="equal" aboveAverage="0" equalAverage="0" bottom="0" percent="0" rank="0" text="" dxfId="1">
      <formula>0</formula>
    </cfRule>
  </conditionalFormatting>
  <conditionalFormatting sqref="F39">
    <cfRule type="cellIs" priority="62" operator="greaterThan" aboveAverage="0" equalAverage="0" bottom="0" percent="0" rank="0" text="" dxfId="0">
      <formula>0</formula>
    </cfRule>
    <cfRule type="cellIs" priority="63" operator="equal" aboveAverage="0" equalAverage="0" bottom="0" percent="0" rank="0" text="" dxfId="1">
      <formula>0</formula>
    </cfRule>
  </conditionalFormatting>
  <conditionalFormatting sqref="F40">
    <cfRule type="cellIs" priority="64" operator="greaterThan" aboveAverage="0" equalAverage="0" bottom="0" percent="0" rank="0" text="" dxfId="0">
      <formula>0</formula>
    </cfRule>
    <cfRule type="cellIs" priority="65" operator="equal" aboveAverage="0" equalAverage="0" bottom="0" percent="0" rank="0" text="" dxfId="1">
      <formula>0</formula>
    </cfRule>
  </conditionalFormatting>
  <conditionalFormatting sqref="F41">
    <cfRule type="cellIs" priority="66" operator="greaterThan" aboveAverage="0" equalAverage="0" bottom="0" percent="0" rank="0" text="" dxfId="0">
      <formula>0</formula>
    </cfRule>
    <cfRule type="cellIs" priority="67" operator="equal" aboveAverage="0" equalAverage="0" bottom="0" percent="0" rank="0" text="" dxfId="1">
      <formula>0</formula>
    </cfRule>
  </conditionalFormatting>
  <conditionalFormatting sqref="F42">
    <cfRule type="cellIs" priority="68" operator="greaterThan" aboveAverage="0" equalAverage="0" bottom="0" percent="0" rank="0" text="" dxfId="0">
      <formula>0</formula>
    </cfRule>
    <cfRule type="cellIs" priority="69" operator="equal" aboveAverage="0" equalAverage="0" bottom="0" percent="0" rank="0" text="" dxfId="1">
      <formula>0</formula>
    </cfRule>
  </conditionalFormatting>
  <conditionalFormatting sqref="F43">
    <cfRule type="cellIs" priority="70" operator="greaterThan" aboveAverage="0" equalAverage="0" bottom="0" percent="0" rank="0" text="" dxfId="0">
      <formula>0</formula>
    </cfRule>
    <cfRule type="cellIs" priority="71" operator="equal" aboveAverage="0" equalAverage="0" bottom="0" percent="0" rank="0" text="" dxfId="1">
      <formula>0</formula>
    </cfRule>
  </conditionalFormatting>
  <conditionalFormatting sqref="F44">
    <cfRule type="cellIs" priority="72" operator="greaterThan" aboveAverage="0" equalAverage="0" bottom="0" percent="0" rank="0" text="" dxfId="0">
      <formula>0</formula>
    </cfRule>
    <cfRule type="cellIs" priority="73" operator="equal" aboveAverage="0" equalAverage="0" bottom="0" percent="0" rank="0" text="" dxfId="1">
      <formula>0</formula>
    </cfRule>
  </conditionalFormatting>
  <conditionalFormatting sqref="F45">
    <cfRule type="cellIs" priority="74" operator="greaterThan" aboveAverage="0" equalAverage="0" bottom="0" percent="0" rank="0" text="" dxfId="0">
      <formula>0</formula>
    </cfRule>
    <cfRule type="cellIs" priority="75" operator="equal" aboveAverage="0" equalAverage="0" bottom="0" percent="0" rank="0" text="" dxfId="1">
      <formula>0</formula>
    </cfRule>
  </conditionalFormatting>
  <conditionalFormatting sqref="F46">
    <cfRule type="cellIs" priority="76" operator="greaterThan" aboveAverage="0" equalAverage="0" bottom="0" percent="0" rank="0" text="" dxfId="0">
      <formula>0</formula>
    </cfRule>
    <cfRule type="cellIs" priority="77" operator="equal" aboveAverage="0" equalAverage="0" bottom="0" percent="0" rank="0" text="" dxfId="1">
      <formula>0</formula>
    </cfRule>
  </conditionalFormatting>
  <conditionalFormatting sqref="F47">
    <cfRule type="cellIs" priority="78" operator="greaterThan" aboveAverage="0" equalAverage="0" bottom="0" percent="0" rank="0" text="" dxfId="0">
      <formula>0</formula>
    </cfRule>
    <cfRule type="cellIs" priority="79" operator="equal" aboveAverage="0" equalAverage="0" bottom="0" percent="0" rank="0" text="" dxfId="1">
      <formula>0</formula>
    </cfRule>
  </conditionalFormatting>
  <conditionalFormatting sqref="F48">
    <cfRule type="cellIs" priority="80" operator="greaterThan" aboveAverage="0" equalAverage="0" bottom="0" percent="0" rank="0" text="" dxfId="0">
      <formula>0</formula>
    </cfRule>
    <cfRule type="cellIs" priority="81" operator="equal" aboveAverage="0" equalAverage="0" bottom="0" percent="0" rank="0" text="" dxfId="1">
      <formula>0</formula>
    </cfRule>
  </conditionalFormatting>
  <conditionalFormatting sqref="F53">
    <cfRule type="cellIs" priority="82" operator="greaterThan" aboveAverage="0" equalAverage="0" bottom="0" percent="0" rank="0" text="" dxfId="0">
      <formula>0</formula>
    </cfRule>
    <cfRule type="cellIs" priority="83" operator="equal" aboveAverage="0" equalAverage="0" bottom="0" percent="0" rank="0" text="" dxfId="1">
      <formula>0</formula>
    </cfRule>
  </conditionalFormatting>
  <conditionalFormatting sqref="F54">
    <cfRule type="cellIs" priority="84" operator="greaterThan" aboveAverage="0" equalAverage="0" bottom="0" percent="0" rank="0" text="" dxfId="0">
      <formula>0</formula>
    </cfRule>
    <cfRule type="cellIs" priority="85" operator="equal" aboveAverage="0" equalAverage="0" bottom="0" percent="0" rank="0" text="" dxfId="1">
      <formula>0</formula>
    </cfRule>
  </conditionalFormatting>
  <conditionalFormatting sqref="F55">
    <cfRule type="cellIs" priority="86" operator="greaterThan" aboveAverage="0" equalAverage="0" bottom="0" percent="0" rank="0" text="" dxfId="0">
      <formula>0</formula>
    </cfRule>
    <cfRule type="cellIs" priority="87" operator="equal" aboveAverage="0" equalAverage="0" bottom="0" percent="0" rank="0" text="" dxfId="1">
      <formula>0</formula>
    </cfRule>
  </conditionalFormatting>
  <conditionalFormatting sqref="F56">
    <cfRule type="cellIs" priority="88" operator="greaterThan" aboveAverage="0" equalAverage="0" bottom="0" percent="0" rank="0" text="" dxfId="0">
      <formula>0</formula>
    </cfRule>
    <cfRule type="cellIs" priority="89" operator="equal" aboveAverage="0" equalAverage="0" bottom="0" percent="0" rank="0" text="" dxfId="1">
      <formula>0</formula>
    </cfRule>
  </conditionalFormatting>
  <conditionalFormatting sqref="F57">
    <cfRule type="cellIs" priority="90" operator="greaterThan" aboveAverage="0" equalAverage="0" bottom="0" percent="0" rank="0" text="" dxfId="0">
      <formula>0</formula>
    </cfRule>
    <cfRule type="cellIs" priority="91" operator="equal" aboveAverage="0" equalAverage="0" bottom="0" percent="0" rank="0" text="" dxfId="1">
      <formula>0</formula>
    </cfRule>
  </conditionalFormatting>
  <conditionalFormatting sqref="F58">
    <cfRule type="cellIs" priority="92" operator="greaterThan" aboveAverage="0" equalAverage="0" bottom="0" percent="0" rank="0" text="" dxfId="0">
      <formula>0</formula>
    </cfRule>
    <cfRule type="cellIs" priority="93" operator="equal" aboveAverage="0" equalAverage="0" bottom="0" percent="0" rank="0" text="" dxfId="1">
      <formula>0</formula>
    </cfRule>
  </conditionalFormatting>
  <conditionalFormatting sqref="F59">
    <cfRule type="cellIs" priority="94" operator="greaterThan" aboveAverage="0" equalAverage="0" bottom="0" percent="0" rank="0" text="" dxfId="0">
      <formula>0</formula>
    </cfRule>
    <cfRule type="cellIs" priority="95" operator="equal" aboveAverage="0" equalAverage="0" bottom="0" percent="0" rank="0" text="" dxfId="1">
      <formula>0</formula>
    </cfRule>
  </conditionalFormatting>
  <conditionalFormatting sqref="F60">
    <cfRule type="cellIs" priority="96" operator="greaterThan" aboveAverage="0" equalAverage="0" bottom="0" percent="0" rank="0" text="" dxfId="0">
      <formula>0</formula>
    </cfRule>
    <cfRule type="cellIs" priority="97" operator="equal" aboveAverage="0" equalAverage="0" bottom="0" percent="0" rank="0" text="" dxfId="1">
      <formula>0</formula>
    </cfRule>
  </conditionalFormatting>
  <conditionalFormatting sqref="F61">
    <cfRule type="cellIs" priority="98" operator="greaterThan" aboveAverage="0" equalAverage="0" bottom="0" percent="0" rank="0" text="" dxfId="0">
      <formula>0</formula>
    </cfRule>
    <cfRule type="cellIs" priority="99" operator="equal" aboveAverage="0" equalAverage="0" bottom="0" percent="0" rank="0" text="" dxfId="1">
      <formula>0</formula>
    </cfRule>
  </conditionalFormatting>
  <conditionalFormatting sqref="F62">
    <cfRule type="cellIs" priority="100" operator="greaterThan" aboveAverage="0" equalAverage="0" bottom="0" percent="0" rank="0" text="" dxfId="0">
      <formula>0</formula>
    </cfRule>
    <cfRule type="cellIs" priority="101" operator="equal" aboveAverage="0" equalAverage="0" bottom="0" percent="0" rank="0" text="" dxfId="1">
      <formula>0</formula>
    </cfRule>
  </conditionalFormatting>
  <conditionalFormatting sqref="F63">
    <cfRule type="cellIs" priority="102" operator="greaterThan" aboveAverage="0" equalAverage="0" bottom="0" percent="0" rank="0" text="" dxfId="0">
      <formula>0</formula>
    </cfRule>
    <cfRule type="cellIs" priority="103" operator="equal" aboveAverage="0" equalAverage="0" bottom="0" percent="0" rank="0" text="" dxfId="1">
      <formula>0</formula>
    </cfRule>
  </conditionalFormatting>
  <conditionalFormatting sqref="F64">
    <cfRule type="cellIs" priority="104" operator="greaterThan" aboveAverage="0" equalAverage="0" bottom="0" percent="0" rank="0" text="" dxfId="0">
      <formula>0</formula>
    </cfRule>
    <cfRule type="cellIs" priority="105" operator="equal" aboveAverage="0" equalAverage="0" bottom="0" percent="0" rank="0" text="" dxfId="1">
      <formula>0</formula>
    </cfRule>
  </conditionalFormatting>
  <conditionalFormatting sqref="F65">
    <cfRule type="cellIs" priority="106" operator="greaterThan" aboveAverage="0" equalAverage="0" bottom="0" percent="0" rank="0" text="" dxfId="0">
      <formula>0</formula>
    </cfRule>
    <cfRule type="cellIs" priority="107" operator="equal" aboveAverage="0" equalAverage="0" bottom="0" percent="0" rank="0" text="" dxfId="1">
      <formula>0</formula>
    </cfRule>
  </conditionalFormatting>
  <conditionalFormatting sqref="F66">
    <cfRule type="cellIs" priority="108" operator="greaterThan" aboveAverage="0" equalAverage="0" bottom="0" percent="0" rank="0" text="" dxfId="0">
      <formula>0</formula>
    </cfRule>
    <cfRule type="cellIs" priority="109" operator="equal" aboveAverage="0" equalAverage="0" bottom="0" percent="0" rank="0" text="" dxfId="1">
      <formula>0</formula>
    </cfRule>
  </conditionalFormatting>
  <conditionalFormatting sqref="F67">
    <cfRule type="cellIs" priority="110" operator="greaterThan" aboveAverage="0" equalAverage="0" bottom="0" percent="0" rank="0" text="" dxfId="0">
      <formula>0</formula>
    </cfRule>
    <cfRule type="cellIs" priority="111" operator="equal" aboveAverage="0" equalAverage="0" bottom="0" percent="0" rank="0" text="" dxfId="1">
      <formula>0</formula>
    </cfRule>
  </conditionalFormatting>
  <conditionalFormatting sqref="F68">
    <cfRule type="cellIs" priority="112" operator="greaterThan" aboveAverage="0" equalAverage="0" bottom="0" percent="0" rank="0" text="" dxfId="0">
      <formula>0</formula>
    </cfRule>
    <cfRule type="cellIs" priority="113" operator="equal" aboveAverage="0" equalAverage="0" bottom="0" percent="0" rank="0" text="" dxfId="1">
      <formula>0</formula>
    </cfRule>
  </conditionalFormatting>
  <conditionalFormatting sqref="F69">
    <cfRule type="cellIs" priority="114" operator="greaterThan" aboveAverage="0" equalAverage="0" bottom="0" percent="0" rank="0" text="" dxfId="0">
      <formula>0</formula>
    </cfRule>
    <cfRule type="cellIs" priority="115" operator="equal" aboveAverage="0" equalAverage="0" bottom="0" percent="0" rank="0" text="" dxfId="1">
      <formula>0</formula>
    </cfRule>
  </conditionalFormatting>
  <conditionalFormatting sqref="F70">
    <cfRule type="cellIs" priority="116" operator="greaterThan" aboveAverage="0" equalAverage="0" bottom="0" percent="0" rank="0" text="" dxfId="0">
      <formula>0</formula>
    </cfRule>
    <cfRule type="cellIs" priority="117" operator="equal" aboveAverage="0" equalAverage="0" bottom="0" percent="0" rank="0" text="" dxfId="1">
      <formula>0</formula>
    </cfRule>
  </conditionalFormatting>
  <conditionalFormatting sqref="F71">
    <cfRule type="cellIs" priority="118" operator="greaterThan" aboveAverage="0" equalAverage="0" bottom="0" percent="0" rank="0" text="" dxfId="0">
      <formula>0</formula>
    </cfRule>
    <cfRule type="cellIs" priority="119" operator="equal" aboveAverage="0" equalAverage="0" bottom="0" percent="0" rank="0" text="" dxfId="1">
      <formula>0</formula>
    </cfRule>
  </conditionalFormatting>
  <conditionalFormatting sqref="F72">
    <cfRule type="cellIs" priority="120" operator="greaterThan" aboveAverage="0" equalAverage="0" bottom="0" percent="0" rank="0" text="" dxfId="0">
      <formula>0</formula>
    </cfRule>
    <cfRule type="cellIs" priority="121" operator="equal" aboveAverage="0" equalAverage="0" bottom="0" percent="0" rank="0" text="" dxfId="1">
      <formula>0</formula>
    </cfRule>
  </conditionalFormatting>
  <conditionalFormatting sqref="F73">
    <cfRule type="cellIs" priority="122" operator="greaterThan" aboveAverage="0" equalAverage="0" bottom="0" percent="0" rank="0" text="" dxfId="0">
      <formula>0</formula>
    </cfRule>
    <cfRule type="cellIs" priority="12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2026-04-02T20:10:06Z</dcterms:created>
  <dc:creator>openpyxl</dc:creator>
  <dc:description/>
  <dc:language>en-US</dc:language>
  <cp:lastModifiedBy/>
  <dcterms:modified xsi:type="dcterms:W3CDTF">2026-04-02T20:10:07Z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