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b54e64e92980ee1/Área de Trabalho/2023/RELATORIO TERCEIROS/RELATORIOS 2025/1-JANEIRO/"/>
    </mc:Choice>
  </mc:AlternateContent>
  <xr:revisionPtr revIDLastSave="0" documentId="8_{FB73445D-B784-47B9-92CA-C8913C02262E}" xr6:coauthVersionLast="47" xr6:coauthVersionMax="47" xr10:uidLastSave="{00000000-0000-0000-0000-000000000000}"/>
  <bookViews>
    <workbookView xWindow="-110" yWindow="-110" windowWidth="19420" windowHeight="11500" tabRatio="790" activeTab="1" xr2:uid="{00000000-000D-0000-FFFF-FFFF00000000}"/>
  </bookViews>
  <sheets>
    <sheet name="ordem_servico" sheetId="10" r:id="rId1"/>
    <sheet name="base" sheetId="11" r:id="rId2"/>
    <sheet name="de_para" sheetId="9" r:id="rId3"/>
  </sheets>
  <functionGroups builtInGroupCount="19"/>
  <definedNames>
    <definedName name="Filial">de_para!$H$2:$H$9</definedName>
    <definedName name="Matriz">de_para!$I$2:$I$7</definedName>
    <definedName name="Produtos">OFFSET(#REF!,0,0,COUNTA(#REF!)-1,1)</definedName>
    <definedName name="TabelaEstoque" localSheetId="0">#REF!</definedName>
    <definedName name="TabelaEstoque">#REF!</definedName>
    <definedName name="Tipo_Movimentacao">OFFSET(#REF!,0,0,COUNTA(#REF!),1)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" i="11" l="1"/>
  <c r="T5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T51" i="11"/>
  <c r="T52" i="11"/>
  <c r="T53" i="11"/>
  <c r="T54" i="11"/>
  <c r="T55" i="11"/>
  <c r="T56" i="11"/>
  <c r="T57" i="11"/>
  <c r="T58" i="11"/>
  <c r="T59" i="11"/>
  <c r="T60" i="11"/>
  <c r="T61" i="11"/>
  <c r="T62" i="11"/>
  <c r="T63" i="11"/>
  <c r="T64" i="11"/>
  <c r="T65" i="11"/>
  <c r="T66" i="11"/>
  <c r="T67" i="11"/>
  <c r="T68" i="11"/>
  <c r="T69" i="11"/>
  <c r="T70" i="11"/>
  <c r="T71" i="11"/>
  <c r="T72" i="11"/>
  <c r="T73" i="11"/>
  <c r="T74" i="11"/>
  <c r="T75" i="11"/>
  <c r="T76" i="11"/>
  <c r="T77" i="11"/>
  <c r="T78" i="11"/>
  <c r="T79" i="11"/>
  <c r="T80" i="11"/>
  <c r="T81" i="11"/>
  <c r="T82" i="11"/>
  <c r="T83" i="11"/>
  <c r="T84" i="11"/>
  <c r="T85" i="11"/>
  <c r="T86" i="11"/>
  <c r="T87" i="11"/>
  <c r="T88" i="11"/>
  <c r="T89" i="11"/>
  <c r="T90" i="11"/>
  <c r="T91" i="11"/>
  <c r="T92" i="11"/>
  <c r="T93" i="11"/>
  <c r="T94" i="11"/>
  <c r="T95" i="11"/>
  <c r="T96" i="11"/>
  <c r="T97" i="11"/>
  <c r="T98" i="11"/>
  <c r="T99" i="11"/>
  <c r="T100" i="11"/>
  <c r="T101" i="11"/>
  <c r="T102" i="11"/>
  <c r="T103" i="11"/>
  <c r="T104" i="11"/>
  <c r="T105" i="11"/>
  <c r="T106" i="11"/>
  <c r="T107" i="11"/>
  <c r="T108" i="11"/>
  <c r="T109" i="11"/>
  <c r="T110" i="11"/>
  <c r="T111" i="11"/>
  <c r="T112" i="11"/>
  <c r="T113" i="11"/>
  <c r="T114" i="11"/>
  <c r="T115" i="11"/>
  <c r="T116" i="11"/>
  <c r="T117" i="11"/>
  <c r="T118" i="11"/>
  <c r="T119" i="11"/>
  <c r="T120" i="11"/>
  <c r="T121" i="11"/>
  <c r="T122" i="11"/>
  <c r="T123" i="11"/>
  <c r="T124" i="11"/>
  <c r="T125" i="11"/>
  <c r="T126" i="11"/>
  <c r="T127" i="11"/>
  <c r="T128" i="11"/>
  <c r="T129" i="11"/>
  <c r="T130" i="11"/>
  <c r="T131" i="11"/>
  <c r="T132" i="11"/>
  <c r="T133" i="11"/>
  <c r="T134" i="11"/>
  <c r="T135" i="11"/>
  <c r="T136" i="11"/>
  <c r="T137" i="11"/>
  <c r="T138" i="11"/>
  <c r="T139" i="11"/>
  <c r="T140" i="11"/>
  <c r="T141" i="11"/>
  <c r="T142" i="11"/>
  <c r="T143" i="11"/>
  <c r="T144" i="11"/>
  <c r="T145" i="11"/>
  <c r="T146" i="11"/>
  <c r="T147" i="11"/>
  <c r="T148" i="11"/>
  <c r="T149" i="11"/>
  <c r="T150" i="11"/>
  <c r="T151" i="11"/>
  <c r="T152" i="11"/>
  <c r="T153" i="11"/>
  <c r="T154" i="11"/>
  <c r="T155" i="11"/>
  <c r="T156" i="11"/>
  <c r="T157" i="11"/>
  <c r="T158" i="11"/>
  <c r="T159" i="11"/>
  <c r="T160" i="11"/>
  <c r="T161" i="11"/>
  <c r="T162" i="11"/>
  <c r="T163" i="11"/>
  <c r="T164" i="11"/>
  <c r="T165" i="11"/>
  <c r="T166" i="11"/>
  <c r="T167" i="11"/>
  <c r="T168" i="11"/>
  <c r="T169" i="11"/>
  <c r="T170" i="11"/>
  <c r="T171" i="11"/>
  <c r="T172" i="11"/>
  <c r="T173" i="11"/>
  <c r="T174" i="11"/>
  <c r="T175" i="11"/>
  <c r="T176" i="11"/>
  <c r="T177" i="11"/>
  <c r="T178" i="11"/>
  <c r="T179" i="11"/>
  <c r="T180" i="11"/>
  <c r="T181" i="11"/>
  <c r="T182" i="11"/>
  <c r="T183" i="11"/>
  <c r="T184" i="11"/>
  <c r="T185" i="11"/>
  <c r="T186" i="11"/>
  <c r="T187" i="11"/>
  <c r="T188" i="11"/>
  <c r="T189" i="11"/>
  <c r="T190" i="11"/>
  <c r="T191" i="11"/>
  <c r="T192" i="11"/>
  <c r="T193" i="11"/>
  <c r="T194" i="11"/>
  <c r="T195" i="11"/>
  <c r="T196" i="11"/>
  <c r="T197" i="11"/>
  <c r="T198" i="11"/>
  <c r="T199" i="11"/>
  <c r="T200" i="11"/>
  <c r="T201" i="11"/>
  <c r="T202" i="11"/>
  <c r="T203" i="11"/>
  <c r="T204" i="11"/>
  <c r="T205" i="11"/>
  <c r="T206" i="11"/>
  <c r="T207" i="11"/>
  <c r="T208" i="11"/>
  <c r="T209" i="11"/>
  <c r="T210" i="11"/>
  <c r="T211" i="11"/>
  <c r="T212" i="11"/>
  <c r="T213" i="11"/>
  <c r="T214" i="11"/>
  <c r="T215" i="11"/>
  <c r="T216" i="11"/>
  <c r="T217" i="11"/>
  <c r="T218" i="11"/>
  <c r="T219" i="11"/>
  <c r="T220" i="11"/>
  <c r="T221" i="11"/>
  <c r="T222" i="11"/>
  <c r="T223" i="11"/>
  <c r="T224" i="11"/>
  <c r="T225" i="11"/>
  <c r="T226" i="11"/>
  <c r="T227" i="11"/>
  <c r="T228" i="11"/>
  <c r="T229" i="11"/>
  <c r="T230" i="11"/>
  <c r="T231" i="11"/>
  <c r="T232" i="11"/>
  <c r="T233" i="11"/>
  <c r="T234" i="11"/>
  <c r="T235" i="11"/>
  <c r="T236" i="11"/>
  <c r="T237" i="11"/>
  <c r="T238" i="11"/>
  <c r="T239" i="11"/>
  <c r="T240" i="11"/>
  <c r="T241" i="11"/>
  <c r="T242" i="11"/>
  <c r="T243" i="11"/>
  <c r="T244" i="11"/>
  <c r="T245" i="11"/>
  <c r="T246" i="11"/>
  <c r="T247" i="11"/>
  <c r="T248" i="11"/>
  <c r="T249" i="11"/>
  <c r="T250" i="11"/>
  <c r="T251" i="11"/>
  <c r="T252" i="11"/>
  <c r="T253" i="11"/>
  <c r="T254" i="11"/>
  <c r="T255" i="11"/>
  <c r="T256" i="11"/>
  <c r="T257" i="11"/>
  <c r="T258" i="11"/>
  <c r="T259" i="11"/>
  <c r="T260" i="11"/>
  <c r="T261" i="11"/>
  <c r="T262" i="11"/>
  <c r="T263" i="11"/>
  <c r="T264" i="11"/>
  <c r="T265" i="11"/>
  <c r="T266" i="11"/>
  <c r="T267" i="11"/>
  <c r="T268" i="11"/>
  <c r="T269" i="11"/>
  <c r="T270" i="11"/>
  <c r="T271" i="11"/>
  <c r="T272" i="11"/>
  <c r="T273" i="11"/>
  <c r="T274" i="11"/>
  <c r="T275" i="11"/>
  <c r="T276" i="11"/>
  <c r="T277" i="11"/>
  <c r="T278" i="11"/>
  <c r="T279" i="11"/>
  <c r="T280" i="11"/>
  <c r="T281" i="11"/>
  <c r="T282" i="11"/>
  <c r="T283" i="11"/>
  <c r="T284" i="11"/>
  <c r="T285" i="11"/>
  <c r="T286" i="11"/>
  <c r="T287" i="11"/>
  <c r="T288" i="11"/>
  <c r="T289" i="11"/>
  <c r="T290" i="11"/>
  <c r="T291" i="11"/>
  <c r="T292" i="11"/>
  <c r="T293" i="11"/>
  <c r="T294" i="11"/>
  <c r="T295" i="11"/>
  <c r="T296" i="11"/>
  <c r="T297" i="11"/>
  <c r="T298" i="11"/>
  <c r="T299" i="11"/>
  <c r="T300" i="11"/>
  <c r="T301" i="11"/>
  <c r="T302" i="11"/>
  <c r="T303" i="11"/>
  <c r="T304" i="11"/>
  <c r="T305" i="11"/>
  <c r="T306" i="11"/>
  <c r="T307" i="11"/>
  <c r="T308" i="11"/>
  <c r="T309" i="11"/>
  <c r="T310" i="11"/>
  <c r="T311" i="11"/>
  <c r="T312" i="11"/>
  <c r="T313" i="11"/>
  <c r="T314" i="11"/>
  <c r="T315" i="11"/>
  <c r="T316" i="11"/>
  <c r="T317" i="11"/>
  <c r="T318" i="11"/>
  <c r="T319" i="11"/>
  <c r="T320" i="11"/>
  <c r="T321" i="11"/>
  <c r="T322" i="11"/>
  <c r="T323" i="11"/>
  <c r="T324" i="11"/>
  <c r="T325" i="11"/>
  <c r="T326" i="11"/>
  <c r="T327" i="11"/>
  <c r="T328" i="11"/>
  <c r="T329" i="11"/>
  <c r="T330" i="11"/>
  <c r="T331" i="11"/>
  <c r="T332" i="11"/>
  <c r="T333" i="11"/>
  <c r="T334" i="11"/>
  <c r="T335" i="11"/>
  <c r="T336" i="11"/>
  <c r="T337" i="11"/>
  <c r="T338" i="11"/>
  <c r="T339" i="11"/>
  <c r="T340" i="11"/>
  <c r="T341" i="11"/>
  <c r="T342" i="11"/>
  <c r="T343" i="11"/>
  <c r="T344" i="11"/>
  <c r="T345" i="11"/>
  <c r="T346" i="11"/>
  <c r="T347" i="11"/>
  <c r="T348" i="11"/>
  <c r="T349" i="11"/>
  <c r="T350" i="11"/>
  <c r="T351" i="11"/>
  <c r="T352" i="11"/>
  <c r="T353" i="11"/>
  <c r="T354" i="11"/>
  <c r="T355" i="11"/>
  <c r="T356" i="11"/>
  <c r="T357" i="11"/>
  <c r="T358" i="11"/>
  <c r="T359" i="11"/>
  <c r="T360" i="11"/>
  <c r="T361" i="11"/>
  <c r="T362" i="11"/>
  <c r="T363" i="11"/>
  <c r="T364" i="11"/>
  <c r="T365" i="11"/>
  <c r="T366" i="11"/>
  <c r="T367" i="11"/>
  <c r="T368" i="11"/>
  <c r="T369" i="11"/>
  <c r="T370" i="11"/>
  <c r="T371" i="11"/>
  <c r="T372" i="11"/>
  <c r="T373" i="11"/>
  <c r="T374" i="11"/>
  <c r="T375" i="11"/>
  <c r="T376" i="11"/>
  <c r="T377" i="11"/>
  <c r="T378" i="11"/>
  <c r="T379" i="11"/>
  <c r="T380" i="11"/>
  <c r="T381" i="11"/>
  <c r="T382" i="11"/>
  <c r="T383" i="11"/>
  <c r="T384" i="11"/>
  <c r="T385" i="11"/>
  <c r="T386" i="11"/>
  <c r="T387" i="11"/>
  <c r="T388" i="11"/>
  <c r="T389" i="11"/>
  <c r="T390" i="11"/>
  <c r="T391" i="11"/>
  <c r="T392" i="11"/>
  <c r="T393" i="11"/>
  <c r="T394" i="11"/>
  <c r="T395" i="11"/>
  <c r="T396" i="11"/>
  <c r="T397" i="11"/>
  <c r="T398" i="11"/>
  <c r="T399" i="11"/>
  <c r="T400" i="11"/>
  <c r="T401" i="11"/>
  <c r="T402" i="11"/>
  <c r="T403" i="11"/>
  <c r="T404" i="11"/>
  <c r="T405" i="11"/>
  <c r="T406" i="11"/>
  <c r="T407" i="11"/>
  <c r="T408" i="11"/>
  <c r="T409" i="11"/>
  <c r="T410" i="11"/>
  <c r="T411" i="11"/>
  <c r="T412" i="11"/>
  <c r="T413" i="11"/>
  <c r="T414" i="11"/>
  <c r="T415" i="11"/>
  <c r="T416" i="11"/>
  <c r="T417" i="11"/>
  <c r="T418" i="11"/>
  <c r="T419" i="11"/>
  <c r="T420" i="11"/>
  <c r="T421" i="11"/>
  <c r="T422" i="11"/>
  <c r="T423" i="11"/>
  <c r="T424" i="11"/>
  <c r="T425" i="11"/>
  <c r="T426" i="11"/>
  <c r="T427" i="11"/>
  <c r="T428" i="11"/>
  <c r="T429" i="11"/>
  <c r="T430" i="11"/>
  <c r="T431" i="11"/>
  <c r="T432" i="11"/>
  <c r="T433" i="11"/>
  <c r="T434" i="11"/>
  <c r="T435" i="11"/>
  <c r="T436" i="11"/>
  <c r="T437" i="11"/>
  <c r="T438" i="11"/>
  <c r="T439" i="11"/>
  <c r="T440" i="11"/>
  <c r="T441" i="11"/>
  <c r="T442" i="11"/>
  <c r="T443" i="11"/>
  <c r="T444" i="11"/>
  <c r="T445" i="11"/>
  <c r="T446" i="11"/>
  <c r="T447" i="11"/>
  <c r="T448" i="11"/>
  <c r="T449" i="11"/>
  <c r="T450" i="11"/>
  <c r="T451" i="11"/>
  <c r="T452" i="11"/>
  <c r="T453" i="11"/>
  <c r="T454" i="11"/>
  <c r="T455" i="11"/>
  <c r="T456" i="11"/>
  <c r="T457" i="11"/>
  <c r="T458" i="11"/>
  <c r="T459" i="11"/>
  <c r="T460" i="11"/>
  <c r="T461" i="11"/>
  <c r="T462" i="11"/>
  <c r="T463" i="11"/>
  <c r="T464" i="11"/>
  <c r="T465" i="11"/>
  <c r="T466" i="11"/>
  <c r="T467" i="11"/>
  <c r="T468" i="11"/>
  <c r="T469" i="11"/>
  <c r="T470" i="11"/>
  <c r="T471" i="11"/>
  <c r="T472" i="11"/>
  <c r="T473" i="11"/>
  <c r="T474" i="11"/>
  <c r="T475" i="11"/>
  <c r="T476" i="11"/>
  <c r="T477" i="11"/>
  <c r="T478" i="11"/>
  <c r="T479" i="11"/>
  <c r="T480" i="11"/>
  <c r="T481" i="11"/>
  <c r="T482" i="11"/>
  <c r="T483" i="11"/>
  <c r="T484" i="11"/>
  <c r="T485" i="11"/>
  <c r="T486" i="11"/>
  <c r="T487" i="11"/>
  <c r="T488" i="11"/>
  <c r="T489" i="11"/>
  <c r="T490" i="11"/>
  <c r="T491" i="11"/>
  <c r="T492" i="11"/>
  <c r="T493" i="11"/>
  <c r="T494" i="11"/>
  <c r="T495" i="11"/>
  <c r="T496" i="11"/>
  <c r="T497" i="11"/>
  <c r="T498" i="11"/>
  <c r="T499" i="11"/>
  <c r="T500" i="11"/>
  <c r="T501" i="11"/>
  <c r="T502" i="11"/>
  <c r="T503" i="11"/>
  <c r="T504" i="11"/>
  <c r="T505" i="11"/>
  <c r="T506" i="11"/>
  <c r="T507" i="11"/>
  <c r="T508" i="11"/>
  <c r="T509" i="11"/>
  <c r="T510" i="11"/>
  <c r="T511" i="11"/>
  <c r="T512" i="11"/>
  <c r="T513" i="11"/>
  <c r="T514" i="11"/>
  <c r="T515" i="11"/>
  <c r="T516" i="11"/>
  <c r="T517" i="11"/>
  <c r="T518" i="11"/>
  <c r="T519" i="11"/>
  <c r="T520" i="11"/>
  <c r="T521" i="11"/>
  <c r="T522" i="11"/>
  <c r="T523" i="11"/>
  <c r="T524" i="11"/>
  <c r="T525" i="11"/>
  <c r="T526" i="11"/>
  <c r="T527" i="11"/>
  <c r="T528" i="11"/>
  <c r="T529" i="11"/>
  <c r="T530" i="11"/>
  <c r="T531" i="11"/>
  <c r="T532" i="11"/>
  <c r="T533" i="11"/>
  <c r="T534" i="11"/>
  <c r="T535" i="11"/>
  <c r="T536" i="11"/>
  <c r="T537" i="11"/>
  <c r="T538" i="11"/>
  <c r="T539" i="11"/>
  <c r="T540" i="11"/>
  <c r="T541" i="11"/>
  <c r="T542" i="11"/>
  <c r="T543" i="11"/>
  <c r="T544" i="11"/>
  <c r="T545" i="11"/>
  <c r="T546" i="11"/>
  <c r="T547" i="11"/>
  <c r="T548" i="11"/>
  <c r="T549" i="11"/>
  <c r="T550" i="11"/>
  <c r="T551" i="11"/>
  <c r="T552" i="11"/>
  <c r="T553" i="11"/>
  <c r="T554" i="11"/>
  <c r="T555" i="11"/>
  <c r="T556" i="11"/>
  <c r="T557" i="11"/>
  <c r="T558" i="11"/>
  <c r="T559" i="11"/>
  <c r="T560" i="11"/>
  <c r="T561" i="11"/>
  <c r="T562" i="11"/>
  <c r="T563" i="11"/>
  <c r="T564" i="11"/>
  <c r="T565" i="11"/>
  <c r="T566" i="11"/>
  <c r="T567" i="11"/>
  <c r="T568" i="11"/>
  <c r="T569" i="11"/>
  <c r="T570" i="11"/>
  <c r="T571" i="11"/>
  <c r="T572" i="11"/>
  <c r="T573" i="11"/>
  <c r="T574" i="11"/>
  <c r="T575" i="11"/>
  <c r="T576" i="11"/>
  <c r="T577" i="11"/>
  <c r="T578" i="11"/>
  <c r="T579" i="11"/>
  <c r="T580" i="11"/>
  <c r="T581" i="11"/>
  <c r="T582" i="11"/>
  <c r="T583" i="11"/>
  <c r="T584" i="11"/>
  <c r="T585" i="11"/>
  <c r="T586" i="11"/>
  <c r="T587" i="11"/>
  <c r="T588" i="11"/>
  <c r="T589" i="11"/>
  <c r="T590" i="11"/>
  <c r="T591" i="11"/>
  <c r="T592" i="11"/>
  <c r="T593" i="11"/>
  <c r="T594" i="11"/>
  <c r="T595" i="11"/>
  <c r="T596" i="11"/>
  <c r="T597" i="11"/>
  <c r="T598" i="11"/>
  <c r="T599" i="11"/>
  <c r="T600" i="11"/>
  <c r="T601" i="11"/>
  <c r="T602" i="11"/>
  <c r="T603" i="11"/>
  <c r="T604" i="11"/>
  <c r="T605" i="11"/>
  <c r="T606" i="11"/>
  <c r="T607" i="11"/>
  <c r="T608" i="11"/>
  <c r="T609" i="11"/>
  <c r="T610" i="11"/>
  <c r="T611" i="11"/>
  <c r="T612" i="11"/>
  <c r="T613" i="11"/>
  <c r="T614" i="11"/>
  <c r="T615" i="11"/>
  <c r="T616" i="11"/>
  <c r="T617" i="11"/>
  <c r="T618" i="11"/>
  <c r="T619" i="11"/>
  <c r="T620" i="11"/>
  <c r="T621" i="11"/>
  <c r="T622" i="11"/>
  <c r="T623" i="11"/>
  <c r="T624" i="11"/>
  <c r="T625" i="11"/>
  <c r="T626" i="11"/>
  <c r="T627" i="11"/>
  <c r="T628" i="11"/>
  <c r="T629" i="11"/>
  <c r="T630" i="11"/>
  <c r="T631" i="11"/>
  <c r="T632" i="11"/>
  <c r="T633" i="11"/>
  <c r="T634" i="11"/>
  <c r="T635" i="11"/>
  <c r="T636" i="11"/>
  <c r="T637" i="11"/>
  <c r="T638" i="11"/>
  <c r="T639" i="11"/>
  <c r="T640" i="11"/>
  <c r="T641" i="11"/>
  <c r="T642" i="11"/>
  <c r="T643" i="11"/>
  <c r="T644" i="11"/>
  <c r="T645" i="11"/>
  <c r="T646" i="11"/>
  <c r="T647" i="11"/>
  <c r="T648" i="11"/>
  <c r="T649" i="11"/>
  <c r="T650" i="11"/>
  <c r="T651" i="11"/>
  <c r="T652" i="11"/>
  <c r="T653" i="11"/>
  <c r="T654" i="11"/>
  <c r="T655" i="11"/>
  <c r="T656" i="11"/>
  <c r="T657" i="11"/>
  <c r="T658" i="11"/>
  <c r="T659" i="11"/>
  <c r="T660" i="11"/>
  <c r="T661" i="11"/>
  <c r="T662" i="11"/>
  <c r="T663" i="11"/>
  <c r="T664" i="11"/>
  <c r="T665" i="11"/>
  <c r="T666" i="11"/>
  <c r="T667" i="11"/>
  <c r="T668" i="11"/>
  <c r="T669" i="11"/>
  <c r="T670" i="11"/>
  <c r="T671" i="11"/>
  <c r="T672" i="11"/>
  <c r="T673" i="11"/>
  <c r="T674" i="11"/>
  <c r="T675" i="11"/>
  <c r="T676" i="11"/>
  <c r="T677" i="11"/>
  <c r="T678" i="11"/>
  <c r="T679" i="11"/>
  <c r="T680" i="11"/>
  <c r="T681" i="11"/>
  <c r="T682" i="11"/>
  <c r="T683" i="11"/>
  <c r="T684" i="11"/>
  <c r="T685" i="11"/>
  <c r="T686" i="11"/>
  <c r="T687" i="11"/>
  <c r="T688" i="11"/>
  <c r="T689" i="11"/>
  <c r="T690" i="11"/>
  <c r="T691" i="11"/>
  <c r="T692" i="11"/>
  <c r="T693" i="11"/>
  <c r="T694" i="11"/>
  <c r="T695" i="11"/>
  <c r="T696" i="11"/>
  <c r="T697" i="11"/>
  <c r="T698" i="11"/>
  <c r="T699" i="11"/>
  <c r="T700" i="11"/>
  <c r="T701" i="11"/>
  <c r="T702" i="11"/>
  <c r="T703" i="11"/>
  <c r="T704" i="11"/>
  <c r="T705" i="11"/>
  <c r="T706" i="11"/>
  <c r="T707" i="11"/>
  <c r="T708" i="11"/>
  <c r="T709" i="11"/>
  <c r="T710" i="11"/>
  <c r="T711" i="11"/>
  <c r="T712" i="11"/>
  <c r="T713" i="11"/>
  <c r="T714" i="11"/>
  <c r="T715" i="11"/>
  <c r="T716" i="11"/>
  <c r="T717" i="11"/>
  <c r="T718" i="11"/>
  <c r="T719" i="11"/>
  <c r="T720" i="11"/>
  <c r="T721" i="11"/>
  <c r="T722" i="11"/>
  <c r="T723" i="11"/>
  <c r="T724" i="11"/>
  <c r="T725" i="11"/>
  <c r="T726" i="11"/>
  <c r="T727" i="11"/>
  <c r="T728" i="11"/>
  <c r="T729" i="11"/>
  <c r="T730" i="11"/>
  <c r="T731" i="11"/>
  <c r="T732" i="11"/>
  <c r="T733" i="11"/>
  <c r="T734" i="11"/>
  <c r="T735" i="11"/>
  <c r="T736" i="11"/>
  <c r="T737" i="11"/>
  <c r="T738" i="11"/>
  <c r="T739" i="11"/>
  <c r="T740" i="11"/>
  <c r="T741" i="11"/>
  <c r="T742" i="11"/>
  <c r="T743" i="11"/>
  <c r="T744" i="11"/>
  <c r="T745" i="11"/>
  <c r="T746" i="11"/>
  <c r="T747" i="11"/>
  <c r="T748" i="11"/>
  <c r="T749" i="11"/>
  <c r="T750" i="11"/>
  <c r="T751" i="11"/>
  <c r="T752" i="11"/>
  <c r="T753" i="11"/>
  <c r="T754" i="11"/>
  <c r="T755" i="11"/>
  <c r="T756" i="11"/>
  <c r="T757" i="11"/>
  <c r="T758" i="11"/>
  <c r="T759" i="11"/>
  <c r="T760" i="11"/>
  <c r="T761" i="11"/>
  <c r="T762" i="11"/>
  <c r="T763" i="11"/>
  <c r="T764" i="11"/>
  <c r="T765" i="11"/>
  <c r="T766" i="11"/>
  <c r="T767" i="11"/>
  <c r="T768" i="11"/>
  <c r="T769" i="11"/>
  <c r="T770" i="11"/>
  <c r="T771" i="11"/>
  <c r="T772" i="11"/>
  <c r="T773" i="11"/>
  <c r="T774" i="11"/>
  <c r="T775" i="11"/>
  <c r="T776" i="11"/>
  <c r="T777" i="11"/>
  <c r="T778" i="11"/>
  <c r="T779" i="11"/>
  <c r="T780" i="11"/>
  <c r="T781" i="11"/>
  <c r="T782" i="11"/>
  <c r="T783" i="11"/>
  <c r="T784" i="11"/>
  <c r="T785" i="11"/>
  <c r="T786" i="11"/>
  <c r="T787" i="11"/>
  <c r="T788" i="11"/>
  <c r="T789" i="11"/>
  <c r="T790" i="11"/>
  <c r="T791" i="11"/>
  <c r="T792" i="11"/>
  <c r="T793" i="11"/>
  <c r="T794" i="11"/>
  <c r="T795" i="11"/>
  <c r="T796" i="11"/>
  <c r="T797" i="11"/>
  <c r="T798" i="11"/>
  <c r="T799" i="11"/>
  <c r="T800" i="11"/>
  <c r="T801" i="11"/>
  <c r="T802" i="11"/>
  <c r="T803" i="11"/>
  <c r="T804" i="11"/>
  <c r="T805" i="11"/>
  <c r="T806" i="11"/>
  <c r="T807" i="11"/>
  <c r="T808" i="11"/>
  <c r="T809" i="11"/>
  <c r="T810" i="11"/>
  <c r="T811" i="11"/>
  <c r="T812" i="11"/>
  <c r="T813" i="11"/>
  <c r="T814" i="11"/>
  <c r="T815" i="11"/>
  <c r="T816" i="11"/>
  <c r="T817" i="11"/>
  <c r="T818" i="11"/>
  <c r="T819" i="11"/>
  <c r="T820" i="11"/>
  <c r="T821" i="11"/>
  <c r="T822" i="11"/>
  <c r="T823" i="11"/>
  <c r="T824" i="11"/>
  <c r="T825" i="11"/>
  <c r="T826" i="11"/>
  <c r="T827" i="11"/>
  <c r="T828" i="11"/>
  <c r="T829" i="11"/>
  <c r="T830" i="11"/>
  <c r="T831" i="11"/>
  <c r="T832" i="11"/>
  <c r="T833" i="11"/>
  <c r="T834" i="11"/>
  <c r="T835" i="11"/>
  <c r="T836" i="11"/>
  <c r="T837" i="11"/>
  <c r="T838" i="11"/>
  <c r="T839" i="11"/>
  <c r="T840" i="11"/>
  <c r="T841" i="11"/>
  <c r="T842" i="11"/>
  <c r="T843" i="11"/>
  <c r="T844" i="11"/>
  <c r="T845" i="11"/>
  <c r="T846" i="11"/>
  <c r="T847" i="11"/>
  <c r="T848" i="11"/>
  <c r="T849" i="11"/>
  <c r="T850" i="11"/>
  <c r="T851" i="11"/>
  <c r="T852" i="11"/>
  <c r="T853" i="11"/>
  <c r="T854" i="11"/>
  <c r="T855" i="11"/>
  <c r="T856" i="11"/>
  <c r="T857" i="11"/>
  <c r="T858" i="11"/>
  <c r="T859" i="11"/>
  <c r="T860" i="11"/>
  <c r="T861" i="11"/>
  <c r="T862" i="11"/>
  <c r="T863" i="11"/>
  <c r="T864" i="11"/>
  <c r="T865" i="11"/>
  <c r="T866" i="11"/>
  <c r="T867" i="11"/>
  <c r="T868" i="11"/>
  <c r="T869" i="11"/>
  <c r="T870" i="11"/>
  <c r="T871" i="11"/>
  <c r="T872" i="11"/>
  <c r="T873" i="11"/>
  <c r="T874" i="11"/>
  <c r="T875" i="11"/>
  <c r="T876" i="11"/>
  <c r="T877" i="11"/>
  <c r="T878" i="11"/>
  <c r="T879" i="11"/>
  <c r="T880" i="11"/>
  <c r="T881" i="11"/>
  <c r="T882" i="11"/>
  <c r="T883" i="11"/>
  <c r="T884" i="11"/>
  <c r="T885" i="11"/>
  <c r="T886" i="11"/>
  <c r="T887" i="11"/>
  <c r="T888" i="11"/>
  <c r="T889" i="11"/>
  <c r="T890" i="11"/>
  <c r="T891" i="11"/>
  <c r="T892" i="11"/>
  <c r="T893" i="11"/>
  <c r="T894" i="11"/>
  <c r="T895" i="11"/>
  <c r="T896" i="11"/>
  <c r="T897" i="11"/>
  <c r="T898" i="11"/>
  <c r="T899" i="11"/>
  <c r="T900" i="11"/>
  <c r="T901" i="11"/>
  <c r="T902" i="11"/>
  <c r="T903" i="11"/>
  <c r="T904" i="11"/>
  <c r="T905" i="11"/>
  <c r="T906" i="11"/>
  <c r="T907" i="11"/>
  <c r="T908" i="11"/>
  <c r="T909" i="11"/>
  <c r="T910" i="11"/>
  <c r="T911" i="11"/>
  <c r="T912" i="11"/>
  <c r="T913" i="11"/>
  <c r="T914" i="11"/>
  <c r="T915" i="11"/>
  <c r="T916" i="11"/>
  <c r="T917" i="11"/>
  <c r="T918" i="11"/>
  <c r="T919" i="11"/>
  <c r="T920" i="11"/>
  <c r="T921" i="11"/>
  <c r="T922" i="11"/>
  <c r="T923" i="11"/>
  <c r="T924" i="11"/>
  <c r="T925" i="11"/>
  <c r="T926" i="11"/>
  <c r="T927" i="11"/>
  <c r="T928" i="11"/>
  <c r="T929" i="11"/>
  <c r="T930" i="11"/>
  <c r="T931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N461" i="11"/>
  <c r="N462" i="11"/>
  <c r="N463" i="11"/>
  <c r="N464" i="11"/>
  <c r="N465" i="11"/>
  <c r="N466" i="11"/>
  <c r="N467" i="11"/>
  <c r="N468" i="11"/>
  <c r="N469" i="11"/>
  <c r="N470" i="11"/>
  <c r="N471" i="11"/>
  <c r="N472" i="11"/>
  <c r="N473" i="11"/>
  <c r="N474" i="11"/>
  <c r="N475" i="11"/>
  <c r="N476" i="11"/>
  <c r="N477" i="11"/>
  <c r="N478" i="11"/>
  <c r="N479" i="11"/>
  <c r="N480" i="11"/>
  <c r="N481" i="11"/>
  <c r="N482" i="11"/>
  <c r="N483" i="11"/>
  <c r="N484" i="11"/>
  <c r="N485" i="11"/>
  <c r="N486" i="11"/>
  <c r="N487" i="11"/>
  <c r="N488" i="11"/>
  <c r="N489" i="11"/>
  <c r="N490" i="11"/>
  <c r="N491" i="11"/>
  <c r="N492" i="11"/>
  <c r="N493" i="11"/>
  <c r="N494" i="11"/>
  <c r="N495" i="11"/>
  <c r="N496" i="11"/>
  <c r="N497" i="11"/>
  <c r="N498" i="11"/>
  <c r="N499" i="11"/>
  <c r="N500" i="11"/>
  <c r="N501" i="11"/>
  <c r="N502" i="11"/>
  <c r="N503" i="11"/>
  <c r="N504" i="11"/>
  <c r="N505" i="11"/>
  <c r="N506" i="11"/>
  <c r="N507" i="11"/>
  <c r="N508" i="11"/>
  <c r="N509" i="11"/>
  <c r="N510" i="11"/>
  <c r="N511" i="11"/>
  <c r="N512" i="11"/>
  <c r="N513" i="11"/>
  <c r="N514" i="11"/>
  <c r="N515" i="11"/>
  <c r="N516" i="11"/>
  <c r="N517" i="11"/>
  <c r="N518" i="11"/>
  <c r="N519" i="11"/>
  <c r="N520" i="11"/>
  <c r="N521" i="11"/>
  <c r="N522" i="11"/>
  <c r="N523" i="11"/>
  <c r="N524" i="11"/>
  <c r="N525" i="11"/>
  <c r="N526" i="11"/>
  <c r="N527" i="11"/>
  <c r="N528" i="11"/>
  <c r="N529" i="11"/>
  <c r="N530" i="11"/>
  <c r="N531" i="11"/>
  <c r="N532" i="11"/>
  <c r="N533" i="11"/>
  <c r="N534" i="11"/>
  <c r="N535" i="11"/>
  <c r="N536" i="11"/>
  <c r="N537" i="11"/>
  <c r="N538" i="11"/>
  <c r="N539" i="11"/>
  <c r="N540" i="11"/>
  <c r="N541" i="11"/>
  <c r="N542" i="11"/>
  <c r="N543" i="11"/>
  <c r="N544" i="11"/>
  <c r="N545" i="11"/>
  <c r="N546" i="11"/>
  <c r="N547" i="11"/>
  <c r="N548" i="11"/>
  <c r="N549" i="11"/>
  <c r="N550" i="11"/>
  <c r="N551" i="11"/>
  <c r="N552" i="11"/>
  <c r="N553" i="11"/>
  <c r="N554" i="11"/>
  <c r="N555" i="11"/>
  <c r="N556" i="11"/>
  <c r="N557" i="11"/>
  <c r="N558" i="11"/>
  <c r="N559" i="11"/>
  <c r="N560" i="11"/>
  <c r="N561" i="11"/>
  <c r="N562" i="11"/>
  <c r="N563" i="11"/>
  <c r="N564" i="11"/>
  <c r="N565" i="11"/>
  <c r="N566" i="11"/>
  <c r="N567" i="11"/>
  <c r="N568" i="11"/>
  <c r="N569" i="11"/>
  <c r="N570" i="11"/>
  <c r="N571" i="11"/>
  <c r="N572" i="11"/>
  <c r="N573" i="11"/>
  <c r="N574" i="11"/>
  <c r="N575" i="11"/>
  <c r="N576" i="11"/>
  <c r="N577" i="11"/>
  <c r="N578" i="11"/>
  <c r="N579" i="11"/>
  <c r="N580" i="11"/>
  <c r="N581" i="11"/>
  <c r="N582" i="11"/>
  <c r="N583" i="11"/>
  <c r="N584" i="11"/>
  <c r="N585" i="11"/>
  <c r="N586" i="11"/>
  <c r="N587" i="11"/>
  <c r="N588" i="11"/>
  <c r="N589" i="11"/>
  <c r="N590" i="11"/>
  <c r="N591" i="11"/>
  <c r="N592" i="11"/>
  <c r="N593" i="11"/>
  <c r="N594" i="11"/>
  <c r="N595" i="11"/>
  <c r="N596" i="11"/>
  <c r="N597" i="11"/>
  <c r="N598" i="11"/>
  <c r="N599" i="11"/>
  <c r="N600" i="11"/>
  <c r="N601" i="11"/>
  <c r="N602" i="11"/>
  <c r="N603" i="11"/>
  <c r="N604" i="11"/>
  <c r="N605" i="11"/>
  <c r="N606" i="11"/>
  <c r="N607" i="11"/>
  <c r="N608" i="11"/>
  <c r="N609" i="11"/>
  <c r="N610" i="11"/>
  <c r="N611" i="11"/>
  <c r="N612" i="11"/>
  <c r="N613" i="11"/>
  <c r="N614" i="11"/>
  <c r="N615" i="11"/>
  <c r="N616" i="11"/>
  <c r="N617" i="11"/>
  <c r="N618" i="11"/>
  <c r="N619" i="11"/>
  <c r="N620" i="11"/>
  <c r="N621" i="11"/>
  <c r="N622" i="11"/>
  <c r="N623" i="11"/>
  <c r="N624" i="11"/>
  <c r="N625" i="11"/>
  <c r="N626" i="11"/>
  <c r="N627" i="11"/>
  <c r="N628" i="11"/>
  <c r="N629" i="11"/>
  <c r="N630" i="11"/>
  <c r="N631" i="11"/>
  <c r="N632" i="11"/>
  <c r="N633" i="11"/>
  <c r="N634" i="11"/>
  <c r="N635" i="11"/>
  <c r="N636" i="11"/>
  <c r="N637" i="11"/>
  <c r="N638" i="11"/>
  <c r="N639" i="11"/>
  <c r="N640" i="11"/>
  <c r="N641" i="11"/>
  <c r="N642" i="11"/>
  <c r="N643" i="11"/>
  <c r="N644" i="11"/>
  <c r="N645" i="11"/>
  <c r="N646" i="11"/>
  <c r="N647" i="11"/>
  <c r="N648" i="11"/>
  <c r="N649" i="11"/>
  <c r="N650" i="11"/>
  <c r="N651" i="11"/>
  <c r="N652" i="11"/>
  <c r="N653" i="11"/>
  <c r="N654" i="11"/>
  <c r="N655" i="11"/>
  <c r="N656" i="11"/>
  <c r="N657" i="11"/>
  <c r="N658" i="11"/>
  <c r="N659" i="11"/>
  <c r="N660" i="11"/>
  <c r="N661" i="11"/>
  <c r="N662" i="11"/>
  <c r="N663" i="11"/>
  <c r="N664" i="11"/>
  <c r="N665" i="11"/>
  <c r="N666" i="11"/>
  <c r="N667" i="11"/>
  <c r="N668" i="11"/>
  <c r="N669" i="11"/>
  <c r="N670" i="11"/>
  <c r="N671" i="11"/>
  <c r="N672" i="11"/>
  <c r="N673" i="11"/>
  <c r="N674" i="11"/>
  <c r="N675" i="11"/>
  <c r="N676" i="11"/>
  <c r="N677" i="11"/>
  <c r="N678" i="11"/>
  <c r="N679" i="11"/>
  <c r="N680" i="11"/>
  <c r="N681" i="11"/>
  <c r="N682" i="11"/>
  <c r="N683" i="11"/>
  <c r="N684" i="11"/>
  <c r="N685" i="11"/>
  <c r="N686" i="11"/>
  <c r="N687" i="11"/>
  <c r="N688" i="11"/>
  <c r="N689" i="11"/>
  <c r="N690" i="11"/>
  <c r="N691" i="11"/>
  <c r="N692" i="11"/>
  <c r="N693" i="11"/>
  <c r="N694" i="11"/>
  <c r="N695" i="11"/>
  <c r="N696" i="11"/>
  <c r="N697" i="11"/>
  <c r="N698" i="11"/>
  <c r="N699" i="11"/>
  <c r="N700" i="11"/>
  <c r="N701" i="11"/>
  <c r="N702" i="11"/>
  <c r="N703" i="11"/>
  <c r="N704" i="11"/>
  <c r="N705" i="11"/>
  <c r="N706" i="11"/>
  <c r="N707" i="11"/>
  <c r="N708" i="11"/>
  <c r="N709" i="11"/>
  <c r="N710" i="11"/>
  <c r="N711" i="11"/>
  <c r="N712" i="11"/>
  <c r="N713" i="11"/>
  <c r="N714" i="11"/>
  <c r="N715" i="11"/>
  <c r="N716" i="11"/>
  <c r="N717" i="11"/>
  <c r="N718" i="11"/>
  <c r="N719" i="11"/>
  <c r="N720" i="11"/>
  <c r="N721" i="11"/>
  <c r="N722" i="11"/>
  <c r="N723" i="11"/>
  <c r="N724" i="11"/>
  <c r="N725" i="11"/>
  <c r="N726" i="11"/>
  <c r="N727" i="11"/>
  <c r="N728" i="11"/>
  <c r="N729" i="11"/>
  <c r="N730" i="11"/>
  <c r="N731" i="11"/>
  <c r="N732" i="11"/>
  <c r="N733" i="11"/>
  <c r="N734" i="11"/>
  <c r="N735" i="11"/>
  <c r="N736" i="11"/>
  <c r="N737" i="11"/>
  <c r="N738" i="11"/>
  <c r="N739" i="11"/>
  <c r="N740" i="11"/>
  <c r="N741" i="11"/>
  <c r="N742" i="11"/>
  <c r="N743" i="11"/>
  <c r="N744" i="11"/>
  <c r="N745" i="11"/>
  <c r="N746" i="11"/>
  <c r="N747" i="11"/>
  <c r="N748" i="11"/>
  <c r="N749" i="11"/>
  <c r="N750" i="11"/>
  <c r="N751" i="11"/>
  <c r="N752" i="11"/>
  <c r="N753" i="11"/>
  <c r="N754" i="11"/>
  <c r="N755" i="11"/>
  <c r="N756" i="11"/>
  <c r="N757" i="11"/>
  <c r="N758" i="11"/>
  <c r="N759" i="11"/>
  <c r="N760" i="11"/>
  <c r="N761" i="11"/>
  <c r="N762" i="11"/>
  <c r="N763" i="11"/>
  <c r="N764" i="11"/>
  <c r="N765" i="11"/>
  <c r="N766" i="11"/>
  <c r="N767" i="11"/>
  <c r="N768" i="11"/>
  <c r="N769" i="11"/>
  <c r="N770" i="11"/>
  <c r="N771" i="11"/>
  <c r="N772" i="11"/>
  <c r="N773" i="11"/>
  <c r="N774" i="11"/>
  <c r="N775" i="11"/>
  <c r="N776" i="11"/>
  <c r="N777" i="11"/>
  <c r="N778" i="11"/>
  <c r="N779" i="11"/>
  <c r="N780" i="11"/>
  <c r="N781" i="11"/>
  <c r="N782" i="11"/>
  <c r="N783" i="11"/>
  <c r="N784" i="11"/>
  <c r="N785" i="11"/>
  <c r="N786" i="11"/>
  <c r="N787" i="11"/>
  <c r="N788" i="11"/>
  <c r="N789" i="11"/>
  <c r="N790" i="11"/>
  <c r="N791" i="11"/>
  <c r="N792" i="11"/>
  <c r="N793" i="11"/>
  <c r="N794" i="11"/>
  <c r="N795" i="11"/>
  <c r="N796" i="11"/>
  <c r="N797" i="11"/>
  <c r="N798" i="11"/>
  <c r="N799" i="11"/>
  <c r="N800" i="11"/>
  <c r="N801" i="11"/>
  <c r="N802" i="11"/>
  <c r="N803" i="11"/>
  <c r="N804" i="11"/>
  <c r="N805" i="11"/>
  <c r="N806" i="11"/>
  <c r="N807" i="11"/>
  <c r="N808" i="11"/>
  <c r="N809" i="11"/>
  <c r="N810" i="11"/>
  <c r="N811" i="11"/>
  <c r="N812" i="11"/>
  <c r="N813" i="11"/>
  <c r="N814" i="11"/>
  <c r="N815" i="11"/>
  <c r="N816" i="11"/>
  <c r="N817" i="11"/>
  <c r="N818" i="11"/>
  <c r="N819" i="11"/>
  <c r="N820" i="11"/>
  <c r="N821" i="11"/>
  <c r="N822" i="11"/>
  <c r="N823" i="11"/>
  <c r="N824" i="11"/>
  <c r="N825" i="11"/>
  <c r="N826" i="11"/>
  <c r="N827" i="11"/>
  <c r="N828" i="11"/>
  <c r="N829" i="11"/>
  <c r="N830" i="11"/>
  <c r="N831" i="11"/>
  <c r="N832" i="11"/>
  <c r="N833" i="11"/>
  <c r="N834" i="11"/>
  <c r="N835" i="11"/>
  <c r="N836" i="11"/>
  <c r="N837" i="11"/>
  <c r="N838" i="11"/>
  <c r="N839" i="11"/>
  <c r="N840" i="11"/>
  <c r="N841" i="11"/>
  <c r="N842" i="11"/>
  <c r="N843" i="11"/>
  <c r="N844" i="11"/>
  <c r="N845" i="11"/>
  <c r="N846" i="11"/>
  <c r="N847" i="11"/>
  <c r="N848" i="11"/>
  <c r="N849" i="11"/>
  <c r="N850" i="11"/>
  <c r="N851" i="11"/>
  <c r="N852" i="11"/>
  <c r="N853" i="11"/>
  <c r="N854" i="11"/>
  <c r="N855" i="11"/>
  <c r="N856" i="11"/>
  <c r="N857" i="11"/>
  <c r="N858" i="11"/>
  <c r="N859" i="11"/>
  <c r="N860" i="11"/>
  <c r="N861" i="11"/>
  <c r="N862" i="11"/>
  <c r="N863" i="11"/>
  <c r="N864" i="11"/>
  <c r="N865" i="11"/>
  <c r="N866" i="11"/>
  <c r="N867" i="11"/>
  <c r="N868" i="11"/>
  <c r="N869" i="11"/>
  <c r="N870" i="11"/>
  <c r="N871" i="11"/>
  <c r="N872" i="11"/>
  <c r="N873" i="11"/>
  <c r="N874" i="11"/>
  <c r="N875" i="11"/>
  <c r="N876" i="11"/>
  <c r="N877" i="11"/>
  <c r="N878" i="11"/>
  <c r="N879" i="11"/>
  <c r="N880" i="11"/>
  <c r="N881" i="11"/>
  <c r="N882" i="11"/>
  <c r="N883" i="11"/>
  <c r="N884" i="11"/>
  <c r="N885" i="11"/>
  <c r="N886" i="11"/>
  <c r="N887" i="11"/>
  <c r="N888" i="11"/>
  <c r="N889" i="11"/>
  <c r="N890" i="11"/>
  <c r="N891" i="11"/>
  <c r="N892" i="11"/>
  <c r="N893" i="11"/>
  <c r="N894" i="11"/>
  <c r="N895" i="11"/>
  <c r="N896" i="11"/>
  <c r="N897" i="11"/>
  <c r="N898" i="11"/>
  <c r="N899" i="11"/>
  <c r="N900" i="11"/>
  <c r="N901" i="11"/>
  <c r="N902" i="11"/>
  <c r="N903" i="11"/>
  <c r="N904" i="11"/>
  <c r="N905" i="11"/>
  <c r="N906" i="11"/>
  <c r="N907" i="11"/>
  <c r="N908" i="11"/>
  <c r="N909" i="11"/>
  <c r="N910" i="11"/>
  <c r="N911" i="11"/>
  <c r="N912" i="11"/>
  <c r="N913" i="11"/>
  <c r="N914" i="11"/>
  <c r="N915" i="11"/>
  <c r="N916" i="11"/>
  <c r="N917" i="11"/>
  <c r="N918" i="11"/>
  <c r="N919" i="11"/>
  <c r="N920" i="11"/>
  <c r="N921" i="11"/>
  <c r="N922" i="11"/>
  <c r="N923" i="11"/>
  <c r="N924" i="11"/>
  <c r="N925" i="11"/>
  <c r="N926" i="11"/>
  <c r="N927" i="11"/>
  <c r="N928" i="11"/>
  <c r="N929" i="11"/>
  <c r="N930" i="11"/>
  <c r="N931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K461" i="11"/>
  <c r="K462" i="11"/>
  <c r="K463" i="11"/>
  <c r="K464" i="11"/>
  <c r="K465" i="11"/>
  <c r="K466" i="11"/>
  <c r="K467" i="11"/>
  <c r="K468" i="11"/>
  <c r="K469" i="11"/>
  <c r="K470" i="11"/>
  <c r="K471" i="11"/>
  <c r="K472" i="11"/>
  <c r="K473" i="11"/>
  <c r="K474" i="11"/>
  <c r="K475" i="11"/>
  <c r="K476" i="11"/>
  <c r="K477" i="11"/>
  <c r="K478" i="11"/>
  <c r="K479" i="11"/>
  <c r="K480" i="11"/>
  <c r="K481" i="11"/>
  <c r="K482" i="11"/>
  <c r="K483" i="11"/>
  <c r="K484" i="11"/>
  <c r="K485" i="11"/>
  <c r="K486" i="11"/>
  <c r="K487" i="11"/>
  <c r="K488" i="11"/>
  <c r="K489" i="11"/>
  <c r="K490" i="11"/>
  <c r="K491" i="11"/>
  <c r="K492" i="11"/>
  <c r="K493" i="11"/>
  <c r="K494" i="11"/>
  <c r="K495" i="11"/>
  <c r="K496" i="11"/>
  <c r="K497" i="11"/>
  <c r="K498" i="11"/>
  <c r="K499" i="11"/>
  <c r="K500" i="11"/>
  <c r="K501" i="11"/>
  <c r="K502" i="11"/>
  <c r="K503" i="11"/>
  <c r="K504" i="11"/>
  <c r="K505" i="11"/>
  <c r="K506" i="11"/>
  <c r="K507" i="11"/>
  <c r="K508" i="11"/>
  <c r="K509" i="11"/>
  <c r="K510" i="11"/>
  <c r="K511" i="11"/>
  <c r="K512" i="11"/>
  <c r="K513" i="11"/>
  <c r="K514" i="11"/>
  <c r="K515" i="11"/>
  <c r="K516" i="11"/>
  <c r="K517" i="11"/>
  <c r="K518" i="11"/>
  <c r="K519" i="11"/>
  <c r="K520" i="11"/>
  <c r="K521" i="11"/>
  <c r="K522" i="11"/>
  <c r="K523" i="11"/>
  <c r="K524" i="11"/>
  <c r="K525" i="11"/>
  <c r="K526" i="11"/>
  <c r="K527" i="11"/>
  <c r="K528" i="11"/>
  <c r="K529" i="11"/>
  <c r="K530" i="11"/>
  <c r="K531" i="11"/>
  <c r="K532" i="11"/>
  <c r="K533" i="11"/>
  <c r="K534" i="11"/>
  <c r="K535" i="11"/>
  <c r="K536" i="11"/>
  <c r="K537" i="11"/>
  <c r="K538" i="11"/>
  <c r="K539" i="11"/>
  <c r="K540" i="11"/>
  <c r="K541" i="11"/>
  <c r="K542" i="11"/>
  <c r="K543" i="11"/>
  <c r="K544" i="11"/>
  <c r="K545" i="11"/>
  <c r="K546" i="11"/>
  <c r="K547" i="11"/>
  <c r="K548" i="11"/>
  <c r="K549" i="11"/>
  <c r="K550" i="11"/>
  <c r="K551" i="11"/>
  <c r="K552" i="11"/>
  <c r="K553" i="11"/>
  <c r="K554" i="11"/>
  <c r="K555" i="11"/>
  <c r="K556" i="11"/>
  <c r="K557" i="11"/>
  <c r="K558" i="11"/>
  <c r="K559" i="11"/>
  <c r="K560" i="11"/>
  <c r="K561" i="11"/>
  <c r="K562" i="11"/>
  <c r="K563" i="11"/>
  <c r="K564" i="11"/>
  <c r="K565" i="11"/>
  <c r="K566" i="11"/>
  <c r="K567" i="11"/>
  <c r="K568" i="11"/>
  <c r="K569" i="11"/>
  <c r="K570" i="11"/>
  <c r="K571" i="11"/>
  <c r="K572" i="11"/>
  <c r="K573" i="11"/>
  <c r="K574" i="11"/>
  <c r="K575" i="11"/>
  <c r="K576" i="11"/>
  <c r="K577" i="11"/>
  <c r="K578" i="11"/>
  <c r="K579" i="11"/>
  <c r="K580" i="11"/>
  <c r="K581" i="11"/>
  <c r="K582" i="11"/>
  <c r="K583" i="11"/>
  <c r="K584" i="11"/>
  <c r="K585" i="11"/>
  <c r="K586" i="11"/>
  <c r="K587" i="11"/>
  <c r="K588" i="11"/>
  <c r="K589" i="11"/>
  <c r="K590" i="11"/>
  <c r="K591" i="11"/>
  <c r="K592" i="11"/>
  <c r="K593" i="11"/>
  <c r="K594" i="11"/>
  <c r="K595" i="11"/>
  <c r="K596" i="11"/>
  <c r="K597" i="11"/>
  <c r="K598" i="11"/>
  <c r="K599" i="11"/>
  <c r="K600" i="11"/>
  <c r="K601" i="11"/>
  <c r="K602" i="11"/>
  <c r="K603" i="11"/>
  <c r="K604" i="11"/>
  <c r="K605" i="11"/>
  <c r="K606" i="11"/>
  <c r="K607" i="11"/>
  <c r="K608" i="11"/>
  <c r="K609" i="11"/>
  <c r="K610" i="11"/>
  <c r="K611" i="11"/>
  <c r="K612" i="11"/>
  <c r="K613" i="11"/>
  <c r="K614" i="11"/>
  <c r="K615" i="11"/>
  <c r="K616" i="11"/>
  <c r="K617" i="11"/>
  <c r="K618" i="11"/>
  <c r="K619" i="11"/>
  <c r="K620" i="11"/>
  <c r="K621" i="11"/>
  <c r="K622" i="11"/>
  <c r="K623" i="11"/>
  <c r="K624" i="11"/>
  <c r="K625" i="11"/>
  <c r="K626" i="11"/>
  <c r="K627" i="11"/>
  <c r="K628" i="11"/>
  <c r="K629" i="11"/>
  <c r="K630" i="11"/>
  <c r="K631" i="11"/>
  <c r="K632" i="11"/>
  <c r="K633" i="11"/>
  <c r="K634" i="11"/>
  <c r="K635" i="11"/>
  <c r="K636" i="11"/>
  <c r="K637" i="11"/>
  <c r="K638" i="11"/>
  <c r="K639" i="11"/>
  <c r="K640" i="11"/>
  <c r="K641" i="11"/>
  <c r="K642" i="11"/>
  <c r="K643" i="11"/>
  <c r="K644" i="11"/>
  <c r="K645" i="11"/>
  <c r="K646" i="11"/>
  <c r="K647" i="11"/>
  <c r="K648" i="11"/>
  <c r="K649" i="11"/>
  <c r="K650" i="11"/>
  <c r="K651" i="11"/>
  <c r="K652" i="11"/>
  <c r="K653" i="11"/>
  <c r="K654" i="11"/>
  <c r="K655" i="11"/>
  <c r="K656" i="11"/>
  <c r="K657" i="11"/>
  <c r="K658" i="11"/>
  <c r="K659" i="11"/>
  <c r="K660" i="11"/>
  <c r="K661" i="11"/>
  <c r="K662" i="11"/>
  <c r="K663" i="11"/>
  <c r="K664" i="11"/>
  <c r="K665" i="11"/>
  <c r="K666" i="11"/>
  <c r="K667" i="11"/>
  <c r="K668" i="11"/>
  <c r="K669" i="11"/>
  <c r="K670" i="11"/>
  <c r="K671" i="11"/>
  <c r="K672" i="11"/>
  <c r="K673" i="11"/>
  <c r="K674" i="11"/>
  <c r="K675" i="11"/>
  <c r="K676" i="11"/>
  <c r="K677" i="11"/>
  <c r="K678" i="11"/>
  <c r="K679" i="11"/>
  <c r="K680" i="11"/>
  <c r="K681" i="11"/>
  <c r="K682" i="11"/>
  <c r="K683" i="11"/>
  <c r="K684" i="11"/>
  <c r="K685" i="11"/>
  <c r="K686" i="11"/>
  <c r="K687" i="11"/>
  <c r="K688" i="11"/>
  <c r="K689" i="11"/>
  <c r="K690" i="11"/>
  <c r="K691" i="11"/>
  <c r="K692" i="11"/>
  <c r="K693" i="11"/>
  <c r="K694" i="11"/>
  <c r="K695" i="11"/>
  <c r="K696" i="11"/>
  <c r="K697" i="11"/>
  <c r="K698" i="11"/>
  <c r="K699" i="11"/>
  <c r="K700" i="11"/>
  <c r="K701" i="11"/>
  <c r="K702" i="11"/>
  <c r="K703" i="11"/>
  <c r="K704" i="11"/>
  <c r="K705" i="11"/>
  <c r="K706" i="11"/>
  <c r="K707" i="11"/>
  <c r="K708" i="11"/>
  <c r="K709" i="11"/>
  <c r="K710" i="11"/>
  <c r="K711" i="11"/>
  <c r="K712" i="11"/>
  <c r="K713" i="11"/>
  <c r="K714" i="11"/>
  <c r="K715" i="11"/>
  <c r="K716" i="11"/>
  <c r="K717" i="11"/>
  <c r="K718" i="11"/>
  <c r="K719" i="11"/>
  <c r="K720" i="11"/>
  <c r="K721" i="11"/>
  <c r="K722" i="11"/>
  <c r="K723" i="11"/>
  <c r="K724" i="11"/>
  <c r="K725" i="11"/>
  <c r="K726" i="11"/>
  <c r="K727" i="11"/>
  <c r="K728" i="11"/>
  <c r="K729" i="11"/>
  <c r="K730" i="11"/>
  <c r="K731" i="11"/>
  <c r="K732" i="11"/>
  <c r="K733" i="11"/>
  <c r="K734" i="11"/>
  <c r="K735" i="11"/>
  <c r="K736" i="11"/>
  <c r="K737" i="11"/>
  <c r="K738" i="11"/>
  <c r="K739" i="11"/>
  <c r="K740" i="11"/>
  <c r="K741" i="11"/>
  <c r="K742" i="11"/>
  <c r="K743" i="11"/>
  <c r="K744" i="11"/>
  <c r="K745" i="11"/>
  <c r="K746" i="11"/>
  <c r="K747" i="11"/>
  <c r="K748" i="11"/>
  <c r="K749" i="11"/>
  <c r="K750" i="11"/>
  <c r="K751" i="11"/>
  <c r="K752" i="11"/>
  <c r="K753" i="11"/>
  <c r="K754" i="11"/>
  <c r="K755" i="11"/>
  <c r="K756" i="11"/>
  <c r="K757" i="11"/>
  <c r="K758" i="11"/>
  <c r="K759" i="11"/>
  <c r="K760" i="11"/>
  <c r="K761" i="11"/>
  <c r="K762" i="11"/>
  <c r="K763" i="11"/>
  <c r="K764" i="11"/>
  <c r="K765" i="11"/>
  <c r="K766" i="11"/>
  <c r="K767" i="11"/>
  <c r="K768" i="11"/>
  <c r="K769" i="11"/>
  <c r="K770" i="11"/>
  <c r="K771" i="11"/>
  <c r="K772" i="11"/>
  <c r="K773" i="11"/>
  <c r="K774" i="11"/>
  <c r="K775" i="11"/>
  <c r="K776" i="11"/>
  <c r="K777" i="11"/>
  <c r="K778" i="11"/>
  <c r="K779" i="11"/>
  <c r="K780" i="11"/>
  <c r="K781" i="11"/>
  <c r="K782" i="11"/>
  <c r="K783" i="11"/>
  <c r="K784" i="11"/>
  <c r="K785" i="11"/>
  <c r="K786" i="11"/>
  <c r="K787" i="11"/>
  <c r="K788" i="11"/>
  <c r="K789" i="11"/>
  <c r="K790" i="11"/>
  <c r="K791" i="11"/>
  <c r="K792" i="11"/>
  <c r="K793" i="11"/>
  <c r="K794" i="11"/>
  <c r="K795" i="11"/>
  <c r="K796" i="11"/>
  <c r="K797" i="11"/>
  <c r="K798" i="11"/>
  <c r="K799" i="11"/>
  <c r="K800" i="11"/>
  <c r="K801" i="11"/>
  <c r="K802" i="11"/>
  <c r="K803" i="11"/>
  <c r="K804" i="11"/>
  <c r="K805" i="11"/>
  <c r="K806" i="11"/>
  <c r="K807" i="11"/>
  <c r="K808" i="11"/>
  <c r="K809" i="11"/>
  <c r="K810" i="11"/>
  <c r="K811" i="11"/>
  <c r="K812" i="11"/>
  <c r="K813" i="11"/>
  <c r="K814" i="11"/>
  <c r="K815" i="11"/>
  <c r="K816" i="11"/>
  <c r="K817" i="11"/>
  <c r="K818" i="11"/>
  <c r="K819" i="11"/>
  <c r="K820" i="11"/>
  <c r="K821" i="11"/>
  <c r="K822" i="11"/>
  <c r="K823" i="11"/>
  <c r="K824" i="11"/>
  <c r="K825" i="11"/>
  <c r="K826" i="11"/>
  <c r="K827" i="11"/>
  <c r="K828" i="11"/>
  <c r="K829" i="11"/>
  <c r="K830" i="11"/>
  <c r="K831" i="11"/>
  <c r="K832" i="11"/>
  <c r="K833" i="11"/>
  <c r="K834" i="11"/>
  <c r="K835" i="11"/>
  <c r="K836" i="11"/>
  <c r="K837" i="11"/>
  <c r="K838" i="11"/>
  <c r="K839" i="11"/>
  <c r="K840" i="11"/>
  <c r="K841" i="11"/>
  <c r="K842" i="11"/>
  <c r="K843" i="11"/>
  <c r="K844" i="11"/>
  <c r="K845" i="11"/>
  <c r="K846" i="11"/>
  <c r="K847" i="11"/>
  <c r="K848" i="11"/>
  <c r="K849" i="11"/>
  <c r="K850" i="11"/>
  <c r="K851" i="11"/>
  <c r="K852" i="11"/>
  <c r="K853" i="11"/>
  <c r="K854" i="11"/>
  <c r="K855" i="11"/>
  <c r="K856" i="11"/>
  <c r="K857" i="11"/>
  <c r="K858" i="11"/>
  <c r="K859" i="11"/>
  <c r="K860" i="11"/>
  <c r="K861" i="11"/>
  <c r="K862" i="11"/>
  <c r="K863" i="11"/>
  <c r="K864" i="11"/>
  <c r="K865" i="11"/>
  <c r="K866" i="11"/>
  <c r="K867" i="11"/>
  <c r="K868" i="11"/>
  <c r="K869" i="11"/>
  <c r="K870" i="11"/>
  <c r="K871" i="11"/>
  <c r="K872" i="11"/>
  <c r="K873" i="11"/>
  <c r="K874" i="11"/>
  <c r="K875" i="11"/>
  <c r="K876" i="11"/>
  <c r="K877" i="11"/>
  <c r="K878" i="11"/>
  <c r="K879" i="11"/>
  <c r="K880" i="11"/>
  <c r="K881" i="11"/>
  <c r="K882" i="11"/>
  <c r="K883" i="11"/>
  <c r="K884" i="11"/>
  <c r="K885" i="11"/>
  <c r="K886" i="11"/>
  <c r="K887" i="11"/>
  <c r="K888" i="11"/>
  <c r="K889" i="11"/>
  <c r="K890" i="11"/>
  <c r="K891" i="11"/>
  <c r="K892" i="11"/>
  <c r="K893" i="11"/>
  <c r="K894" i="11"/>
  <c r="K895" i="11"/>
  <c r="K896" i="11"/>
  <c r="K897" i="11"/>
  <c r="K898" i="11"/>
  <c r="K899" i="11"/>
  <c r="K900" i="11"/>
  <c r="K901" i="11"/>
  <c r="K902" i="11"/>
  <c r="K903" i="11"/>
  <c r="K904" i="11"/>
  <c r="K905" i="11"/>
  <c r="K906" i="11"/>
  <c r="K907" i="11"/>
  <c r="K908" i="11"/>
  <c r="K909" i="11"/>
  <c r="K910" i="11"/>
  <c r="K911" i="11"/>
  <c r="K912" i="11"/>
  <c r="K913" i="11"/>
  <c r="K914" i="11"/>
  <c r="K915" i="11"/>
  <c r="K916" i="11"/>
  <c r="K917" i="11"/>
  <c r="K918" i="11"/>
  <c r="K919" i="11"/>
  <c r="K920" i="11"/>
  <c r="K921" i="11"/>
  <c r="K922" i="11"/>
  <c r="K923" i="11"/>
  <c r="K924" i="11"/>
  <c r="K925" i="11"/>
  <c r="K926" i="11"/>
  <c r="K927" i="11"/>
  <c r="K928" i="11"/>
  <c r="K929" i="11"/>
  <c r="K930" i="11"/>
  <c r="K931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4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H728" i="11"/>
  <c r="H729" i="11"/>
  <c r="H730" i="11"/>
  <c r="H731" i="11"/>
  <c r="H732" i="11"/>
  <c r="H733" i="11"/>
  <c r="H734" i="11"/>
  <c r="H735" i="11"/>
  <c r="H736" i="11"/>
  <c r="H737" i="11"/>
  <c r="H738" i="11"/>
  <c r="H739" i="11"/>
  <c r="H740" i="11"/>
  <c r="H741" i="11"/>
  <c r="H742" i="11"/>
  <c r="H743" i="11"/>
  <c r="H744" i="11"/>
  <c r="H745" i="11"/>
  <c r="H746" i="11"/>
  <c r="H747" i="11"/>
  <c r="H748" i="11"/>
  <c r="H749" i="11"/>
  <c r="H750" i="11"/>
  <c r="H751" i="11"/>
  <c r="H752" i="11"/>
  <c r="H753" i="11"/>
  <c r="H754" i="11"/>
  <c r="H755" i="11"/>
  <c r="H756" i="11"/>
  <c r="H757" i="11"/>
  <c r="H758" i="11"/>
  <c r="H759" i="11"/>
  <c r="H760" i="11"/>
  <c r="H761" i="11"/>
  <c r="H762" i="11"/>
  <c r="H763" i="11"/>
  <c r="H764" i="11"/>
  <c r="H765" i="11"/>
  <c r="H766" i="11"/>
  <c r="H767" i="11"/>
  <c r="H768" i="11"/>
  <c r="H769" i="11"/>
  <c r="H770" i="11"/>
  <c r="H771" i="11"/>
  <c r="H772" i="11"/>
  <c r="H773" i="11"/>
  <c r="H774" i="11"/>
  <c r="H775" i="11"/>
  <c r="H776" i="11"/>
  <c r="H777" i="11"/>
  <c r="H778" i="11"/>
  <c r="H779" i="11"/>
  <c r="H780" i="11"/>
  <c r="H781" i="11"/>
  <c r="H782" i="11"/>
  <c r="H783" i="11"/>
  <c r="H784" i="11"/>
  <c r="H785" i="11"/>
  <c r="H786" i="11"/>
  <c r="H787" i="11"/>
  <c r="H788" i="11"/>
  <c r="H789" i="11"/>
  <c r="H790" i="11"/>
  <c r="H791" i="11"/>
  <c r="H792" i="11"/>
  <c r="H793" i="11"/>
  <c r="H794" i="11"/>
  <c r="H795" i="11"/>
  <c r="H796" i="11"/>
  <c r="H797" i="11"/>
  <c r="H798" i="11"/>
  <c r="H799" i="11"/>
  <c r="H800" i="11"/>
  <c r="H801" i="11"/>
  <c r="H802" i="11"/>
  <c r="H803" i="11"/>
  <c r="H804" i="11"/>
  <c r="H805" i="11"/>
  <c r="H806" i="11"/>
  <c r="H807" i="11"/>
  <c r="H808" i="11"/>
  <c r="H809" i="11"/>
  <c r="H810" i="11"/>
  <c r="H811" i="11"/>
  <c r="H812" i="11"/>
  <c r="H813" i="11"/>
  <c r="H814" i="11"/>
  <c r="H815" i="11"/>
  <c r="H816" i="11"/>
  <c r="H817" i="11"/>
  <c r="H818" i="11"/>
  <c r="H819" i="11"/>
  <c r="H820" i="11"/>
  <c r="H821" i="11"/>
  <c r="H822" i="11"/>
  <c r="H823" i="11"/>
  <c r="H824" i="11"/>
  <c r="H825" i="11"/>
  <c r="H826" i="11"/>
  <c r="H827" i="11"/>
  <c r="H828" i="11"/>
  <c r="H829" i="11"/>
  <c r="H830" i="11"/>
  <c r="H831" i="11"/>
  <c r="H832" i="11"/>
  <c r="H833" i="11"/>
  <c r="H834" i="11"/>
  <c r="H835" i="11"/>
  <c r="H836" i="11"/>
  <c r="H837" i="11"/>
  <c r="H838" i="11"/>
  <c r="H839" i="11"/>
  <c r="H840" i="11"/>
  <c r="H841" i="11"/>
  <c r="H842" i="11"/>
  <c r="H843" i="11"/>
  <c r="H844" i="11"/>
  <c r="H845" i="11"/>
  <c r="H846" i="11"/>
  <c r="H847" i="11"/>
  <c r="H848" i="11"/>
  <c r="H849" i="11"/>
  <c r="H850" i="11"/>
  <c r="H851" i="11"/>
  <c r="H852" i="11"/>
  <c r="H853" i="11"/>
  <c r="H854" i="11"/>
  <c r="H855" i="11"/>
  <c r="H856" i="11"/>
  <c r="H857" i="11"/>
  <c r="H858" i="11"/>
  <c r="H859" i="11"/>
  <c r="H860" i="11"/>
  <c r="H861" i="11"/>
  <c r="H862" i="11"/>
  <c r="H863" i="11"/>
  <c r="H864" i="11"/>
  <c r="H865" i="11"/>
  <c r="H866" i="11"/>
  <c r="H867" i="11"/>
  <c r="H868" i="11"/>
  <c r="H869" i="11"/>
  <c r="H870" i="11"/>
  <c r="H871" i="11"/>
  <c r="H872" i="11"/>
  <c r="H873" i="11"/>
  <c r="H874" i="11"/>
  <c r="H875" i="11"/>
  <c r="H876" i="11"/>
  <c r="H877" i="11"/>
  <c r="H878" i="11"/>
  <c r="H879" i="11"/>
  <c r="H880" i="11"/>
  <c r="H881" i="11"/>
  <c r="H882" i="11"/>
  <c r="H883" i="11"/>
  <c r="H884" i="11"/>
  <c r="H885" i="11"/>
  <c r="H886" i="11"/>
  <c r="H887" i="11"/>
  <c r="H888" i="11"/>
  <c r="H889" i="11"/>
  <c r="H890" i="11"/>
  <c r="H891" i="11"/>
  <c r="H892" i="11"/>
  <c r="H893" i="11"/>
  <c r="H894" i="11"/>
  <c r="H895" i="11"/>
  <c r="H896" i="11"/>
  <c r="H897" i="11"/>
  <c r="H898" i="11"/>
  <c r="H899" i="11"/>
  <c r="H900" i="11"/>
  <c r="H901" i="11"/>
  <c r="H902" i="11"/>
  <c r="H903" i="11"/>
  <c r="H904" i="11"/>
  <c r="H905" i="11"/>
  <c r="H906" i="11"/>
  <c r="H907" i="11"/>
  <c r="H908" i="11"/>
  <c r="H909" i="11"/>
  <c r="H910" i="11"/>
  <c r="H911" i="11"/>
  <c r="H912" i="11"/>
  <c r="H913" i="11"/>
  <c r="H914" i="11"/>
  <c r="H915" i="11"/>
  <c r="H916" i="11"/>
  <c r="H917" i="11"/>
  <c r="H918" i="11"/>
  <c r="H919" i="11"/>
  <c r="H920" i="11"/>
  <c r="H921" i="11"/>
  <c r="H922" i="11"/>
  <c r="H923" i="11"/>
  <c r="H924" i="11"/>
  <c r="H925" i="11"/>
  <c r="H926" i="11"/>
  <c r="H927" i="11"/>
  <c r="H928" i="11"/>
  <c r="H929" i="11"/>
  <c r="H930" i="11"/>
  <c r="H931" i="11"/>
  <c r="T3" i="11" l="1"/>
  <c r="Q3" i="11"/>
  <c r="N3" i="11"/>
  <c r="K3" i="11"/>
  <c r="H3" i="11"/>
  <c r="C4" i="10" l="1"/>
  <c r="U252" i="11"/>
  <c r="U257" i="11"/>
  <c r="U260" i="11"/>
  <c r="U265" i="11"/>
  <c r="U268" i="11"/>
  <c r="U273" i="11"/>
  <c r="U276" i="11"/>
  <c r="U281" i="11"/>
  <c r="U284" i="11"/>
  <c r="U289" i="11"/>
  <c r="U292" i="11"/>
  <c r="U297" i="11"/>
  <c r="U300" i="11"/>
  <c r="U305" i="11"/>
  <c r="U308" i="11"/>
  <c r="U313" i="11"/>
  <c r="U316" i="11"/>
  <c r="U321" i="11"/>
  <c r="U324" i="11"/>
  <c r="U329" i="11"/>
  <c r="U332" i="11"/>
  <c r="U337" i="11"/>
  <c r="U340" i="11"/>
  <c r="U345" i="11"/>
  <c r="U348" i="11"/>
  <c r="U353" i="11"/>
  <c r="U356" i="11"/>
  <c r="U361" i="11"/>
  <c r="U364" i="11"/>
  <c r="U369" i="11"/>
  <c r="U372" i="11"/>
  <c r="U377" i="11"/>
  <c r="U380" i="11"/>
  <c r="U385" i="11"/>
  <c r="U388" i="11"/>
  <c r="U393" i="11"/>
  <c r="U396" i="11"/>
  <c r="U401" i="11"/>
  <c r="U404" i="11"/>
  <c r="U409" i="11"/>
  <c r="U412" i="11"/>
  <c r="U417" i="11"/>
  <c r="U420" i="11"/>
  <c r="U425" i="11"/>
  <c r="U428" i="11"/>
  <c r="U433" i="11"/>
  <c r="U436" i="11"/>
  <c r="U441" i="11"/>
  <c r="U444" i="11"/>
  <c r="U449" i="11"/>
  <c r="U452" i="11"/>
  <c r="U457" i="11"/>
  <c r="U460" i="11"/>
  <c r="U465" i="11"/>
  <c r="U468" i="11"/>
  <c r="U473" i="11"/>
  <c r="U476" i="11"/>
  <c r="U481" i="11"/>
  <c r="U484" i="11"/>
  <c r="U489" i="11"/>
  <c r="U492" i="11"/>
  <c r="U497" i="11"/>
  <c r="U500" i="11"/>
  <c r="U505" i="11"/>
  <c r="U508" i="11"/>
  <c r="U513" i="11"/>
  <c r="U516" i="11"/>
  <c r="U521" i="11"/>
  <c r="U524" i="11"/>
  <c r="U529" i="11"/>
  <c r="U532" i="11"/>
  <c r="U537" i="11"/>
  <c r="U540" i="11"/>
  <c r="U545" i="11"/>
  <c r="U548" i="11"/>
  <c r="U553" i="11"/>
  <c r="U556" i="11"/>
  <c r="U561" i="11"/>
  <c r="U564" i="11"/>
  <c r="U569" i="11"/>
  <c r="U572" i="11"/>
  <c r="U577" i="11"/>
  <c r="U580" i="11"/>
  <c r="U585" i="11"/>
  <c r="U588" i="11"/>
  <c r="U593" i="11"/>
  <c r="U596" i="11"/>
  <c r="U601" i="11"/>
  <c r="U604" i="11"/>
  <c r="U609" i="11"/>
  <c r="U612" i="11"/>
  <c r="U617" i="11"/>
  <c r="U620" i="11"/>
  <c r="U625" i="11"/>
  <c r="U628" i="11"/>
  <c r="U633" i="11"/>
  <c r="U636" i="11"/>
  <c r="U641" i="11"/>
  <c r="U644" i="11"/>
  <c r="U649" i="11"/>
  <c r="U652" i="11"/>
  <c r="U657" i="11"/>
  <c r="U660" i="11"/>
  <c r="U665" i="11"/>
  <c r="U668" i="11"/>
  <c r="U673" i="11"/>
  <c r="U676" i="11"/>
  <c r="U681" i="11"/>
  <c r="U684" i="11"/>
  <c r="U689" i="11"/>
  <c r="U692" i="11"/>
  <c r="U697" i="11"/>
  <c r="U700" i="11"/>
  <c r="U705" i="11"/>
  <c r="U708" i="11"/>
  <c r="U713" i="11"/>
  <c r="U716" i="11"/>
  <c r="U721" i="11"/>
  <c r="U724" i="11"/>
  <c r="U729" i="11"/>
  <c r="U732" i="11"/>
  <c r="U737" i="11"/>
  <c r="U740" i="11"/>
  <c r="U745" i="11"/>
  <c r="U748" i="11"/>
  <c r="U753" i="11"/>
  <c r="U756" i="11"/>
  <c r="U761" i="11"/>
  <c r="U764" i="11"/>
  <c r="U769" i="11"/>
  <c r="U772" i="11"/>
  <c r="U777" i="11"/>
  <c r="U780" i="11"/>
  <c r="U785" i="11"/>
  <c r="U788" i="11"/>
  <c r="U793" i="11"/>
  <c r="U796" i="11"/>
  <c r="U801" i="11"/>
  <c r="U804" i="11"/>
  <c r="U809" i="11"/>
  <c r="U812" i="11"/>
  <c r="U817" i="11"/>
  <c r="U820" i="11"/>
  <c r="U825" i="11"/>
  <c r="U828" i="11"/>
  <c r="U833" i="11"/>
  <c r="U836" i="11"/>
  <c r="U841" i="11"/>
  <c r="U844" i="11"/>
  <c r="U849" i="11"/>
  <c r="U852" i="11"/>
  <c r="U857" i="11"/>
  <c r="U860" i="11"/>
  <c r="U865" i="11"/>
  <c r="U868" i="11"/>
  <c r="U873" i="11"/>
  <c r="U876" i="11"/>
  <c r="U881" i="11"/>
  <c r="U884" i="11"/>
  <c r="U889" i="11"/>
  <c r="U892" i="11"/>
  <c r="U897" i="11"/>
  <c r="U900" i="11"/>
  <c r="U905" i="11"/>
  <c r="U908" i="11"/>
  <c r="U913" i="11"/>
  <c r="U916" i="11"/>
  <c r="U921" i="11"/>
  <c r="U924" i="11"/>
  <c r="U929" i="11"/>
  <c r="U4" i="11"/>
  <c r="U9" i="11"/>
  <c r="U12" i="11"/>
  <c r="U17" i="11"/>
  <c r="U20" i="11"/>
  <c r="U25" i="11"/>
  <c r="U28" i="11"/>
  <c r="U33" i="11"/>
  <c r="U36" i="11"/>
  <c r="U41" i="11"/>
  <c r="U44" i="11"/>
  <c r="U49" i="11"/>
  <c r="U52" i="11"/>
  <c r="U57" i="11"/>
  <c r="U60" i="11"/>
  <c r="U65" i="11"/>
  <c r="U68" i="11"/>
  <c r="U73" i="11"/>
  <c r="U76" i="11"/>
  <c r="U81" i="11"/>
  <c r="U84" i="11"/>
  <c r="U89" i="11"/>
  <c r="U92" i="11"/>
  <c r="U97" i="11"/>
  <c r="U100" i="11"/>
  <c r="U105" i="11"/>
  <c r="U108" i="11"/>
  <c r="U113" i="11"/>
  <c r="U116" i="11"/>
  <c r="U121" i="11"/>
  <c r="U124" i="11"/>
  <c r="U129" i="11"/>
  <c r="U132" i="11"/>
  <c r="U137" i="11"/>
  <c r="U140" i="11"/>
  <c r="U145" i="11"/>
  <c r="U148" i="11"/>
  <c r="U153" i="11"/>
  <c r="U156" i="11"/>
  <c r="U161" i="11"/>
  <c r="U164" i="11"/>
  <c r="U169" i="11"/>
  <c r="U172" i="11"/>
  <c r="U177" i="11"/>
  <c r="U180" i="11"/>
  <c r="U185" i="11"/>
  <c r="U188" i="11"/>
  <c r="U193" i="11"/>
  <c r="U196" i="11"/>
  <c r="U201" i="11"/>
  <c r="U204" i="11"/>
  <c r="U209" i="11"/>
  <c r="U212" i="11"/>
  <c r="U217" i="11"/>
  <c r="U220" i="11"/>
  <c r="U225" i="11"/>
  <c r="U228" i="11"/>
  <c r="U233" i="11"/>
  <c r="U236" i="11"/>
  <c r="U241" i="11"/>
  <c r="U244" i="11"/>
  <c r="E13" i="10"/>
  <c r="U249" i="11" l="1"/>
  <c r="U230" i="11"/>
  <c r="U222" i="11"/>
  <c r="U214" i="11"/>
  <c r="U206" i="11"/>
  <c r="U198" i="11"/>
  <c r="U190" i="11"/>
  <c r="U182" i="11"/>
  <c r="U174" i="11"/>
  <c r="U166" i="11"/>
  <c r="U158" i="11"/>
  <c r="U150" i="11"/>
  <c r="U142" i="11"/>
  <c r="U134" i="11"/>
  <c r="U126" i="11"/>
  <c r="U118" i="11"/>
  <c r="U110" i="11"/>
  <c r="U102" i="11"/>
  <c r="U94" i="11"/>
  <c r="U86" i="11"/>
  <c r="U213" i="11"/>
  <c r="U173" i="11"/>
  <c r="U141" i="11"/>
  <c r="U117" i="11"/>
  <c r="U93" i="11"/>
  <c r="U69" i="11"/>
  <c r="U61" i="11"/>
  <c r="U45" i="11"/>
  <c r="U29" i="11"/>
  <c r="U21" i="11"/>
  <c r="U13" i="11"/>
  <c r="U5" i="11"/>
  <c r="U237" i="11"/>
  <c r="U229" i="11"/>
  <c r="U205" i="11"/>
  <c r="U189" i="11"/>
  <c r="U165" i="11"/>
  <c r="U149" i="11"/>
  <c r="U125" i="11"/>
  <c r="U109" i="11"/>
  <c r="U85" i="11"/>
  <c r="U53" i="11"/>
  <c r="U238" i="11"/>
  <c r="U245" i="11"/>
  <c r="U221" i="11"/>
  <c r="U197" i="11"/>
  <c r="U181" i="11"/>
  <c r="U157" i="11"/>
  <c r="U133" i="11"/>
  <c r="U101" i="11"/>
  <c r="U77" i="11"/>
  <c r="U37" i="11"/>
  <c r="U78" i="11"/>
  <c r="U70" i="11"/>
  <c r="U62" i="11"/>
  <c r="U54" i="11"/>
  <c r="U46" i="11"/>
  <c r="U38" i="11"/>
  <c r="U30" i="11"/>
  <c r="U22" i="11"/>
  <c r="U14" i="11"/>
  <c r="U6" i="11"/>
  <c r="U925" i="11"/>
  <c r="U917" i="11"/>
  <c r="U909" i="11"/>
  <c r="U901" i="11"/>
  <c r="U893" i="11"/>
  <c r="U885" i="11"/>
  <c r="U877" i="11"/>
  <c r="U869" i="11"/>
  <c r="U861" i="11"/>
  <c r="U853" i="11"/>
  <c r="U845" i="11"/>
  <c r="U837" i="11"/>
  <c r="U829" i="11"/>
  <c r="U821" i="11"/>
  <c r="U813" i="11"/>
  <c r="U805" i="11"/>
  <c r="U797" i="11"/>
  <c r="U789" i="11"/>
  <c r="U781" i="11"/>
  <c r="U773" i="11"/>
  <c r="U765" i="11"/>
  <c r="U757" i="11"/>
  <c r="U749" i="11"/>
  <c r="U741" i="11"/>
  <c r="U733" i="11"/>
  <c r="U725" i="11"/>
  <c r="U717" i="11"/>
  <c r="U709" i="11"/>
  <c r="U701" i="11"/>
  <c r="U693" i="11"/>
  <c r="U685" i="11"/>
  <c r="U677" i="11"/>
  <c r="U669" i="11"/>
  <c r="U661" i="11"/>
  <c r="U653" i="11"/>
  <c r="U645" i="11"/>
  <c r="U637" i="11"/>
  <c r="U629" i="11"/>
  <c r="U621" i="11"/>
  <c r="U613" i="11"/>
  <c r="U605" i="11"/>
  <c r="U597" i="11"/>
  <c r="U589" i="11"/>
  <c r="U581" i="11"/>
  <c r="U573" i="11"/>
  <c r="U565" i="11"/>
  <c r="U557" i="11"/>
  <c r="U549" i="11"/>
  <c r="U541" i="11"/>
  <c r="U533" i="11"/>
  <c r="U525" i="11"/>
  <c r="U517" i="11"/>
  <c r="U509" i="11"/>
  <c r="U501" i="11"/>
  <c r="U493" i="11"/>
  <c r="U485" i="11"/>
  <c r="U477" i="11"/>
  <c r="U469" i="11"/>
  <c r="U461" i="11"/>
  <c r="U453" i="11"/>
  <c r="U445" i="11"/>
  <c r="U437" i="11"/>
  <c r="U429" i="11"/>
  <c r="U421" i="11"/>
  <c r="U413" i="11"/>
  <c r="U405" i="11"/>
  <c r="U397" i="11"/>
  <c r="U389" i="11"/>
  <c r="U381" i="11"/>
  <c r="U373" i="11"/>
  <c r="U365" i="11"/>
  <c r="U357" i="11"/>
  <c r="U349" i="11"/>
  <c r="U341" i="11"/>
  <c r="U333" i="11"/>
  <c r="U325" i="11"/>
  <c r="U317" i="11"/>
  <c r="U309" i="11"/>
  <c r="U301" i="11"/>
  <c r="U293" i="11"/>
  <c r="U285" i="11"/>
  <c r="U277" i="11"/>
  <c r="U269" i="11"/>
  <c r="U261" i="11"/>
  <c r="U253" i="11"/>
  <c r="U930" i="11"/>
  <c r="U922" i="11"/>
  <c r="U914" i="11"/>
  <c r="U906" i="11"/>
  <c r="U898" i="11"/>
  <c r="U890" i="11"/>
  <c r="U882" i="11"/>
  <c r="U874" i="11"/>
  <c r="U866" i="11"/>
  <c r="U858" i="11"/>
  <c r="U850" i="11"/>
  <c r="U842" i="11"/>
  <c r="U834" i="11"/>
  <c r="U826" i="11"/>
  <c r="U818" i="11"/>
  <c r="U810" i="11"/>
  <c r="U802" i="11"/>
  <c r="U794" i="11"/>
  <c r="U786" i="11"/>
  <c r="U778" i="11"/>
  <c r="U770" i="11"/>
  <c r="U762" i="11"/>
  <c r="U754" i="11"/>
  <c r="U746" i="11"/>
  <c r="U738" i="11"/>
  <c r="U730" i="11"/>
  <c r="U722" i="11"/>
  <c r="U714" i="11"/>
  <c r="U706" i="11"/>
  <c r="U698" i="11"/>
  <c r="U690" i="11"/>
  <c r="U682" i="11"/>
  <c r="U674" i="11"/>
  <c r="U666" i="11"/>
  <c r="U658" i="11"/>
  <c r="U650" i="11"/>
  <c r="U642" i="11"/>
  <c r="U634" i="11"/>
  <c r="U626" i="11"/>
  <c r="U618" i="11"/>
  <c r="U610" i="11"/>
  <c r="U602" i="11"/>
  <c r="U594" i="11"/>
  <c r="U586" i="11"/>
  <c r="U578" i="11"/>
  <c r="U570" i="11"/>
  <c r="U562" i="11"/>
  <c r="U554" i="11"/>
  <c r="U546" i="11"/>
  <c r="U538" i="11"/>
  <c r="U530" i="11"/>
  <c r="U522" i="11"/>
  <c r="U514" i="11"/>
  <c r="U506" i="11"/>
  <c r="U498" i="11"/>
  <c r="U490" i="11"/>
  <c r="U482" i="11"/>
  <c r="U474" i="11"/>
  <c r="U466" i="11"/>
  <c r="U458" i="11"/>
  <c r="U450" i="11"/>
  <c r="U442" i="11"/>
  <c r="U434" i="11"/>
  <c r="U426" i="11"/>
  <c r="U418" i="11"/>
  <c r="U410" i="11"/>
  <c r="U402" i="11"/>
  <c r="U394" i="11"/>
  <c r="U386" i="11"/>
  <c r="U378" i="11"/>
  <c r="U370" i="11"/>
  <c r="U362" i="11"/>
  <c r="U354" i="11"/>
  <c r="U346" i="11"/>
  <c r="U338" i="11"/>
  <c r="U330" i="11"/>
  <c r="U322" i="11"/>
  <c r="U314" i="11"/>
  <c r="U306" i="11"/>
  <c r="U298" i="11"/>
  <c r="U290" i="11"/>
  <c r="U282" i="11"/>
  <c r="U274" i="11"/>
  <c r="U266" i="11"/>
  <c r="U258" i="11"/>
  <c r="U250" i="11"/>
  <c r="U584" i="11"/>
  <c r="U328" i="11"/>
  <c r="U520" i="11"/>
  <c r="U456" i="11"/>
  <c r="U392" i="11"/>
  <c r="U304" i="11"/>
  <c r="U926" i="11"/>
  <c r="U918" i="11"/>
  <c r="U910" i="11"/>
  <c r="U242" i="11"/>
  <c r="U234" i="11"/>
  <c r="U226" i="11"/>
  <c r="U218" i="11"/>
  <c r="U210" i="11"/>
  <c r="U202" i="11"/>
  <c r="U194" i="11"/>
  <c r="U186" i="11"/>
  <c r="U178" i="11"/>
  <c r="U170" i="11"/>
  <c r="U162" i="11"/>
  <c r="U154" i="11"/>
  <c r="U146" i="11"/>
  <c r="U138" i="11"/>
  <c r="U130" i="11"/>
  <c r="U122" i="11"/>
  <c r="U114" i="11"/>
  <c r="U106" i="11"/>
  <c r="U98" i="11"/>
  <c r="U90" i="11"/>
  <c r="U82" i="11"/>
  <c r="U74" i="11"/>
  <c r="U66" i="11"/>
  <c r="U58" i="11"/>
  <c r="U50" i="11"/>
  <c r="U42" i="11"/>
  <c r="U34" i="11"/>
  <c r="U26" i="11"/>
  <c r="U18" i="11"/>
  <c r="U10" i="11"/>
  <c r="U240" i="11"/>
  <c r="U176" i="11"/>
  <c r="U112" i="11"/>
  <c r="U48" i="11"/>
  <c r="U232" i="11"/>
  <c r="U224" i="11"/>
  <c r="U216" i="11"/>
  <c r="U208" i="11"/>
  <c r="U200" i="11"/>
  <c r="U192" i="11"/>
  <c r="U184" i="11"/>
  <c r="U168" i="11"/>
  <c r="U160" i="11"/>
  <c r="U152" i="11"/>
  <c r="U144" i="11"/>
  <c r="U136" i="11"/>
  <c r="U128" i="11"/>
  <c r="U120" i="11"/>
  <c r="U104" i="11"/>
  <c r="U96" i="11"/>
  <c r="U88" i="11"/>
  <c r="U80" i="11"/>
  <c r="U72" i="11"/>
  <c r="U64" i="11"/>
  <c r="U56" i="11"/>
  <c r="U40" i="11"/>
  <c r="U32" i="11"/>
  <c r="U24" i="11"/>
  <c r="U16" i="11"/>
  <c r="U8" i="11"/>
  <c r="U928" i="11"/>
  <c r="U920" i="11"/>
  <c r="U912" i="11"/>
  <c r="U904" i="11"/>
  <c r="U896" i="11"/>
  <c r="U888" i="11"/>
  <c r="U880" i="11"/>
  <c r="U872" i="11"/>
  <c r="U864" i="11"/>
  <c r="U856" i="11"/>
  <c r="U848" i="11"/>
  <c r="U840" i="11"/>
  <c r="U832" i="11"/>
  <c r="U824" i="11"/>
  <c r="U816" i="11"/>
  <c r="U808" i="11"/>
  <c r="U800" i="11"/>
  <c r="U792" i="11"/>
  <c r="U784" i="11"/>
  <c r="U776" i="11"/>
  <c r="U768" i="11"/>
  <c r="U760" i="11"/>
  <c r="U752" i="11"/>
  <c r="U744" i="11"/>
  <c r="U736" i="11"/>
  <c r="U728" i="11"/>
  <c r="U720" i="11"/>
  <c r="U712" i="11"/>
  <c r="U704" i="11"/>
  <c r="U696" i="11"/>
  <c r="U688" i="11"/>
  <c r="U680" i="11"/>
  <c r="U672" i="11"/>
  <c r="U664" i="11"/>
  <c r="U656" i="11"/>
  <c r="U648" i="11"/>
  <c r="U640" i="11"/>
  <c r="U632" i="11"/>
  <c r="U624" i="11"/>
  <c r="U616" i="11"/>
  <c r="U608" i="11"/>
  <c r="U600" i="11"/>
  <c r="U592" i="11"/>
  <c r="U576" i="11"/>
  <c r="U568" i="11"/>
  <c r="U560" i="11"/>
  <c r="U552" i="11"/>
  <c r="U544" i="11"/>
  <c r="U536" i="11"/>
  <c r="U528" i="11"/>
  <c r="U512" i="11"/>
  <c r="U504" i="11"/>
  <c r="U496" i="11"/>
  <c r="U488" i="11"/>
  <c r="U480" i="11"/>
  <c r="U472" i="11"/>
  <c r="U464" i="11"/>
  <c r="U448" i="11"/>
  <c r="U440" i="11"/>
  <c r="U432" i="11"/>
  <c r="U424" i="11"/>
  <c r="U416" i="11"/>
  <c r="U408" i="11"/>
  <c r="U400" i="11"/>
  <c r="U384" i="11"/>
  <c r="U376" i="11"/>
  <c r="U368" i="11"/>
  <c r="U360" i="11"/>
  <c r="U352" i="11"/>
  <c r="U344" i="11"/>
  <c r="U336" i="11"/>
  <c r="U320" i="11"/>
  <c r="U312" i="11"/>
  <c r="U296" i="11"/>
  <c r="U288" i="11"/>
  <c r="U280" i="11"/>
  <c r="U272" i="11"/>
  <c r="U264" i="11"/>
  <c r="U256" i="11"/>
  <c r="U248" i="11"/>
  <c r="U902" i="11"/>
  <c r="U894" i="11"/>
  <c r="U886" i="11"/>
  <c r="U878" i="11"/>
  <c r="U870" i="11"/>
  <c r="U862" i="11"/>
  <c r="U854" i="11"/>
  <c r="U846" i="11"/>
  <c r="U838" i="11"/>
  <c r="U830" i="11"/>
  <c r="U822" i="11"/>
  <c r="U814" i="11"/>
  <c r="U806" i="11"/>
  <c r="U798" i="11"/>
  <c r="U790" i="11"/>
  <c r="U782" i="11"/>
  <c r="U774" i="11"/>
  <c r="U766" i="11"/>
  <c r="U758" i="11"/>
  <c r="U750" i="11"/>
  <c r="U742" i="11"/>
  <c r="U734" i="11"/>
  <c r="U726" i="11"/>
  <c r="U718" i="11"/>
  <c r="U710" i="11"/>
  <c r="U702" i="11"/>
  <c r="U694" i="11"/>
  <c r="U686" i="11"/>
  <c r="U678" i="11"/>
  <c r="U670" i="11"/>
  <c r="U662" i="11"/>
  <c r="U654" i="11"/>
  <c r="U646" i="11"/>
  <c r="U638" i="11"/>
  <c r="U630" i="11"/>
  <c r="U622" i="11"/>
  <c r="U614" i="11"/>
  <c r="U606" i="11"/>
  <c r="U598" i="11"/>
  <c r="U590" i="11"/>
  <c r="U582" i="11"/>
  <c r="U574" i="11"/>
  <c r="U566" i="11"/>
  <c r="U558" i="11"/>
  <c r="U550" i="11"/>
  <c r="U542" i="11"/>
  <c r="U534" i="11"/>
  <c r="U526" i="11"/>
  <c r="U518" i="11"/>
  <c r="U510" i="11"/>
  <c r="U502" i="11"/>
  <c r="U494" i="11"/>
  <c r="U486" i="11"/>
  <c r="U478" i="11"/>
  <c r="U470" i="11"/>
  <c r="U462" i="11"/>
  <c r="U454" i="11"/>
  <c r="U446" i="11"/>
  <c r="U438" i="11"/>
  <c r="U430" i="11"/>
  <c r="U422" i="11"/>
  <c r="U414" i="11"/>
  <c r="U406" i="11"/>
  <c r="U398" i="11"/>
  <c r="U390" i="11"/>
  <c r="U382" i="11"/>
  <c r="U374" i="11"/>
  <c r="U366" i="11"/>
  <c r="U358" i="11"/>
  <c r="U350" i="11"/>
  <c r="U342" i="11"/>
  <c r="U334" i="11"/>
  <c r="U326" i="11"/>
  <c r="U318" i="11"/>
  <c r="U310" i="11"/>
  <c r="U302" i="11"/>
  <c r="U294" i="11"/>
  <c r="U286" i="11"/>
  <c r="U278" i="11"/>
  <c r="U270" i="11"/>
  <c r="U262" i="11"/>
  <c r="U254" i="11"/>
  <c r="U246" i="11"/>
  <c r="U931" i="11"/>
  <c r="U923" i="11"/>
  <c r="U915" i="11"/>
  <c r="U907" i="11"/>
  <c r="U899" i="11"/>
  <c r="U891" i="11"/>
  <c r="U883" i="11"/>
  <c r="U875" i="11"/>
  <c r="U867" i="11"/>
  <c r="U859" i="11"/>
  <c r="U851" i="11"/>
  <c r="U843" i="11"/>
  <c r="U835" i="11"/>
  <c r="U827" i="11"/>
  <c r="U819" i="11"/>
  <c r="U811" i="11"/>
  <c r="U803" i="11"/>
  <c r="U795" i="11"/>
  <c r="U787" i="11"/>
  <c r="U779" i="11"/>
  <c r="U771" i="11"/>
  <c r="U763" i="11"/>
  <c r="U755" i="11"/>
  <c r="U747" i="11"/>
  <c r="U739" i="11"/>
  <c r="U731" i="11"/>
  <c r="U723" i="11"/>
  <c r="U715" i="11"/>
  <c r="U707" i="11"/>
  <c r="U699" i="11"/>
  <c r="U691" i="11"/>
  <c r="U683" i="11"/>
  <c r="U675" i="11"/>
  <c r="U667" i="11"/>
  <c r="U659" i="11"/>
  <c r="U651" i="11"/>
  <c r="U643" i="11"/>
  <c r="U635" i="11"/>
  <c r="U627" i="11"/>
  <c r="U619" i="11"/>
  <c r="U611" i="11"/>
  <c r="U539" i="11"/>
  <c r="U475" i="11"/>
  <c r="U411" i="11"/>
  <c r="U347" i="11"/>
  <c r="U927" i="11"/>
  <c r="U919" i="11"/>
  <c r="U911" i="11"/>
  <c r="U903" i="11"/>
  <c r="U895" i="11"/>
  <c r="U887" i="11"/>
  <c r="U879" i="11"/>
  <c r="U871" i="11"/>
  <c r="U863" i="11"/>
  <c r="U855" i="11"/>
  <c r="U847" i="11"/>
  <c r="U839" i="11"/>
  <c r="U831" i="11"/>
  <c r="U823" i="11"/>
  <c r="U815" i="11"/>
  <c r="U807" i="11"/>
  <c r="U799" i="11"/>
  <c r="U791" i="11"/>
  <c r="U783" i="11"/>
  <c r="U775" i="11"/>
  <c r="U767" i="11"/>
  <c r="U759" i="11"/>
  <c r="U751" i="11"/>
  <c r="U743" i="11"/>
  <c r="U735" i="11"/>
  <c r="U727" i="11"/>
  <c r="U719" i="11"/>
  <c r="U711" i="11"/>
  <c r="U703" i="11"/>
  <c r="U695" i="11"/>
  <c r="U687" i="11"/>
  <c r="U679" i="11"/>
  <c r="U671" i="11"/>
  <c r="U663" i="11"/>
  <c r="U655" i="11"/>
  <c r="U647" i="11"/>
  <c r="U639" i="11"/>
  <c r="U631" i="11"/>
  <c r="U623" i="11"/>
  <c r="U615" i="11"/>
  <c r="U607" i="11"/>
  <c r="U243" i="11"/>
  <c r="U235" i="11"/>
  <c r="U227" i="11"/>
  <c r="U219" i="11"/>
  <c r="U211" i="11"/>
  <c r="U203" i="11"/>
  <c r="U195" i="11"/>
  <c r="U187" i="11"/>
  <c r="U179" i="11"/>
  <c r="U171" i="11"/>
  <c r="U163" i="11"/>
  <c r="U155" i="11"/>
  <c r="U147" i="11"/>
  <c r="U139" i="11"/>
  <c r="U131" i="11"/>
  <c r="U603" i="11"/>
  <c r="U595" i="11"/>
  <c r="U587" i="11"/>
  <c r="U579" i="11"/>
  <c r="U571" i="11"/>
  <c r="U563" i="11"/>
  <c r="U555" i="11"/>
  <c r="U547" i="11"/>
  <c r="U531" i="11"/>
  <c r="U523" i="11"/>
  <c r="U515" i="11"/>
  <c r="U507" i="11"/>
  <c r="U499" i="11"/>
  <c r="U491" i="11"/>
  <c r="U483" i="11"/>
  <c r="U467" i="11"/>
  <c r="U459" i="11"/>
  <c r="U451" i="11"/>
  <c r="U443" i="11"/>
  <c r="U435" i="11"/>
  <c r="U427" i="11"/>
  <c r="U419" i="11"/>
  <c r="U403" i="11"/>
  <c r="U395" i="11"/>
  <c r="U387" i="11"/>
  <c r="U379" i="11"/>
  <c r="U371" i="11"/>
  <c r="U363" i="11"/>
  <c r="U355" i="11"/>
  <c r="U339" i="11"/>
  <c r="U331" i="11"/>
  <c r="U323" i="11"/>
  <c r="U315" i="11"/>
  <c r="U307" i="11"/>
  <c r="U239" i="11"/>
  <c r="U231" i="11"/>
  <c r="U223" i="11"/>
  <c r="U215" i="11"/>
  <c r="U207" i="11"/>
  <c r="U199" i="11"/>
  <c r="U191" i="11"/>
  <c r="U183" i="11"/>
  <c r="U175" i="11"/>
  <c r="U167" i="11"/>
  <c r="U159" i="11"/>
  <c r="U151" i="11"/>
  <c r="U143" i="11"/>
  <c r="U135" i="11"/>
  <c r="U127" i="11"/>
  <c r="U119" i="11"/>
  <c r="U111" i="11"/>
  <c r="U103" i="11"/>
  <c r="U95" i="11"/>
  <c r="U87" i="11"/>
  <c r="U79" i="11"/>
  <c r="U71" i="11"/>
  <c r="U63" i="11"/>
  <c r="U55" i="11"/>
  <c r="U47" i="11"/>
  <c r="U39" i="11"/>
  <c r="U31" i="11"/>
  <c r="U23" i="11"/>
  <c r="U15" i="11"/>
  <c r="U7" i="11"/>
  <c r="U3" i="11"/>
  <c r="U299" i="11"/>
  <c r="U291" i="11"/>
  <c r="U283" i="11"/>
  <c r="U275" i="11"/>
  <c r="U267" i="11"/>
  <c r="U259" i="11"/>
  <c r="U251" i="11"/>
  <c r="U599" i="11"/>
  <c r="U591" i="11"/>
  <c r="U583" i="11"/>
  <c r="U575" i="11"/>
  <c r="U567" i="11"/>
  <c r="U559" i="11"/>
  <c r="U551" i="11"/>
  <c r="U543" i="11"/>
  <c r="U535" i="11"/>
  <c r="U527" i="11"/>
  <c r="U519" i="11"/>
  <c r="U511" i="11"/>
  <c r="U503" i="11"/>
  <c r="U495" i="11"/>
  <c r="U487" i="11"/>
  <c r="U479" i="11"/>
  <c r="U471" i="11"/>
  <c r="U463" i="11"/>
  <c r="U455" i="11"/>
  <c r="U447" i="11"/>
  <c r="U439" i="11"/>
  <c r="U431" i="11"/>
  <c r="U423" i="11"/>
  <c r="U415" i="11"/>
  <c r="U407" i="11"/>
  <c r="U399" i="11"/>
  <c r="U391" i="11"/>
  <c r="U383" i="11"/>
  <c r="U375" i="11"/>
  <c r="U367" i="11"/>
  <c r="U359" i="11"/>
  <c r="U351" i="11"/>
  <c r="U343" i="11"/>
  <c r="U335" i="11"/>
  <c r="U327" i="11"/>
  <c r="U319" i="11"/>
  <c r="U311" i="11"/>
  <c r="U303" i="11"/>
  <c r="U295" i="11"/>
  <c r="U287" i="11"/>
  <c r="U279" i="11"/>
  <c r="U271" i="11"/>
  <c r="U263" i="11"/>
  <c r="U255" i="11"/>
  <c r="U247" i="11"/>
  <c r="U123" i="11"/>
  <c r="U115" i="11"/>
  <c r="U107" i="11"/>
  <c r="U99" i="11"/>
  <c r="U91" i="11"/>
  <c r="U83" i="11"/>
  <c r="U75" i="11"/>
  <c r="U67" i="11"/>
  <c r="U59" i="11"/>
  <c r="U51" i="11"/>
  <c r="U43" i="11"/>
  <c r="U35" i="11"/>
  <c r="U27" i="11"/>
  <c r="U19" i="11"/>
  <c r="U11" i="11"/>
  <c r="U1" i="11" l="1"/>
</calcChain>
</file>

<file path=xl/sharedStrings.xml><?xml version="1.0" encoding="utf-8"?>
<sst xmlns="http://schemas.openxmlformats.org/spreadsheetml/2006/main" count="566" uniqueCount="201">
  <si>
    <t>Data</t>
  </si>
  <si>
    <t>Quantidade</t>
  </si>
  <si>
    <t>PROFILE</t>
  </si>
  <si>
    <t>CIDADE</t>
  </si>
  <si>
    <t>REFERÊNCIA - LOCALIZAÇÃO</t>
  </si>
  <si>
    <t>CTO/CEO</t>
  </si>
  <si>
    <t>SERVIÇO 1</t>
  </si>
  <si>
    <t>TOTAL</t>
  </si>
  <si>
    <t>Lançamento de Serviço</t>
  </si>
  <si>
    <t>Profile</t>
  </si>
  <si>
    <t>Cidade</t>
  </si>
  <si>
    <t>Referência_Localização</t>
  </si>
  <si>
    <t>1º Serviço</t>
  </si>
  <si>
    <t>2º Serviço</t>
  </si>
  <si>
    <t>3º Serviço</t>
  </si>
  <si>
    <t>4º Serviço</t>
  </si>
  <si>
    <t>5º Serviço</t>
  </si>
  <si>
    <t>FUSÃO                    </t>
  </si>
  <si>
    <t>FUSÃO DE CORDÃO</t>
  </si>
  <si>
    <t>INSERÇÃO DE CABO         </t>
  </si>
  <si>
    <t>INSTALAÇÃO DE PLAQUETAS</t>
  </si>
  <si>
    <t>INSTALAÇÃO DE PTO</t>
  </si>
  <si>
    <t xml:space="preserve">KM RODADO </t>
  </si>
  <si>
    <t>ORGANIZAÇÃO DE CABOS EM CTO   </t>
  </si>
  <si>
    <t>RETIRADA DE EQUIPAMENTO</t>
  </si>
  <si>
    <t>TROCA DE BANDEJA </t>
  </si>
  <si>
    <t>TROCA DE BATERIA E NOBREAK</t>
  </si>
  <si>
    <t>MANUTENÇÃO EM CEO</t>
  </si>
  <si>
    <t>MANUTENÇÃO EM CTO      </t>
  </si>
  <si>
    <t>ACOMPANHAMENTO CPFL</t>
  </si>
  <si>
    <t>EQUIPAGEM DE POSTE  (FERRAGEN LEVE)</t>
  </si>
  <si>
    <t>EQUIPAGEM DE POSTE  (FERRAGEN PESADA)</t>
  </si>
  <si>
    <t>INSTALAÇÃO DE CEIP/BW</t>
  </si>
  <si>
    <t>INSTALAÇÃO DE CEO</t>
  </si>
  <si>
    <t>INSTALAÇÃO DE CTO        </t>
  </si>
  <si>
    <t>LANÇAMENTO DE CABO       </t>
  </si>
  <si>
    <t>LANÇAMENTO DE DROP       </t>
  </si>
  <si>
    <t>LEVANTAMENTO DE REDE  (POR CTO)</t>
  </si>
  <si>
    <t xml:space="preserve">SERVIÇO DE RADIO </t>
  </si>
  <si>
    <t>Código OS</t>
  </si>
  <si>
    <t>DATA</t>
  </si>
  <si>
    <t>SERVIÇO 2</t>
  </si>
  <si>
    <t xml:space="preserve"> VALOR 1</t>
  </si>
  <si>
    <t xml:space="preserve"> VALOR 2</t>
  </si>
  <si>
    <t>QTD 1</t>
  </si>
  <si>
    <t>QTD 2</t>
  </si>
  <si>
    <t xml:space="preserve"> VALOR 3</t>
  </si>
  <si>
    <t>SERVIÇO 3</t>
  </si>
  <si>
    <t>QTD 3</t>
  </si>
  <si>
    <t xml:space="preserve"> VALOR 4</t>
  </si>
  <si>
    <t>SERVIÇO 4</t>
  </si>
  <si>
    <t>QTD 4</t>
  </si>
  <si>
    <t xml:space="preserve"> VALOR 5</t>
  </si>
  <si>
    <t>SERVIÇO 5</t>
  </si>
  <si>
    <t>QTD 5</t>
  </si>
  <si>
    <t/>
  </si>
  <si>
    <t>TOTAL GERAL:</t>
  </si>
  <si>
    <t>REPUXE</t>
  </si>
  <si>
    <t>FILIAL</t>
  </si>
  <si>
    <t>MATRIZ</t>
  </si>
  <si>
    <t>VÁRZEA PAULISTA</t>
  </si>
  <si>
    <t>CAMPO LIMPO PAULISTA</t>
  </si>
  <si>
    <t>JUNDIAÍ</t>
  </si>
  <si>
    <t>JARINU</t>
  </si>
  <si>
    <t>ITATIBA</t>
  </si>
  <si>
    <t>ITUPEVA</t>
  </si>
  <si>
    <t>ATIBAIA</t>
  </si>
  <si>
    <t>INDAIATUBA</t>
  </si>
  <si>
    <t>CABREUVA</t>
  </si>
  <si>
    <t>BOTUJURU</t>
  </si>
  <si>
    <t>JACARÉ</t>
  </si>
  <si>
    <t>LOUVEIRA</t>
  </si>
  <si>
    <t>FRANCISCO MORATO</t>
  </si>
  <si>
    <t>INSTALAÇÃO DE CRUZETA</t>
  </si>
  <si>
    <t>SP4</t>
  </si>
  <si>
    <t>RETIRA DE SPLITER    </t>
  </si>
  <si>
    <t>INSTALAÇÃO DE SPLITER    </t>
  </si>
  <si>
    <t>SP3</t>
  </si>
  <si>
    <t>CEO 12/12</t>
  </si>
  <si>
    <t>RUA DAS ANDORINHAS</t>
  </si>
  <si>
    <t xml:space="preserve"> RUA DAS SIRIEMAS </t>
  </si>
  <si>
    <t>RUA GUILHERME 1 </t>
  </si>
  <si>
    <t>RUA JOÃO BENEDITO BUENO  </t>
  </si>
  <si>
    <t>ESTRADA MUN GINO DARTORA </t>
  </si>
  <si>
    <t>RUA TERESINHA CANOTILHO </t>
  </si>
  <si>
    <t>RUA SERGIO FRANCÊS</t>
  </si>
  <si>
    <t>RUA  DOS BEM TE VIS </t>
  </si>
  <si>
    <t>RUA DOMINGOS VALDEMAR GALATI </t>
  </si>
  <si>
    <t>ESTRADA MUN ATÍLIO SQUIZATO </t>
  </si>
  <si>
    <t>ESTRA MUN BENVENUTO PARISE </t>
  </si>
  <si>
    <t>CEO 6/12</t>
  </si>
  <si>
    <t>TRAVESSA RUA JOSÉ ARCA</t>
  </si>
  <si>
    <t>CONDOMÍNIO PORTAL OURO VERDE </t>
  </si>
  <si>
    <t>RUA CINCO</t>
  </si>
  <si>
    <t>ALAMEDA DOS CIPRESTES</t>
  </si>
  <si>
    <t>RUA BRAGANTINA </t>
  </si>
  <si>
    <t>CONDOMÍNIO OURO VERDE </t>
  </si>
  <si>
    <t>ESTRADA MUN JOAO LÚCIO DO PRADO</t>
  </si>
  <si>
    <t>RUA DAS MANGUEIRAS </t>
  </si>
  <si>
    <t xml:space="preserve"> AV ARMELINDA SCARAMEL</t>
  </si>
  <si>
    <t>RUA WILSON TEGA</t>
  </si>
  <si>
    <t>-23.098402,-46.665173</t>
  </si>
  <si>
    <t>ESTRADA MUN NATAL LORENCINI </t>
  </si>
  <si>
    <t>ESTRADA BENTO GALDINO DE SOUZA   </t>
  </si>
  <si>
    <t>ESTRADA MUN CARLOS CAVALARO</t>
  </si>
  <si>
    <t>ESTRADA MUN HISASHI MURAKAMI </t>
  </si>
  <si>
    <t>C926</t>
  </si>
  <si>
    <t>REPUXE CABO 6FO</t>
  </si>
  <si>
    <t>C927</t>
  </si>
  <si>
    <t xml:space="preserve">REPUXE CABO 12FO </t>
  </si>
  <si>
    <t>RUA DOUTOR ANTENOR SOARES GANDRA</t>
  </si>
  <si>
    <t>CEO 72/72</t>
  </si>
  <si>
    <t>C27</t>
  </si>
  <si>
    <t>REPUXE CABO 12FO</t>
  </si>
  <si>
    <t>REPUXE E EQUIPAGEM</t>
  </si>
  <si>
    <t>C931</t>
  </si>
  <si>
    <t>-23.113148,-46.696449</t>
  </si>
  <si>
    <t>C472</t>
  </si>
  <si>
    <t>AV MUTINGA </t>
  </si>
  <si>
    <t>CONDOMÍNIO BOTÂNICA </t>
  </si>
  <si>
    <t>C1</t>
  </si>
  <si>
    <t>C3</t>
  </si>
  <si>
    <t xml:space="preserve">RUA ÉDSON BATISTA </t>
  </si>
  <si>
    <t>C156B</t>
  </si>
  <si>
    <t xml:space="preserve"> AV MARILHA </t>
  </si>
  <si>
    <t>C588A</t>
  </si>
  <si>
    <t>RUA DON FRAQUITO </t>
  </si>
  <si>
    <t>C588B</t>
  </si>
  <si>
    <t>AV NOSSA SENHORA DE LOURDES </t>
  </si>
  <si>
    <t>C589</t>
  </si>
  <si>
    <t>ESTRADA DO BOTUJURU</t>
  </si>
  <si>
    <t>C608</t>
  </si>
  <si>
    <t>-23.120800,-46.677715</t>
  </si>
  <si>
    <t>C467A</t>
  </si>
  <si>
    <t>C538</t>
  </si>
  <si>
    <t>C537A</t>
  </si>
  <si>
    <t>RUA SABIAZINHO </t>
  </si>
  <si>
    <t>CEO S1/8</t>
  </si>
  <si>
    <t>ESTRADA MUN SÃO LÁZARO</t>
  </si>
  <si>
    <t>C146/C150</t>
  </si>
  <si>
    <t>RESIDENCIAL MARACANA</t>
  </si>
  <si>
    <t>C467</t>
  </si>
  <si>
    <t>C1033</t>
  </si>
  <si>
    <t>C196/C193</t>
  </si>
  <si>
    <t>RUA NOTRE DAME </t>
  </si>
  <si>
    <t xml:space="preserve">RUA NOTRE DAME </t>
  </si>
  <si>
    <t>C337</t>
  </si>
  <si>
    <t>ROD DOM PEDRO 1</t>
  </si>
  <si>
    <t>C1017A</t>
  </si>
  <si>
    <t>PARALELA ROD DOM PEDRO 1</t>
  </si>
  <si>
    <t>C1016</t>
  </si>
  <si>
    <t>C1017B</t>
  </si>
  <si>
    <t>ALAMEDA ALVORADA </t>
  </si>
  <si>
    <t>C479</t>
  </si>
  <si>
    <t xml:space="preserve">CEO 24/24 </t>
  </si>
  <si>
    <t xml:space="preserve">ESTRA MUN JOAO LÚCIO DO PRADO </t>
  </si>
  <si>
    <t>C127A</t>
  </si>
  <si>
    <t xml:space="preserve"> ESTRA DA  COOPERATIVA   </t>
  </si>
  <si>
    <t>C940</t>
  </si>
  <si>
    <t>C955</t>
  </si>
  <si>
    <t>ESTRADA MUNICIPAL</t>
  </si>
  <si>
    <t>C1131</t>
  </si>
  <si>
    <t>C63A</t>
  </si>
  <si>
    <t>RUA DAS LIMEIRAS</t>
  </si>
  <si>
    <t>C309</t>
  </si>
  <si>
    <t>C311</t>
  </si>
  <si>
    <t>ESTRADA LUIS COMIN </t>
  </si>
  <si>
    <t>C1148</t>
  </si>
  <si>
    <t>-23.102381,-46.774364</t>
  </si>
  <si>
    <t>C1146</t>
  </si>
  <si>
    <t>C142</t>
  </si>
  <si>
    <t>C53</t>
  </si>
  <si>
    <t>-23.085085,-46.672337</t>
  </si>
  <si>
    <t>C1047</t>
  </si>
  <si>
    <t xml:space="preserve"> -23.098524,-46.665192</t>
  </si>
  <si>
    <t>C906</t>
  </si>
  <si>
    <t>JAR- 379 </t>
  </si>
  <si>
    <t>C450</t>
  </si>
  <si>
    <t>C449</t>
  </si>
  <si>
    <t xml:space="preserve">RUA DOMINGOS VALDEMAR </t>
  </si>
  <si>
    <t>C698</t>
  </si>
  <si>
    <t>RUA DOMINGOS VALDEMAR GALATI  </t>
  </si>
  <si>
    <t>C701</t>
  </si>
  <si>
    <t>AV ÓSCAR PEDROSO</t>
  </si>
  <si>
    <t>C700</t>
  </si>
  <si>
    <t>C1130A</t>
  </si>
  <si>
    <t xml:space="preserve">ESTRADA BENTO GALDINO DE SOUZA   </t>
  </si>
  <si>
    <t>C1149</t>
  </si>
  <si>
    <t>C661A</t>
  </si>
  <si>
    <t>AV ADELINA PIFFERTEGA </t>
  </si>
  <si>
    <t>C103</t>
  </si>
  <si>
    <t>TRAVESSA AV ADELINA PIFFERTEGA </t>
  </si>
  <si>
    <t>C104</t>
  </si>
  <si>
    <t xml:space="preserve">RUA DORIVAL ANTÔNIO FERRARA </t>
  </si>
  <si>
    <t>C756</t>
  </si>
  <si>
    <t xml:space="preserve">TRAVESSA ESTRADA MUN CARLOS CAVALARO </t>
  </si>
  <si>
    <t>C1212</t>
  </si>
  <si>
    <t xml:space="preserve">ESTRADA MUN HISASHI MURAKAMI </t>
  </si>
  <si>
    <t>C1003</t>
  </si>
  <si>
    <t xml:space="preserve">ESTRADA DOS PINHEIROS </t>
  </si>
  <si>
    <t>C986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</si>
</sst>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* #,##0_-;\-* #,##0_-;_-* &quot;-&quot;??_-;_-@_-"/>
    <numFmt numFmtId="165" formatCode="yyyymmddhhmmss"/>
    <numFmt numFmtId="166" formatCode="_-[$R$-416]\ * #,##0.00_-;\-[$R$-416]\ * #,##0.00_-;_-[$R$-416]\ * &quot;-&quot;??_-;_-@_-"/>
  </numFmts>
  <fonts count="1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b/>
      <i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79998168889431442"/>
        <bgColor rgb="FF000000"/>
      </patternFill>
    </fill>
    <fill>
      <patternFill patternType="solid">
        <fgColor theme="9" tint="0.59999389629810485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49">
    <xf numFmtId="0" fontId="0" fillId="0" borderId="0" xfId="0"/>
    <xf numFmtId="14" fontId="0" fillId="0" borderId="0" xfId="0" applyNumberFormat="1"/>
    <xf numFmtId="43" fontId="0" fillId="0" borderId="0" xfId="1" applyFont="1"/>
    <xf numFmtId="164" fontId="0" fillId="0" borderId="0" xfId="1" applyNumberFormat="1" applyFont="1"/>
    <xf numFmtId="43" fontId="2" fillId="3" borderId="0" xfId="1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164" fontId="0" fillId="3" borderId="0" xfId="1" applyNumberFormat="1" applyFont="1" applyFill="1"/>
    <xf numFmtId="43" fontId="0" fillId="3" borderId="0" xfId="1" applyFont="1" applyFill="1"/>
    <xf numFmtId="0" fontId="4" fillId="4" borderId="2" xfId="0" applyFont="1" applyFill="1" applyBorder="1" applyAlignment="1">
      <alignment horizontal="left"/>
    </xf>
    <xf numFmtId="0" fontId="4" fillId="4" borderId="3" xfId="0" applyFont="1" applyFill="1" applyBorder="1" applyAlignment="1">
      <alignment horizontal="left"/>
    </xf>
    <xf numFmtId="0" fontId="6" fillId="6" borderId="0" xfId="0" applyFont="1" applyFill="1" applyAlignment="1">
      <alignment vertical="center"/>
    </xf>
    <xf numFmtId="44" fontId="6" fillId="7" borderId="0" xfId="0" applyNumberFormat="1" applyFont="1" applyFill="1"/>
    <xf numFmtId="44" fontId="6" fillId="7" borderId="0" xfId="0" applyNumberFormat="1" applyFont="1" applyFill="1" applyAlignment="1">
      <alignment vertical="center"/>
    </xf>
    <xf numFmtId="14" fontId="7" fillId="8" borderId="9" xfId="0" applyNumberFormat="1" applyFont="1" applyFill="1" applyBorder="1" applyAlignment="1">
      <alignment horizontal="center" vertical="center"/>
    </xf>
    <xf numFmtId="0" fontId="4" fillId="4" borderId="1" xfId="2" applyFont="1" applyFill="1" applyBorder="1" applyAlignment="1">
      <alignment horizontal="left"/>
    </xf>
    <xf numFmtId="165" fontId="2" fillId="3" borderId="0" xfId="0" applyNumberFormat="1" applyFont="1" applyFill="1" applyAlignment="1">
      <alignment horizontal="center" vertical="center"/>
    </xf>
    <xf numFmtId="164" fontId="0" fillId="5" borderId="7" xfId="1" applyNumberFormat="1" applyFont="1" applyFill="1" applyBorder="1" applyAlignment="1">
      <alignment horizontal="center"/>
    </xf>
    <xf numFmtId="164" fontId="0" fillId="5" borderId="8" xfId="1" applyNumberFormat="1" applyFont="1" applyFill="1" applyBorder="1" applyAlignment="1">
      <alignment horizontal="center"/>
    </xf>
    <xf numFmtId="0" fontId="4" fillId="4" borderId="1" xfId="0" applyFont="1" applyFill="1" applyBorder="1" applyAlignment="1">
      <alignment horizontal="left"/>
    </xf>
    <xf numFmtId="2" fontId="0" fillId="2" borderId="7" xfId="1" applyNumberFormat="1" applyFont="1" applyFill="1" applyBorder="1" applyAlignment="1" applyProtection="1">
      <alignment horizontal="center"/>
      <protection locked="0"/>
    </xf>
    <xf numFmtId="2" fontId="0" fillId="2" borderId="8" xfId="1" applyNumberFormat="1" applyFont="1" applyFill="1" applyBorder="1" applyAlignment="1" applyProtection="1">
      <alignment horizontal="center"/>
      <protection locked="0"/>
    </xf>
    <xf numFmtId="0" fontId="2" fillId="9" borderId="0" xfId="0" applyFont="1" applyFill="1" applyAlignment="1">
      <alignment horizontal="center"/>
    </xf>
    <xf numFmtId="0" fontId="0" fillId="9" borderId="0" xfId="0" applyFill="1"/>
    <xf numFmtId="164" fontId="2" fillId="9" borderId="0" xfId="1" applyNumberFormat="1" applyFont="1" applyFill="1" applyAlignment="1">
      <alignment horizontal="center"/>
    </xf>
    <xf numFmtId="164" fontId="0" fillId="9" borderId="0" xfId="1" applyNumberFormat="1" applyFont="1" applyFill="1"/>
    <xf numFmtId="14" fontId="0" fillId="9" borderId="0" xfId="0" applyNumberFormat="1" applyFill="1"/>
    <xf numFmtId="0" fontId="4" fillId="10" borderId="11" xfId="0" applyFont="1" applyFill="1" applyBorder="1" applyAlignment="1">
      <alignment horizontal="center" vertical="center"/>
    </xf>
    <xf numFmtId="166" fontId="4" fillId="10" borderId="11" xfId="0" applyNumberFormat="1" applyFont="1" applyFill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166" fontId="12" fillId="13" borderId="12" xfId="0" applyNumberFormat="1" applyFont="1" applyFill="1" applyBorder="1" applyAlignment="1">
      <alignment horizontal="center" vertical="center"/>
    </xf>
    <xf numFmtId="166" fontId="11" fillId="3" borderId="12" xfId="0" applyNumberFormat="1" applyFont="1" applyFill="1" applyBorder="1" applyAlignment="1">
      <alignment horizontal="center" vertical="center"/>
    </xf>
    <xf numFmtId="164" fontId="0" fillId="14" borderId="6" xfId="1" applyNumberFormat="1" applyFont="1" applyFill="1" applyBorder="1" applyAlignment="1" applyProtection="1">
      <alignment horizontal="center"/>
      <protection locked="0"/>
    </xf>
    <xf numFmtId="164" fontId="0" fillId="14" borderId="7" xfId="1" applyNumberFormat="1" applyFont="1" applyFill="1" applyBorder="1" applyAlignment="1" applyProtection="1">
      <alignment horizontal="center"/>
      <protection locked="0"/>
    </xf>
    <xf numFmtId="0" fontId="4" fillId="10" borderId="0" xfId="0" applyFont="1" applyFill="1" applyAlignment="1">
      <alignment horizontal="center"/>
    </xf>
    <xf numFmtId="0" fontId="13" fillId="10" borderId="0" xfId="0" applyFont="1" applyFill="1" applyAlignment="1">
      <alignment horizontal="center"/>
    </xf>
    <xf numFmtId="0" fontId="6" fillId="15" borderId="0" xfId="0" applyFont="1" applyFill="1" applyAlignment="1">
      <alignment vertical="center"/>
    </xf>
    <xf numFmtId="0" fontId="4" fillId="10" borderId="11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 wrapText="1"/>
    </xf>
    <xf numFmtId="44" fontId="6" fillId="16" borderId="0" xfId="0" applyNumberFormat="1" applyFont="1" applyFill="1"/>
    <xf numFmtId="14" fontId="11" fillId="0" borderId="12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12" borderId="0" xfId="0" applyFont="1" applyFill="1" applyAlignment="1">
      <alignment horizontal="center" vertical="center"/>
    </xf>
    <xf numFmtId="166" fontId="2" fillId="11" borderId="0" xfId="0" applyNumberFormat="1" applyFon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0" fillId="0" borderId="10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</cellXfs>
  <cellStyles count="3">
    <cellStyle name="Hiperlink" xfId="2" builtinId="8"/>
    <cellStyle name="Normal" xfId="0" builtinId="0"/>
    <cellStyle name="Vírgula" xfId="1" builtinId="3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50800</xdr:colOff>
          <xdr:row>21</xdr:row>
          <xdr:rowOff>69850</xdr:rowOff>
        </xdr:from>
        <xdr:to>
          <xdr:col>2</xdr:col>
          <xdr:colOff>1905000</xdr:colOff>
          <xdr:row>23</xdr:row>
          <xdr:rowOff>19050</xdr:rowOff>
        </xdr:to>
        <xdr:sp macro="" textlink="">
          <xdr:nvSpPr>
            <xdr:cNvPr id="7178" name="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0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Inserir Ordem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85725</xdr:colOff>
      <xdr:row>0</xdr:row>
      <xdr:rowOff>76201</xdr:rowOff>
    </xdr:from>
    <xdr:to>
      <xdr:col>3</xdr:col>
      <xdr:colOff>1314451</xdr:colOff>
      <xdr:row>4</xdr:row>
      <xdr:rowOff>28576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34050" y="76201"/>
          <a:ext cx="1228726" cy="6477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DC977-313C-4388-9FB0-A49CEBD92CDB}">
  <sheetPr codeName="Plan7">
    <tabColor theme="4" tint="0.39997558519241921"/>
  </sheetPr>
  <dimension ref="A1:S39"/>
  <sheetViews>
    <sheetView workbookViewId="0">
      <selection activeCell="C14" sqref="C14"/>
    </sheetView>
  </sheetViews>
  <sheetFormatPr defaultColWidth="0" defaultRowHeight="15" customHeight="1" zeroHeight="1" x14ac:dyDescent="0.35"/>
  <cols>
    <col min="1" max="1" width="20.7265625" customWidth="1"/>
    <col min="2" max="2" width="21.81640625" bestFit="1" customWidth="1"/>
    <col min="3" max="3" width="42.1796875" style="1" customWidth="1"/>
    <col min="4" max="4" width="20.7265625" style="3" customWidth="1"/>
    <col min="5" max="5" width="13.453125" style="2" hidden="1" customWidth="1"/>
    <col min="6" max="11" width="9.1796875" hidden="1" customWidth="1"/>
    <col min="12" max="19" width="0" hidden="1" customWidth="1"/>
    <col min="20" max="16384" width="9.1796875" hidden="1"/>
  </cols>
  <sheetData>
    <row r="1" spans="1:19" ht="15" customHeight="1" thickBot="1" x14ac:dyDescent="0.4">
      <c r="A1" s="22"/>
      <c r="B1" s="22"/>
      <c r="C1" s="22"/>
      <c r="D1" s="22"/>
    </row>
    <row r="2" spans="1:19" ht="20" thickBot="1" x14ac:dyDescent="0.5">
      <c r="A2" s="22"/>
      <c r="B2" s="47" t="s">
        <v>8</v>
      </c>
      <c r="C2" s="48"/>
      <c r="D2" s="24"/>
      <c r="E2" s="4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</row>
    <row r="3" spans="1:19" ht="5.15" customHeight="1" x14ac:dyDescent="0.35">
      <c r="A3" s="23"/>
      <c r="B3" s="5"/>
      <c r="C3" s="6"/>
      <c r="D3" s="25"/>
      <c r="E3" s="8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</row>
    <row r="4" spans="1:19" ht="14.5" x14ac:dyDescent="0.35">
      <c r="A4" s="23"/>
      <c r="B4" s="16" t="s">
        <v>39</v>
      </c>
      <c r="C4" s="16">
        <f ca="1">NOW()</f>
        <v>46108.996009027775</v>
      </c>
      <c r="D4" s="25"/>
      <c r="E4" s="8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</row>
    <row r="5" spans="1:19" ht="5.15" customHeight="1" thickBot="1" x14ac:dyDescent="0.4">
      <c r="A5" s="23"/>
      <c r="B5" s="16"/>
      <c r="C5" s="16"/>
      <c r="D5" s="25"/>
      <c r="E5" s="8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</row>
    <row r="6" spans="1:19" ht="15.5" x14ac:dyDescent="0.35">
      <c r="A6" s="23"/>
      <c r="B6" s="15" t="s">
        <v>0</v>
      </c>
      <c r="C6" s="14">
        <v>45687</v>
      </c>
      <c r="D6" s="25"/>
      <c r="E6" s="8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</row>
    <row r="7" spans="1:19" ht="14.5" x14ac:dyDescent="0.35">
      <c r="A7" s="23"/>
      <c r="B7" s="9" t="s">
        <v>9</v>
      </c>
      <c r="C7" s="17"/>
      <c r="D7" s="25"/>
      <c r="E7" s="8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</row>
    <row r="8" spans="1:19" ht="14.5" x14ac:dyDescent="0.35">
      <c r="A8" s="23"/>
      <c r="B8" s="9" t="s">
        <v>10</v>
      </c>
      <c r="C8" s="17"/>
      <c r="D8" s="25"/>
      <c r="E8" s="8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</row>
    <row r="9" spans="1:19" thickBot="1" x14ac:dyDescent="0.4">
      <c r="A9" s="23"/>
      <c r="B9" s="9" t="s">
        <v>11</v>
      </c>
      <c r="C9" s="18"/>
      <c r="D9" s="25"/>
      <c r="E9" s="8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</row>
    <row r="10" spans="1:19" thickBot="1" x14ac:dyDescent="0.4">
      <c r="A10" s="23"/>
      <c r="B10" s="10" t="s">
        <v>5</v>
      </c>
      <c r="D10" s="25"/>
      <c r="E10" s="8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</row>
    <row r="11" spans="1:19" ht="5.15" customHeight="1" thickBot="1" x14ac:dyDescent="0.4">
      <c r="A11" s="23"/>
      <c r="B11" s="16"/>
      <c r="C11" s="16"/>
      <c r="D11" s="25"/>
      <c r="E11" s="8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</row>
    <row r="12" spans="1:19" ht="14.5" x14ac:dyDescent="0.35">
      <c r="A12" s="23"/>
      <c r="B12" s="19" t="s">
        <v>12</v>
      </c>
      <c r="C12" s="32"/>
      <c r="D12" s="25"/>
      <c r="E12" s="8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</row>
    <row r="13" spans="1:19" ht="14.5" x14ac:dyDescent="0.35">
      <c r="A13" s="23"/>
      <c r="B13" s="9" t="s">
        <v>1</v>
      </c>
      <c r="C13" s="20"/>
      <c r="D13" s="25"/>
      <c r="E13" s="8" t="e">
        <f>#REF!</f>
        <v>#REF!</v>
      </c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</row>
    <row r="14" spans="1:19" ht="14.5" x14ac:dyDescent="0.35">
      <c r="A14" s="23"/>
      <c r="B14" s="9" t="s">
        <v>13</v>
      </c>
      <c r="C14" s="33"/>
      <c r="D14" s="25"/>
      <c r="E14" s="8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</row>
    <row r="15" spans="1:19" ht="14.5" x14ac:dyDescent="0.35">
      <c r="A15" s="23"/>
      <c r="B15" s="9" t="s">
        <v>1</v>
      </c>
      <c r="C15" s="20"/>
      <c r="D15" s="25"/>
      <c r="E15" s="8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</row>
    <row r="16" spans="1:19" ht="14.5" x14ac:dyDescent="0.35">
      <c r="A16" s="23"/>
      <c r="B16" s="9" t="s">
        <v>14</v>
      </c>
      <c r="C16" s="33"/>
      <c r="D16" s="25"/>
      <c r="E16" s="8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</row>
    <row r="17" spans="1:19" ht="14.5" x14ac:dyDescent="0.35">
      <c r="A17" s="23"/>
      <c r="B17" s="9" t="s">
        <v>1</v>
      </c>
      <c r="C17" s="20"/>
      <c r="D17" s="25"/>
      <c r="E17" s="8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</row>
    <row r="18" spans="1:19" ht="14.5" x14ac:dyDescent="0.35">
      <c r="A18" s="23"/>
      <c r="B18" s="9" t="s">
        <v>15</v>
      </c>
      <c r="C18" s="33"/>
      <c r="D18" s="25"/>
      <c r="E18" s="8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</row>
    <row r="19" spans="1:19" ht="14.5" x14ac:dyDescent="0.35">
      <c r="A19" s="23"/>
      <c r="B19" s="9" t="s">
        <v>1</v>
      </c>
      <c r="C19" s="20"/>
      <c r="D19" s="25"/>
      <c r="E19" s="8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</row>
    <row r="20" spans="1:19" ht="14.5" x14ac:dyDescent="0.35">
      <c r="A20" s="23"/>
      <c r="B20" s="9" t="s">
        <v>16</v>
      </c>
      <c r="C20" s="33"/>
      <c r="D20" s="25"/>
      <c r="E20" s="8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</row>
    <row r="21" spans="1:19" thickBot="1" x14ac:dyDescent="0.4">
      <c r="A21" s="23"/>
      <c r="B21" s="10" t="s">
        <v>1</v>
      </c>
      <c r="C21" s="21"/>
      <c r="D21" s="25"/>
      <c r="E21" s="8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</row>
    <row r="22" spans="1:19" ht="14.5" x14ac:dyDescent="0.35">
      <c r="A22" s="23"/>
      <c r="B22" s="23"/>
      <c r="C22" s="26"/>
      <c r="D22" s="25"/>
      <c r="E22" s="8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</row>
    <row r="23" spans="1:19" ht="14.5" x14ac:dyDescent="0.35">
      <c r="A23" s="23"/>
      <c r="B23" s="23"/>
      <c r="C23" s="26"/>
      <c r="D23" s="25"/>
      <c r="E23" s="8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</row>
    <row r="24" spans="1:19" ht="14.5" x14ac:dyDescent="0.35">
      <c r="A24" s="23"/>
      <c r="B24" s="23"/>
      <c r="C24" s="26"/>
      <c r="D24" s="25"/>
      <c r="E24" s="8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</row>
    <row r="25" spans="1:19" ht="14.5" x14ac:dyDescent="0.35">
      <c r="A25" s="23"/>
      <c r="B25" s="23"/>
      <c r="C25" s="26"/>
      <c r="D25" s="25"/>
      <c r="E25" s="8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</row>
    <row r="26" spans="1:19" ht="14.5" hidden="1" x14ac:dyDescent="0.35">
      <c r="A26" s="5"/>
      <c r="B26" s="5"/>
      <c r="C26" s="6"/>
      <c r="D26" s="7"/>
      <c r="E26" s="8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</row>
    <row r="27" spans="1:19" ht="14.5" hidden="1" x14ac:dyDescent="0.35">
      <c r="A27" s="5"/>
      <c r="B27" s="5"/>
      <c r="C27" s="6"/>
      <c r="D27" s="7"/>
      <c r="E27" s="8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</row>
    <row r="28" spans="1:19" ht="14.5" hidden="1" x14ac:dyDescent="0.35">
      <c r="A28" s="5"/>
      <c r="B28" s="5"/>
      <c r="C28" s="6"/>
      <c r="D28" s="7"/>
      <c r="E28" s="8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</row>
    <row r="29" spans="1:19" ht="14.5" hidden="1" x14ac:dyDescent="0.35">
      <c r="A29" s="5"/>
      <c r="B29" s="5"/>
      <c r="C29" s="6"/>
      <c r="D29" s="7"/>
      <c r="E29" s="8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</row>
    <row r="30" spans="1:19" ht="14.5" hidden="1" x14ac:dyDescent="0.35">
      <c r="A30" s="5"/>
      <c r="B30" s="5"/>
      <c r="C30" s="6"/>
      <c r="D30" s="7"/>
      <c r="E30" s="8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</row>
    <row r="31" spans="1:19" ht="14.5" hidden="1" x14ac:dyDescent="0.35">
      <c r="A31" s="5"/>
      <c r="B31" s="5"/>
      <c r="C31" s="6"/>
      <c r="D31" s="7"/>
      <c r="E31" s="8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</row>
    <row r="32" spans="1:19" ht="14.5" hidden="1" x14ac:dyDescent="0.35">
      <c r="A32" s="5"/>
      <c r="B32" s="5"/>
      <c r="C32" s="6"/>
      <c r="D32" s="7"/>
      <c r="E32" s="8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</row>
    <row r="33" spans="1:19" ht="14.5" hidden="1" x14ac:dyDescent="0.35">
      <c r="A33" s="5"/>
      <c r="B33" s="5"/>
      <c r="C33" s="6"/>
      <c r="D33" s="7"/>
      <c r="E33" s="8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</row>
    <row r="34" spans="1:19" ht="14.5" hidden="1" x14ac:dyDescent="0.35">
      <c r="A34" s="5"/>
      <c r="B34" s="5"/>
      <c r="C34" s="6"/>
      <c r="D34" s="7"/>
      <c r="E34" s="8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</row>
    <row r="35" spans="1:19" ht="14.5" hidden="1" x14ac:dyDescent="0.35">
      <c r="A35" s="5"/>
      <c r="B35" s="5"/>
      <c r="C35" s="6"/>
      <c r="D35" s="7"/>
      <c r="E35" s="8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</row>
    <row r="36" spans="1:19" ht="14.5" hidden="1" x14ac:dyDescent="0.35">
      <c r="A36" s="5"/>
      <c r="B36" s="5"/>
      <c r="C36" s="6"/>
      <c r="D36" s="7"/>
      <c r="E36" s="8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</row>
    <row r="37" spans="1:19" ht="14.5" hidden="1" x14ac:dyDescent="0.35">
      <c r="A37" s="5"/>
      <c r="B37" s="5"/>
      <c r="C37" s="6"/>
      <c r="D37" s="7"/>
      <c r="E37" s="8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</row>
    <row r="38" spans="1:19" ht="14.5" hidden="1" x14ac:dyDescent="0.35">
      <c r="A38" s="5"/>
      <c r="B38" s="5"/>
      <c r="C38" s="6"/>
      <c r="D38" s="7"/>
      <c r="E38" s="8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</row>
    <row r="39" spans="1:19" ht="14.5" hidden="1" x14ac:dyDescent="0.35">
      <c r="A39" s="5"/>
      <c r="B39" s="5"/>
      <c r="C39" s="6"/>
      <c r="D39" s="7"/>
      <c r="E39" s="8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</row>
  </sheetData>
  <sheetProtection selectLockedCells="1"/>
  <mergeCells count="1">
    <mergeCell ref="B2:C2"/>
  </mergeCells>
  <dataValidations count="1">
    <dataValidation type="list" allowBlank="1" showInputMessage="1" showErrorMessage="1" sqref="C8" xr:uid="{A7ADDD1C-4A4E-4871-8374-12E35D50F677}">
      <formula1>INDIRECT($C$7)</formula1>
    </dataValidation>
  </dataValidations>
  <hyperlinks>
    <hyperlink ref="B6" location="'Cadastro de Produtos'!A1" display="Código" xr:uid="{88261E56-6836-4B89-A91F-AC501D53FBC5}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8" r:id="rId4" name="Button 10">
              <controlPr defaultSize="0" print="0" autoFill="0" autoPict="0" macro="[0]!lsIncluirOrdem">
                <anchor moveWithCells="1" sizeWithCells="1">
                  <from>
                    <xdr:col>2</xdr:col>
                    <xdr:colOff>50800</xdr:colOff>
                    <xdr:row>21</xdr:row>
                    <xdr:rowOff>69850</xdr:rowOff>
                  </from>
                  <to>
                    <xdr:col>2</xdr:col>
                    <xdr:colOff>1905000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CFD0CC-BFD2-49E4-9497-DD888DCA55FB}">
          <x14:formula1>
            <xm:f>de_para!$H$1:$I$1</xm:f>
          </x14:formula1>
          <xm:sqref>C7</xm:sqref>
        </x14:dataValidation>
        <x14:dataValidation type="list" showInputMessage="1" showErrorMessage="1" xr:uid="{D86AF6A1-6F09-4D9E-8116-26BA7386CD0B}">
          <x14:formula1>
            <xm:f>de_para!$A$1:$A$12</xm:f>
          </x14:formula1>
          <xm:sqref>C12</xm:sqref>
        </x14:dataValidation>
        <x14:dataValidation type="list" showInputMessage="1" showErrorMessage="1" xr:uid="{F2506E12-C6F0-4495-AB14-092E621EAAC8}">
          <x14:formula1>
            <xm:f>de_para!$A$14:$A$27</xm:f>
          </x14:formula1>
          <xm:sqref>C20 C14 C16 C18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CF1EE-F0C2-477B-AD60-635BE569E7E2}">
  <sheetPr codeName="Planilha2">
    <tabColor theme="4" tint="0.39997558519241921"/>
  </sheetPr>
  <dimension ref="A1:U931"/>
  <sheetViews>
    <sheetView tabSelected="1" workbookViewId="0">
      <selection activeCell="D11" sqref="D11"/>
    </sheetView>
  </sheetViews>
  <sheetFormatPr defaultColWidth="69.54296875" defaultRowHeight="14.5" x14ac:dyDescent="0.35"/>
  <cols>
    <col min="1" max="1" width="9.26953125" style="41" bestFit="1" customWidth="1"/>
    <col min="2" max="2" width="8.1796875" style="41" bestFit="1" customWidth="1"/>
    <col min="3" max="3" width="14.26953125" style="41" bestFit="1" customWidth="1"/>
    <col min="4" max="4" width="37.7265625" style="41" bestFit="1" customWidth="1"/>
    <col min="5" max="5" width="21.7265625" style="41" bestFit="1" customWidth="1"/>
    <col min="6" max="6" width="21.453125" style="41" bestFit="1" customWidth="1"/>
    <col min="7" max="7" width="6.1796875" style="41" bestFit="1" customWidth="1"/>
    <col min="8" max="8" width="10.26953125" style="44" bestFit="1" customWidth="1"/>
    <col min="9" max="9" width="19.453125" style="45" bestFit="1" customWidth="1"/>
    <col min="10" max="10" width="6.1796875" style="41" bestFit="1" customWidth="1"/>
    <col min="11" max="11" width="8.81640625" style="41" bestFit="1" customWidth="1"/>
    <col min="12" max="12" width="20.7265625" style="45" bestFit="1" customWidth="1"/>
    <col min="13" max="13" width="6.1796875" style="41" bestFit="1" customWidth="1"/>
    <col min="14" max="14" width="8.81640625" style="41" bestFit="1" customWidth="1"/>
    <col min="15" max="15" width="14.7265625" style="45" bestFit="1" customWidth="1"/>
    <col min="16" max="16" width="6.1796875" style="41" bestFit="1" customWidth="1"/>
    <col min="17" max="17" width="8.81640625" style="41" bestFit="1" customWidth="1"/>
    <col min="18" max="18" width="10" style="45" bestFit="1" customWidth="1"/>
    <col min="19" max="19" width="6.1796875" style="41" bestFit="1" customWidth="1"/>
    <col min="20" max="20" width="13.453125" style="41" bestFit="1" customWidth="1"/>
    <col min="21" max="21" width="12.1796875" style="41" bestFit="1" customWidth="1"/>
    <col min="22" max="16384" width="69.54296875" style="41"/>
  </cols>
  <sheetData>
    <row r="1" spans="1:21" ht="25.5" customHeight="1" x14ac:dyDescent="0.3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T1" s="42" t="s">
        <v>56</v>
      </c>
      <c r="U1" s="43">
        <f>SUM(U3:U931)</f>
        <v>5426.7</v>
      </c>
    </row>
    <row r="2" spans="1:21" ht="27.75" customHeight="1" x14ac:dyDescent="0.35">
      <c r="A2" s="27" t="s">
        <v>40</v>
      </c>
      <c r="B2" s="27" t="s">
        <v>2</v>
      </c>
      <c r="C2" s="27" t="s">
        <v>3</v>
      </c>
      <c r="D2" s="27" t="s">
        <v>4</v>
      </c>
      <c r="E2" s="27" t="s">
        <v>5</v>
      </c>
      <c r="F2" s="27" t="s">
        <v>6</v>
      </c>
      <c r="G2" s="27" t="s">
        <v>44</v>
      </c>
      <c r="H2" s="28" t="s">
        <v>42</v>
      </c>
      <c r="I2" s="37" t="s">
        <v>41</v>
      </c>
      <c r="J2" s="27" t="s">
        <v>45</v>
      </c>
      <c r="K2" s="27" t="s">
        <v>43</v>
      </c>
      <c r="L2" s="37" t="s">
        <v>47</v>
      </c>
      <c r="M2" s="27" t="s">
        <v>48</v>
      </c>
      <c r="N2" s="27" t="s">
        <v>46</v>
      </c>
      <c r="O2" s="37" t="s">
        <v>50</v>
      </c>
      <c r="P2" s="27" t="s">
        <v>51</v>
      </c>
      <c r="Q2" s="27" t="s">
        <v>49</v>
      </c>
      <c r="R2" s="37" t="s">
        <v>53</v>
      </c>
      <c r="S2" s="27" t="s">
        <v>54</v>
      </c>
      <c r="T2" s="27" t="s">
        <v>52</v>
      </c>
      <c r="U2" s="27" t="s">
        <v>7</v>
      </c>
    </row>
    <row r="3" spans="1:21" x14ac:dyDescent="0.35">
      <c r="A3" s="29"/>
      <c r="B3" s="29"/>
      <c r="C3" s="29"/>
      <c r="D3" s="29"/>
      <c r="E3" s="29"/>
      <c r="F3" s="29"/>
      <c r="G3" s="29"/>
      <c r="H3" s="31">
        <f>IF(base!F3&lt;&gt;"",VLOOKUP(F3,de_para!$A$1:$B$31,2,0)*base!G3,0)</f>
        <v>0</v>
      </c>
      <c r="I3" s="38"/>
      <c r="J3" s="29"/>
      <c r="K3" s="31">
        <f>IF(base!I3&lt;&gt;"",VLOOKUP(I3,de_para!$A$1:$B$31,2,0)*base!J3,0)</f>
        <v>0</v>
      </c>
      <c r="L3" s="38"/>
      <c r="M3" s="29"/>
      <c r="N3" s="31">
        <f>IF(base!L3&lt;&gt;"",VLOOKUP(L3,de_para!$A$1:$B$31,2,0)*base!M3,0)</f>
        <v>0</v>
      </c>
      <c r="O3" s="38"/>
      <c r="P3" s="29"/>
      <c r="Q3" s="31">
        <f>IF(base!O3&lt;&gt;"",VLOOKUP(O3,de_para!$A$1:$B$31,2,0)*base!P3,0)</f>
        <v>0</v>
      </c>
      <c r="R3" s="38"/>
      <c r="S3" s="29"/>
      <c r="T3" s="31">
        <f>IF(base!R3&lt;&gt;"",VLOOKUP(R3,de_para!$A$1:$B$31,2,0)*base!S3,0)</f>
        <v>0</v>
      </c>
      <c r="U3" s="30">
        <f t="shared" ref="U3" si="0">H3+K3+N3+Q3+T3</f>
        <v>0</v>
      </c>
    </row>
    <row r="4" spans="1:21" x14ac:dyDescent="0.35">
      <c r="A4" s="40">
        <v>45663</v>
      </c>
      <c r="B4" s="29" t="s">
        <v>59</v>
      </c>
      <c r="C4" s="29" t="s">
        <v>63</v>
      </c>
      <c r="D4" s="29" t="s">
        <v>79</v>
      </c>
      <c r="E4" s="29" t="s">
        <v>106</v>
      </c>
      <c r="F4" s="29" t="s">
        <v>28</v>
      </c>
      <c r="G4" s="29">
        <v>1</v>
      </c>
      <c r="H4" s="31">
        <f>IF(base!F4&lt;&gt;"",VLOOKUP(F4,de_para!$A$1:$B$31,2,0)*base!G4,0)</f>
        <v>34</v>
      </c>
      <c r="I4" s="38" t="s">
        <v>19</v>
      </c>
      <c r="J4" s="29">
        <v>1</v>
      </c>
      <c r="K4" s="31">
        <f>IF(base!I4&lt;&gt;"",VLOOKUP(I4,de_para!$A$1:$B$31,2,0)*base!J4,0)</f>
        <v>7</v>
      </c>
      <c r="L4" s="38" t="s">
        <v>17</v>
      </c>
      <c r="M4" s="29">
        <v>1</v>
      </c>
      <c r="N4" s="31">
        <f>IF(base!L4&lt;&gt;"",VLOOKUP(L4,de_para!$A$1:$B$31,2,0)*base!M4,0)</f>
        <v>8</v>
      </c>
      <c r="O4" s="38"/>
      <c r="P4" s="29"/>
      <c r="Q4" s="31">
        <f>IF(base!O4&lt;&gt;"",VLOOKUP(O4,de_para!$A$1:$B$31,2,0)*base!P4,0)</f>
        <v>0</v>
      </c>
      <c r="R4" s="38"/>
      <c r="S4" s="29"/>
      <c r="T4" s="31">
        <f>IF(base!R4&lt;&gt;"",VLOOKUP(R4,de_para!$A$1:$B$31,2,0)*base!S4,0)</f>
        <v>0</v>
      </c>
      <c r="U4" s="30">
        <f t="shared" ref="U4:U54" si="1">H4+K4+N4+Q4+T4</f>
        <v>49</v>
      </c>
    </row>
    <row r="5" spans="1:21" x14ac:dyDescent="0.35">
      <c r="A5" s="40">
        <v>45663</v>
      </c>
      <c r="B5" s="29" t="s">
        <v>59</v>
      </c>
      <c r="C5" s="29" t="s">
        <v>63</v>
      </c>
      <c r="D5" s="29" t="s">
        <v>79</v>
      </c>
      <c r="E5" s="29" t="s">
        <v>107</v>
      </c>
      <c r="F5" s="29" t="s">
        <v>57</v>
      </c>
      <c r="G5" s="29">
        <v>200</v>
      </c>
      <c r="H5" s="31">
        <f>IF(base!F5&lt;&gt;"",VLOOKUP(F5,de_para!$A$1:$B$31,2,0)*base!G5,0)</f>
        <v>70</v>
      </c>
      <c r="I5" s="38"/>
      <c r="J5" s="29"/>
      <c r="K5" s="31">
        <f>IF(base!I5&lt;&gt;"",VLOOKUP(I5,de_para!$A$1:$B$31,2,0)*base!J5,0)</f>
        <v>0</v>
      </c>
      <c r="L5" s="38"/>
      <c r="M5" s="29"/>
      <c r="N5" s="31">
        <f>IF(base!L5&lt;&gt;"",VLOOKUP(L5,de_para!$A$1:$B$31,2,0)*base!M5,0)</f>
        <v>0</v>
      </c>
      <c r="O5" s="38"/>
      <c r="P5" s="29"/>
      <c r="Q5" s="31">
        <f>IF(base!O5&lt;&gt;"",VLOOKUP(O5,de_para!$A$1:$B$31,2,0)*base!P5,0)</f>
        <v>0</v>
      </c>
      <c r="R5" s="38"/>
      <c r="S5" s="29"/>
      <c r="T5" s="31">
        <f>IF(base!R5&lt;&gt;"",VLOOKUP(R5,de_para!$A$1:$B$31,2,0)*base!S5,0)</f>
        <v>0</v>
      </c>
      <c r="U5" s="30">
        <f t="shared" si="1"/>
        <v>70</v>
      </c>
    </row>
    <row r="6" spans="1:21" x14ac:dyDescent="0.35">
      <c r="A6" s="40">
        <v>45663</v>
      </c>
      <c r="B6" s="29" t="s">
        <v>59</v>
      </c>
      <c r="C6" s="29" t="s">
        <v>63</v>
      </c>
      <c r="D6" s="29" t="s">
        <v>80</v>
      </c>
      <c r="E6" s="29" t="s">
        <v>108</v>
      </c>
      <c r="F6" s="29" t="s">
        <v>28</v>
      </c>
      <c r="G6" s="29">
        <v>1</v>
      </c>
      <c r="H6" s="31">
        <f>IF(base!F6&lt;&gt;"",VLOOKUP(F6,de_para!$A$1:$B$31,2,0)*base!G6,0)</f>
        <v>34</v>
      </c>
      <c r="I6" s="38" t="s">
        <v>19</v>
      </c>
      <c r="J6" s="29">
        <v>2</v>
      </c>
      <c r="K6" s="31">
        <f>IF(base!I6&lt;&gt;"",VLOOKUP(I6,de_para!$A$1:$B$31,2,0)*base!J6,0)</f>
        <v>14</v>
      </c>
      <c r="L6" s="38" t="s">
        <v>76</v>
      </c>
      <c r="M6" s="29">
        <v>1</v>
      </c>
      <c r="N6" s="31">
        <f>IF(base!L6&lt;&gt;"",VLOOKUP(L6,de_para!$A$1:$B$31,2,0)*base!M6,0)</f>
        <v>5</v>
      </c>
      <c r="O6" s="38" t="s">
        <v>17</v>
      </c>
      <c r="P6" s="29">
        <v>8</v>
      </c>
      <c r="Q6" s="31">
        <f>IF(base!O6&lt;&gt;"",VLOOKUP(O6,de_para!$A$1:$B$31,2,0)*base!P6,0)</f>
        <v>64</v>
      </c>
      <c r="R6" s="38" t="s">
        <v>22</v>
      </c>
      <c r="S6" s="29">
        <v>50</v>
      </c>
      <c r="T6" s="31">
        <f>IF(base!R6&lt;&gt;"",VLOOKUP(R6,de_para!$A$1:$B$31,2,0)*base!S6,0)</f>
        <v>50</v>
      </c>
      <c r="U6" s="30">
        <f t="shared" si="1"/>
        <v>167</v>
      </c>
    </row>
    <row r="7" spans="1:21" x14ac:dyDescent="0.35">
      <c r="A7" s="40">
        <v>45663</v>
      </c>
      <c r="B7" s="29" t="s">
        <v>59</v>
      </c>
      <c r="C7" s="29" t="s">
        <v>63</v>
      </c>
      <c r="D7" s="29" t="s">
        <v>80</v>
      </c>
      <c r="E7" s="29" t="s">
        <v>107</v>
      </c>
      <c r="F7" s="29" t="s">
        <v>57</v>
      </c>
      <c r="G7" s="29">
        <v>184</v>
      </c>
      <c r="H7" s="31">
        <f>IF(base!F7&lt;&gt;"",VLOOKUP(F7,de_para!$A$1:$B$31,2,0)*base!G7,0)</f>
        <v>64.399999999999991</v>
      </c>
      <c r="I7" s="38"/>
      <c r="J7" s="29"/>
      <c r="K7" s="31">
        <f>IF(base!I7&lt;&gt;"",VLOOKUP(I7,de_para!$A$1:$B$31,2,0)*base!J7,0)</f>
        <v>0</v>
      </c>
      <c r="L7" s="38"/>
      <c r="M7" s="29"/>
      <c r="N7" s="31">
        <f>IF(base!L7&lt;&gt;"",VLOOKUP(L7,de_para!$A$1:$B$31,2,0)*base!M7,0)</f>
        <v>0</v>
      </c>
      <c r="O7" s="38"/>
      <c r="P7" s="29"/>
      <c r="Q7" s="31">
        <f>IF(base!O7&lt;&gt;"",VLOOKUP(O7,de_para!$A$1:$B$31,2,0)*base!P7,0)</f>
        <v>0</v>
      </c>
      <c r="R7" s="38"/>
      <c r="S7" s="29"/>
      <c r="T7" s="31">
        <f>IF(base!R7&lt;&gt;"",VLOOKUP(R7,de_para!$A$1:$B$31,2,0)*base!S7,0)</f>
        <v>0</v>
      </c>
      <c r="U7" s="30">
        <f t="shared" si="1"/>
        <v>64.399999999999991</v>
      </c>
    </row>
    <row r="8" spans="1:21" x14ac:dyDescent="0.35">
      <c r="A8" s="40">
        <v>45665</v>
      </c>
      <c r="B8" s="29" t="s">
        <v>59</v>
      </c>
      <c r="C8" s="29" t="s">
        <v>74</v>
      </c>
      <c r="D8" s="29" t="s">
        <v>81</v>
      </c>
      <c r="E8" s="29" t="s">
        <v>109</v>
      </c>
      <c r="F8" s="29" t="s">
        <v>57</v>
      </c>
      <c r="G8" s="29">
        <v>50</v>
      </c>
      <c r="H8" s="31">
        <f>IF(base!F8&lt;&gt;"",VLOOKUP(F8,de_para!$A$1:$B$31,2,0)*base!G8,0)</f>
        <v>17.5</v>
      </c>
      <c r="I8" s="38"/>
      <c r="J8" s="29"/>
      <c r="K8" s="31">
        <f>IF(base!I8&lt;&gt;"",VLOOKUP(I8,de_para!$A$1:$B$31,2,0)*base!J8,0)</f>
        <v>0</v>
      </c>
      <c r="L8" s="38"/>
      <c r="M8" s="29"/>
      <c r="N8" s="31">
        <f>IF(base!L8&lt;&gt;"",VLOOKUP(L8,de_para!$A$1:$B$31,2,0)*base!M8,0)</f>
        <v>0</v>
      </c>
      <c r="O8" s="38"/>
      <c r="P8" s="29"/>
      <c r="Q8" s="31">
        <f>IF(base!O8&lt;&gt;"",VLOOKUP(O8,de_para!$A$1:$B$31,2,0)*base!P8,0)</f>
        <v>0</v>
      </c>
      <c r="R8" s="38"/>
      <c r="S8" s="29"/>
      <c r="T8" s="31">
        <f>IF(base!R8&lt;&gt;"",VLOOKUP(R8,de_para!$A$1:$B$31,2,0)*base!S8,0)</f>
        <v>0</v>
      </c>
      <c r="U8" s="30">
        <f t="shared" si="1"/>
        <v>17.5</v>
      </c>
    </row>
    <row r="9" spans="1:21" x14ac:dyDescent="0.35">
      <c r="A9" s="40">
        <v>45665</v>
      </c>
      <c r="B9" s="29" t="s">
        <v>59</v>
      </c>
      <c r="C9" s="29" t="s">
        <v>63</v>
      </c>
      <c r="D9" s="29" t="s">
        <v>110</v>
      </c>
      <c r="E9" s="29" t="s">
        <v>111</v>
      </c>
      <c r="F9" s="29" t="s">
        <v>27</v>
      </c>
      <c r="G9" s="29">
        <v>1</v>
      </c>
      <c r="H9" s="31">
        <f>IF(base!F9&lt;&gt;"",VLOOKUP(F9,de_para!$A$1:$B$31,2,0)*base!G9,0)</f>
        <v>62</v>
      </c>
      <c r="I9" s="38" t="s">
        <v>73</v>
      </c>
      <c r="J9" s="29">
        <v>1</v>
      </c>
      <c r="K9" s="31">
        <f>IF(base!I9&lt;&gt;"",VLOOKUP(I9,de_para!$A$1:$B$31,2,0)*base!J9,0)</f>
        <v>15</v>
      </c>
      <c r="L9" s="38"/>
      <c r="M9" s="29"/>
      <c r="N9" s="31">
        <f>IF(base!L9&lt;&gt;"",VLOOKUP(L9,de_para!$A$1:$B$31,2,0)*base!M9,0)</f>
        <v>0</v>
      </c>
      <c r="O9" s="38"/>
      <c r="P9" s="29"/>
      <c r="Q9" s="31">
        <f>IF(base!O9&lt;&gt;"",VLOOKUP(O9,de_para!$A$1:$B$31,2,0)*base!P9,0)</f>
        <v>0</v>
      </c>
      <c r="R9" s="38"/>
      <c r="S9" s="29"/>
      <c r="T9" s="31">
        <f>IF(base!R9&lt;&gt;"",VLOOKUP(R9,de_para!$A$1:$B$31,2,0)*base!S9,0)</f>
        <v>0</v>
      </c>
      <c r="U9" s="30">
        <f t="shared" si="1"/>
        <v>77</v>
      </c>
    </row>
    <row r="10" spans="1:21" x14ac:dyDescent="0.35">
      <c r="A10" s="40">
        <v>45665</v>
      </c>
      <c r="B10" s="29" t="s">
        <v>59</v>
      </c>
      <c r="C10" s="29" t="s">
        <v>63</v>
      </c>
      <c r="D10" s="29" t="s">
        <v>82</v>
      </c>
      <c r="E10" s="29" t="s">
        <v>112</v>
      </c>
      <c r="F10" s="29" t="s">
        <v>28</v>
      </c>
      <c r="G10" s="29">
        <v>1</v>
      </c>
      <c r="H10" s="31">
        <f>IF(base!F10&lt;&gt;"",VLOOKUP(F10,de_para!$A$1:$B$31,2,0)*base!G10,0)</f>
        <v>34</v>
      </c>
      <c r="I10" s="38" t="s">
        <v>19</v>
      </c>
      <c r="J10" s="29">
        <v>1</v>
      </c>
      <c r="K10" s="31">
        <f>IF(base!I10&lt;&gt;"",VLOOKUP(I10,de_para!$A$1:$B$31,2,0)*base!J10,0)</f>
        <v>7</v>
      </c>
      <c r="L10" s="38" t="s">
        <v>17</v>
      </c>
      <c r="M10" s="29">
        <v>12</v>
      </c>
      <c r="N10" s="31">
        <f>IF(base!L10&lt;&gt;"",VLOOKUP(L10,de_para!$A$1:$B$31,2,0)*base!M10,0)</f>
        <v>96</v>
      </c>
      <c r="O10" s="38"/>
      <c r="P10" s="29"/>
      <c r="Q10" s="31">
        <f>IF(base!O10&lt;&gt;"",VLOOKUP(O10,de_para!$A$1:$B$31,2,0)*base!P10,0)</f>
        <v>0</v>
      </c>
      <c r="R10" s="38"/>
      <c r="S10" s="29"/>
      <c r="T10" s="31">
        <f>IF(base!R10&lt;&gt;"",VLOOKUP(R10,de_para!$A$1:$B$31,2,0)*base!S10,0)</f>
        <v>0</v>
      </c>
      <c r="U10" s="30">
        <f t="shared" si="1"/>
        <v>137</v>
      </c>
    </row>
    <row r="11" spans="1:21" x14ac:dyDescent="0.35">
      <c r="A11" s="40">
        <v>45665</v>
      </c>
      <c r="B11" s="29" t="s">
        <v>59</v>
      </c>
      <c r="C11" s="29" t="s">
        <v>63</v>
      </c>
      <c r="D11" s="29" t="s">
        <v>82</v>
      </c>
      <c r="E11" s="29" t="s">
        <v>107</v>
      </c>
      <c r="F11" s="29" t="s">
        <v>57</v>
      </c>
      <c r="G11" s="29">
        <v>108</v>
      </c>
      <c r="H11" s="31">
        <f>IF(base!F11&lt;&gt;"",VLOOKUP(F11,de_para!$A$1:$B$31,2,0)*base!G11,0)</f>
        <v>37.799999999999997</v>
      </c>
      <c r="I11" s="38"/>
      <c r="J11" s="29"/>
      <c r="K11" s="31">
        <f>IF(base!I11&lt;&gt;"",VLOOKUP(I11,de_para!$A$1:$B$31,2,0)*base!J11,0)</f>
        <v>0</v>
      </c>
      <c r="L11" s="38"/>
      <c r="M11" s="29"/>
      <c r="N11" s="31">
        <f>IF(base!L11&lt;&gt;"",VLOOKUP(L11,de_para!$A$1:$B$31,2,0)*base!M11,0)</f>
        <v>0</v>
      </c>
      <c r="O11" s="38"/>
      <c r="P11" s="29"/>
      <c r="Q11" s="31">
        <f>IF(base!O11&lt;&gt;"",VLOOKUP(O11,de_para!$A$1:$B$31,2,0)*base!P11,0)</f>
        <v>0</v>
      </c>
      <c r="R11" s="38"/>
      <c r="S11" s="29"/>
      <c r="T11" s="31">
        <f>IF(base!R11&lt;&gt;"",VLOOKUP(R11,de_para!$A$1:$B$31,2,0)*base!S11,0)</f>
        <v>0</v>
      </c>
      <c r="U11" s="30">
        <f t="shared" si="1"/>
        <v>37.799999999999997</v>
      </c>
    </row>
    <row r="12" spans="1:21" x14ac:dyDescent="0.35">
      <c r="A12" s="40">
        <v>45666</v>
      </c>
      <c r="B12" s="29" t="s">
        <v>59</v>
      </c>
      <c r="C12" s="29" t="s">
        <v>63</v>
      </c>
      <c r="D12" s="29" t="s">
        <v>83</v>
      </c>
      <c r="E12" s="29" t="s">
        <v>113</v>
      </c>
      <c r="F12" s="29" t="s">
        <v>57</v>
      </c>
      <c r="G12" s="29">
        <v>50</v>
      </c>
      <c r="H12" s="31">
        <f>IF(base!F12&lt;&gt;"",VLOOKUP(F12,de_para!$A$1:$B$31,2,0)*base!G12,0)</f>
        <v>17.5</v>
      </c>
      <c r="I12" s="38"/>
      <c r="J12" s="29"/>
      <c r="K12" s="31">
        <f>IF(base!I12&lt;&gt;"",VLOOKUP(I12,de_para!$A$1:$B$31,2,0)*base!J12,0)</f>
        <v>0</v>
      </c>
      <c r="L12" s="38"/>
      <c r="M12" s="29"/>
      <c r="N12" s="31">
        <f>IF(base!L12&lt;&gt;"",VLOOKUP(L12,de_para!$A$1:$B$31,2,0)*base!M12,0)</f>
        <v>0</v>
      </c>
      <c r="O12" s="38"/>
      <c r="P12" s="29"/>
      <c r="Q12" s="31">
        <f>IF(base!O12&lt;&gt;"",VLOOKUP(O12,de_para!$A$1:$B$31,2,0)*base!P12,0)</f>
        <v>0</v>
      </c>
      <c r="R12" s="38"/>
      <c r="S12" s="29"/>
      <c r="T12" s="31">
        <f>IF(base!R12&lt;&gt;"",VLOOKUP(R12,de_para!$A$1:$B$31,2,0)*base!S12,0)</f>
        <v>0</v>
      </c>
      <c r="U12" s="30">
        <f t="shared" si="1"/>
        <v>17.5</v>
      </c>
    </row>
    <row r="13" spans="1:21" ht="24" x14ac:dyDescent="0.35">
      <c r="A13" s="40">
        <v>45666</v>
      </c>
      <c r="B13" s="29" t="s">
        <v>59</v>
      </c>
      <c r="C13" s="29" t="s">
        <v>63</v>
      </c>
      <c r="D13" s="29" t="s">
        <v>84</v>
      </c>
      <c r="E13" s="29" t="s">
        <v>114</v>
      </c>
      <c r="F13" s="29" t="s">
        <v>57</v>
      </c>
      <c r="G13" s="29">
        <v>100</v>
      </c>
      <c r="H13" s="31">
        <f>IF(base!F13&lt;&gt;"",VLOOKUP(F13,de_para!$A$1:$B$31,2,0)*base!G13,0)</f>
        <v>35</v>
      </c>
      <c r="I13" s="38" t="s">
        <v>30</v>
      </c>
      <c r="J13" s="29">
        <v>1</v>
      </c>
      <c r="K13" s="31">
        <f>IF(base!I13&lt;&gt;"",VLOOKUP(I13,de_para!$A$1:$B$31,2,0)*base!J13,0)</f>
        <v>14</v>
      </c>
      <c r="L13" s="38"/>
      <c r="M13" s="29"/>
      <c r="N13" s="31">
        <f>IF(base!L13&lt;&gt;"",VLOOKUP(L13,de_para!$A$1:$B$31,2,0)*base!M13,0)</f>
        <v>0</v>
      </c>
      <c r="O13" s="38"/>
      <c r="P13" s="29"/>
      <c r="Q13" s="31">
        <f>IF(base!O13&lt;&gt;"",VLOOKUP(O13,de_para!$A$1:$B$31,2,0)*base!P13,0)</f>
        <v>0</v>
      </c>
      <c r="R13" s="38"/>
      <c r="S13" s="29"/>
      <c r="T13" s="31">
        <f>IF(base!R13&lt;&gt;"",VLOOKUP(R13,de_para!$A$1:$B$31,2,0)*base!S13,0)</f>
        <v>0</v>
      </c>
      <c r="U13" s="30">
        <f t="shared" si="1"/>
        <v>49</v>
      </c>
    </row>
    <row r="14" spans="1:21" x14ac:dyDescent="0.35">
      <c r="A14" s="40">
        <v>45666</v>
      </c>
      <c r="B14" s="29" t="s">
        <v>59</v>
      </c>
      <c r="C14" s="29" t="s">
        <v>63</v>
      </c>
      <c r="D14" s="29" t="s">
        <v>85</v>
      </c>
      <c r="E14" s="29" t="s">
        <v>107</v>
      </c>
      <c r="F14" s="29" t="s">
        <v>57</v>
      </c>
      <c r="G14" s="29">
        <v>50</v>
      </c>
      <c r="H14" s="31">
        <f>IF(base!F14&lt;&gt;"",VLOOKUP(F14,de_para!$A$1:$B$31,2,0)*base!G14,0)</f>
        <v>17.5</v>
      </c>
      <c r="I14" s="38"/>
      <c r="J14" s="29"/>
      <c r="K14" s="31">
        <f>IF(base!I14&lt;&gt;"",VLOOKUP(I14,de_para!$A$1:$B$31,2,0)*base!J14,0)</f>
        <v>0</v>
      </c>
      <c r="L14" s="38"/>
      <c r="M14" s="29"/>
      <c r="N14" s="31">
        <f>IF(base!L14&lt;&gt;"",VLOOKUP(L14,de_para!$A$1:$B$31,2,0)*base!M14,0)</f>
        <v>0</v>
      </c>
      <c r="O14" s="38"/>
      <c r="P14" s="29"/>
      <c r="Q14" s="31">
        <f>IF(base!O14&lt;&gt;"",VLOOKUP(O14,de_para!$A$1:$B$31,2,0)*base!P14,0)</f>
        <v>0</v>
      </c>
      <c r="R14" s="38"/>
      <c r="S14" s="29"/>
      <c r="T14" s="31">
        <f>IF(base!R14&lt;&gt;"",VLOOKUP(R14,de_para!$A$1:$B$31,2,0)*base!S14,0)</f>
        <v>0</v>
      </c>
      <c r="U14" s="30">
        <f t="shared" si="1"/>
        <v>17.5</v>
      </c>
    </row>
    <row r="15" spans="1:21" x14ac:dyDescent="0.35">
      <c r="A15" s="40">
        <v>45666</v>
      </c>
      <c r="B15" s="29" t="s">
        <v>59</v>
      </c>
      <c r="C15" s="29" t="s">
        <v>63</v>
      </c>
      <c r="D15" s="29" t="s">
        <v>86</v>
      </c>
      <c r="E15" s="29" t="s">
        <v>115</v>
      </c>
      <c r="F15" s="29" t="s">
        <v>28</v>
      </c>
      <c r="G15" s="29">
        <v>1</v>
      </c>
      <c r="H15" s="31">
        <f>IF(base!F15&lt;&gt;"",VLOOKUP(F15,de_para!$A$1:$B$31,2,0)*base!G15,0)</f>
        <v>34</v>
      </c>
      <c r="I15" s="38" t="s">
        <v>19</v>
      </c>
      <c r="J15" s="29">
        <v>1</v>
      </c>
      <c r="K15" s="31">
        <f>IF(base!I15&lt;&gt;"",VLOOKUP(I15,de_para!$A$1:$B$31,2,0)*base!J15,0)</f>
        <v>7</v>
      </c>
      <c r="L15" s="38" t="s">
        <v>17</v>
      </c>
      <c r="M15" s="29">
        <v>12</v>
      </c>
      <c r="N15" s="31">
        <f>IF(base!L15&lt;&gt;"",VLOOKUP(L15,de_para!$A$1:$B$31,2,0)*base!M15,0)</f>
        <v>96</v>
      </c>
      <c r="O15" s="38"/>
      <c r="P15" s="29"/>
      <c r="Q15" s="31">
        <f>IF(base!O15&lt;&gt;"",VLOOKUP(O15,de_para!$A$1:$B$31,2,0)*base!P15,0)</f>
        <v>0</v>
      </c>
      <c r="R15" s="38"/>
      <c r="S15" s="29"/>
      <c r="T15" s="31">
        <f>IF(base!R15&lt;&gt;"",VLOOKUP(R15,de_para!$A$1:$B$31,2,0)*base!S15,0)</f>
        <v>0</v>
      </c>
      <c r="U15" s="30">
        <f t="shared" si="1"/>
        <v>137</v>
      </c>
    </row>
    <row r="16" spans="1:21" x14ac:dyDescent="0.35">
      <c r="A16" s="40">
        <v>45666</v>
      </c>
      <c r="B16" s="29" t="s">
        <v>59</v>
      </c>
      <c r="C16" s="29" t="s">
        <v>63</v>
      </c>
      <c r="D16" s="29" t="s">
        <v>116</v>
      </c>
      <c r="E16" s="29" t="s">
        <v>117</v>
      </c>
      <c r="F16" s="29" t="s">
        <v>28</v>
      </c>
      <c r="G16" s="29">
        <v>1</v>
      </c>
      <c r="H16" s="31">
        <f>IF(base!F16&lt;&gt;"",VLOOKUP(F16,de_para!$A$1:$B$31,2,0)*base!G16,0)</f>
        <v>34</v>
      </c>
      <c r="I16" s="38" t="s">
        <v>76</v>
      </c>
      <c r="J16" s="29">
        <v>2</v>
      </c>
      <c r="K16" s="31">
        <f>IF(base!I16&lt;&gt;"",VLOOKUP(I16,de_para!$A$1:$B$31,2,0)*base!J16,0)</f>
        <v>10</v>
      </c>
      <c r="L16" s="38" t="s">
        <v>17</v>
      </c>
      <c r="M16" s="29">
        <v>3</v>
      </c>
      <c r="N16" s="31">
        <f>IF(base!L16&lt;&gt;"",VLOOKUP(L16,de_para!$A$1:$B$31,2,0)*base!M16,0)</f>
        <v>24</v>
      </c>
      <c r="O16" s="38" t="s">
        <v>22</v>
      </c>
      <c r="P16" s="29">
        <v>60</v>
      </c>
      <c r="Q16" s="31">
        <f>IF(base!O16&lt;&gt;"",VLOOKUP(O16,de_para!$A$1:$B$31,2,0)*base!P16,0)</f>
        <v>60</v>
      </c>
      <c r="R16" s="38"/>
      <c r="S16" s="29"/>
      <c r="T16" s="31">
        <f>IF(base!R16&lt;&gt;"",VLOOKUP(R16,de_para!$A$1:$B$31,2,0)*base!S16,0)</f>
        <v>0</v>
      </c>
      <c r="U16" s="30">
        <f t="shared" si="1"/>
        <v>128</v>
      </c>
    </row>
    <row r="17" spans="1:21" x14ac:dyDescent="0.35">
      <c r="A17" s="40">
        <v>45667</v>
      </c>
      <c r="B17" s="29" t="s">
        <v>59</v>
      </c>
      <c r="C17" s="29" t="s">
        <v>74</v>
      </c>
      <c r="D17" s="29" t="s">
        <v>118</v>
      </c>
      <c r="E17" s="29" t="s">
        <v>78</v>
      </c>
      <c r="F17" s="29" t="s">
        <v>27</v>
      </c>
      <c r="G17" s="29">
        <v>1</v>
      </c>
      <c r="H17" s="31">
        <f>IF(base!F17&lt;&gt;"",VLOOKUP(F17,de_para!$A$1:$B$31,2,0)*base!G17,0)</f>
        <v>62</v>
      </c>
      <c r="I17" s="38" t="s">
        <v>19</v>
      </c>
      <c r="J17" s="29">
        <v>2</v>
      </c>
      <c r="K17" s="31">
        <f>IF(base!I17&lt;&gt;"",VLOOKUP(I17,de_para!$A$1:$B$31,2,0)*base!J17,0)</f>
        <v>14</v>
      </c>
      <c r="L17" s="38" t="s">
        <v>17</v>
      </c>
      <c r="M17" s="29">
        <v>12</v>
      </c>
      <c r="N17" s="31">
        <f>IF(base!L17&lt;&gt;"",VLOOKUP(L17,de_para!$A$1:$B$31,2,0)*base!M17,0)</f>
        <v>96</v>
      </c>
      <c r="O17" s="38" t="s">
        <v>22</v>
      </c>
      <c r="P17" s="29">
        <v>106</v>
      </c>
      <c r="Q17" s="31">
        <f>IF(base!O17&lt;&gt;"",VLOOKUP(O17,de_para!$A$1:$B$31,2,0)*base!P17,0)</f>
        <v>106</v>
      </c>
      <c r="R17" s="38"/>
      <c r="S17" s="29"/>
      <c r="T17" s="31">
        <f>IF(base!R17&lt;&gt;"",VLOOKUP(R17,de_para!$A$1:$B$31,2,0)*base!S17,0)</f>
        <v>0</v>
      </c>
      <c r="U17" s="30">
        <f t="shared" si="1"/>
        <v>278</v>
      </c>
    </row>
    <row r="18" spans="1:21" x14ac:dyDescent="0.35">
      <c r="A18" s="40">
        <v>45667</v>
      </c>
      <c r="B18" s="29" t="s">
        <v>59</v>
      </c>
      <c r="C18" s="29" t="s">
        <v>63</v>
      </c>
      <c r="D18" s="29" t="s">
        <v>119</v>
      </c>
      <c r="E18" s="29" t="s">
        <v>120</v>
      </c>
      <c r="F18" s="29" t="s">
        <v>28</v>
      </c>
      <c r="G18" s="29">
        <v>1</v>
      </c>
      <c r="H18" s="31">
        <f>IF(base!F18&lt;&gt;"",VLOOKUP(F18,de_para!$A$1:$B$31,2,0)*base!G18,0)</f>
        <v>34</v>
      </c>
      <c r="I18" s="38" t="s">
        <v>76</v>
      </c>
      <c r="J18" s="29">
        <v>1</v>
      </c>
      <c r="K18" s="31">
        <f>IF(base!I18&lt;&gt;"",VLOOKUP(I18,de_para!$A$1:$B$31,2,0)*base!J18,0)</f>
        <v>5</v>
      </c>
      <c r="L18" s="38" t="s">
        <v>17</v>
      </c>
      <c r="M18" s="29">
        <v>5</v>
      </c>
      <c r="N18" s="31">
        <f>IF(base!L18&lt;&gt;"",VLOOKUP(L18,de_para!$A$1:$B$31,2,0)*base!M18,0)</f>
        <v>40</v>
      </c>
      <c r="O18" s="38"/>
      <c r="P18" s="29"/>
      <c r="Q18" s="31">
        <f>IF(base!O18&lt;&gt;"",VLOOKUP(O18,de_para!$A$1:$B$31,2,0)*base!P18,0)</f>
        <v>0</v>
      </c>
      <c r="R18" s="38"/>
      <c r="S18" s="29"/>
      <c r="T18" s="31">
        <f>IF(base!R18&lt;&gt;"",VLOOKUP(R18,de_para!$A$1:$B$31,2,0)*base!S18,0)</f>
        <v>0</v>
      </c>
      <c r="U18" s="30">
        <f t="shared" si="1"/>
        <v>79</v>
      </c>
    </row>
    <row r="19" spans="1:21" x14ac:dyDescent="0.35">
      <c r="A19" s="40">
        <v>45667</v>
      </c>
      <c r="B19" s="29" t="s">
        <v>59</v>
      </c>
      <c r="C19" s="29" t="s">
        <v>63</v>
      </c>
      <c r="D19" s="29" t="s">
        <v>119</v>
      </c>
      <c r="E19" s="29" t="s">
        <v>121</v>
      </c>
      <c r="F19" s="29" t="s">
        <v>28</v>
      </c>
      <c r="G19" s="29">
        <v>1</v>
      </c>
      <c r="H19" s="31">
        <f>IF(base!F19&lt;&gt;"",VLOOKUP(F19,de_para!$A$1:$B$31,2,0)*base!G19,0)</f>
        <v>34</v>
      </c>
      <c r="I19" s="38" t="s">
        <v>17</v>
      </c>
      <c r="J19" s="29">
        <v>3</v>
      </c>
      <c r="K19" s="31">
        <f>IF(base!I19&lt;&gt;"",VLOOKUP(I19,de_para!$A$1:$B$31,2,0)*base!J19,0)</f>
        <v>24</v>
      </c>
      <c r="L19" s="38"/>
      <c r="M19" s="29"/>
      <c r="N19" s="31">
        <f>IF(base!L19&lt;&gt;"",VLOOKUP(L19,de_para!$A$1:$B$31,2,0)*base!M19,0)</f>
        <v>0</v>
      </c>
      <c r="O19" s="38"/>
      <c r="P19" s="29"/>
      <c r="Q19" s="31">
        <f>IF(base!O19&lt;&gt;"",VLOOKUP(O19,de_para!$A$1:$B$31,2,0)*base!P19,0)</f>
        <v>0</v>
      </c>
      <c r="R19" s="38"/>
      <c r="S19" s="29"/>
      <c r="T19" s="31">
        <f>IF(base!R19&lt;&gt;"",VLOOKUP(R19,de_para!$A$1:$B$31,2,0)*base!S19,0)</f>
        <v>0</v>
      </c>
      <c r="U19" s="30">
        <f t="shared" si="1"/>
        <v>58</v>
      </c>
    </row>
    <row r="20" spans="1:21" x14ac:dyDescent="0.35">
      <c r="A20" s="40">
        <v>45667</v>
      </c>
      <c r="B20" s="29" t="s">
        <v>59</v>
      </c>
      <c r="C20" s="29" t="s">
        <v>63</v>
      </c>
      <c r="D20" s="29" t="s">
        <v>87</v>
      </c>
      <c r="E20" s="29" t="s">
        <v>90</v>
      </c>
      <c r="F20" s="29" t="s">
        <v>27</v>
      </c>
      <c r="G20" s="29">
        <v>1</v>
      </c>
      <c r="H20" s="31">
        <f>IF(base!F20&lt;&gt;"",VLOOKUP(F20,de_para!$A$1:$B$31,2,0)*base!G20,0)</f>
        <v>62</v>
      </c>
      <c r="I20" s="38" t="s">
        <v>19</v>
      </c>
      <c r="J20" s="29">
        <v>2</v>
      </c>
      <c r="K20" s="31">
        <f>IF(base!I20&lt;&gt;"",VLOOKUP(I20,de_para!$A$1:$B$31,2,0)*base!J20,0)</f>
        <v>14</v>
      </c>
      <c r="L20" s="38" t="s">
        <v>17</v>
      </c>
      <c r="M20" s="29">
        <v>6</v>
      </c>
      <c r="N20" s="31">
        <f>IF(base!L20&lt;&gt;"",VLOOKUP(L20,de_para!$A$1:$B$31,2,0)*base!M20,0)</f>
        <v>48</v>
      </c>
      <c r="O20" s="38"/>
      <c r="P20" s="29"/>
      <c r="Q20" s="31">
        <f>IF(base!O20&lt;&gt;"",VLOOKUP(O20,de_para!$A$1:$B$31,2,0)*base!P20,0)</f>
        <v>0</v>
      </c>
      <c r="R20" s="38"/>
      <c r="S20" s="29"/>
      <c r="T20" s="31">
        <f>IF(base!R20&lt;&gt;"",VLOOKUP(R20,de_para!$A$1:$B$31,2,0)*base!S20,0)</f>
        <v>0</v>
      </c>
      <c r="U20" s="30">
        <f t="shared" si="1"/>
        <v>124</v>
      </c>
    </row>
    <row r="21" spans="1:21" x14ac:dyDescent="0.35">
      <c r="A21" s="40">
        <v>45667</v>
      </c>
      <c r="B21" s="29" t="s">
        <v>59</v>
      </c>
      <c r="C21" s="29" t="s">
        <v>63</v>
      </c>
      <c r="D21" s="29" t="s">
        <v>87</v>
      </c>
      <c r="E21" s="29" t="s">
        <v>113</v>
      </c>
      <c r="F21" s="29" t="s">
        <v>57</v>
      </c>
      <c r="G21" s="29">
        <v>70</v>
      </c>
      <c r="H21" s="31">
        <f>IF(base!F21&lt;&gt;"",VLOOKUP(F21,de_para!$A$1:$B$31,2,0)*base!G21,0)</f>
        <v>24.5</v>
      </c>
      <c r="I21" s="38"/>
      <c r="J21" s="29"/>
      <c r="K21" s="31">
        <f>IF(base!I21&lt;&gt;"",VLOOKUP(I21,de_para!$A$1:$B$31,2,0)*base!J21,0)</f>
        <v>0</v>
      </c>
      <c r="L21" s="38"/>
      <c r="M21" s="29"/>
      <c r="N21" s="31">
        <f>IF(base!L21&lt;&gt;"",VLOOKUP(L21,de_para!$A$1:$B$31,2,0)*base!M21,0)</f>
        <v>0</v>
      </c>
      <c r="O21" s="38"/>
      <c r="P21" s="29"/>
      <c r="Q21" s="31">
        <f>IF(base!O21&lt;&gt;"",VLOOKUP(O21,de_para!$A$1:$B$31,2,0)*base!P21,0)</f>
        <v>0</v>
      </c>
      <c r="R21" s="38"/>
      <c r="S21" s="29"/>
      <c r="T21" s="31">
        <f>IF(base!R21&lt;&gt;"",VLOOKUP(R21,de_para!$A$1:$B$31,2,0)*base!S21,0)</f>
        <v>0</v>
      </c>
      <c r="U21" s="30">
        <f t="shared" si="1"/>
        <v>24.5</v>
      </c>
    </row>
    <row r="22" spans="1:21" x14ac:dyDescent="0.35">
      <c r="A22" s="40">
        <v>45668</v>
      </c>
      <c r="B22" s="29" t="s">
        <v>59</v>
      </c>
      <c r="C22" s="29" t="s">
        <v>61</v>
      </c>
      <c r="D22" s="29" t="s">
        <v>122</v>
      </c>
      <c r="E22" s="29" t="s">
        <v>107</v>
      </c>
      <c r="F22" s="29" t="s">
        <v>57</v>
      </c>
      <c r="G22" s="29">
        <v>100</v>
      </c>
      <c r="H22" s="31">
        <f>IF(base!F22&lt;&gt;"",VLOOKUP(F22,de_para!$A$1:$B$31,2,0)*base!G22,0)</f>
        <v>35</v>
      </c>
      <c r="I22" s="38"/>
      <c r="J22" s="29"/>
      <c r="K22" s="31">
        <f>IF(base!I22&lt;&gt;"",VLOOKUP(I22,de_para!$A$1:$B$31,2,0)*base!J22,0)</f>
        <v>0</v>
      </c>
      <c r="L22" s="38"/>
      <c r="M22" s="29"/>
      <c r="N22" s="31">
        <f>IF(base!L22&lt;&gt;"",VLOOKUP(L22,de_para!$A$1:$B$31,2,0)*base!M22,0)</f>
        <v>0</v>
      </c>
      <c r="O22" s="38"/>
      <c r="P22" s="29"/>
      <c r="Q22" s="31">
        <f>IF(base!O22&lt;&gt;"",VLOOKUP(O22,de_para!$A$1:$B$31,2,0)*base!P22,0)</f>
        <v>0</v>
      </c>
      <c r="R22" s="38"/>
      <c r="S22" s="29"/>
      <c r="T22" s="31">
        <f>IF(base!R22&lt;&gt;"",VLOOKUP(R22,de_para!$A$1:$B$31,2,0)*base!S22,0)</f>
        <v>0</v>
      </c>
      <c r="U22" s="30">
        <f t="shared" si="1"/>
        <v>35</v>
      </c>
    </row>
    <row r="23" spans="1:21" ht="24" x14ac:dyDescent="0.35">
      <c r="A23" s="40">
        <v>45670</v>
      </c>
      <c r="B23" s="29" t="s">
        <v>59</v>
      </c>
      <c r="C23" s="29" t="s">
        <v>63</v>
      </c>
      <c r="D23" s="29" t="s">
        <v>89</v>
      </c>
      <c r="E23" s="29" t="s">
        <v>107</v>
      </c>
      <c r="F23" s="29" t="s">
        <v>57</v>
      </c>
      <c r="G23" s="29">
        <v>200</v>
      </c>
      <c r="H23" s="31">
        <f>IF(base!F23&lt;&gt;"",VLOOKUP(F23,de_para!$A$1:$B$31,2,0)*base!G23,0)</f>
        <v>70</v>
      </c>
      <c r="I23" s="38" t="s">
        <v>30</v>
      </c>
      <c r="J23" s="29">
        <v>3</v>
      </c>
      <c r="K23" s="31">
        <f>IF(base!I23&lt;&gt;"",VLOOKUP(I23,de_para!$A$1:$B$31,2,0)*base!J23,0)</f>
        <v>42</v>
      </c>
      <c r="L23" s="38"/>
      <c r="M23" s="29"/>
      <c r="N23" s="31">
        <f>IF(base!L23&lt;&gt;"",VLOOKUP(L23,de_para!$A$1:$B$31,2,0)*base!M23,0)</f>
        <v>0</v>
      </c>
      <c r="O23" s="38"/>
      <c r="P23" s="29"/>
      <c r="Q23" s="31">
        <f>IF(base!O23&lt;&gt;"",VLOOKUP(O23,de_para!$A$1:$B$31,2,0)*base!P23,0)</f>
        <v>0</v>
      </c>
      <c r="R23" s="38"/>
      <c r="S23" s="29"/>
      <c r="T23" s="31">
        <f>IF(base!R23&lt;&gt;"",VLOOKUP(R23,de_para!$A$1:$B$31,2,0)*base!S23,0)</f>
        <v>0</v>
      </c>
      <c r="U23" s="30">
        <f t="shared" si="1"/>
        <v>112</v>
      </c>
    </row>
    <row r="24" spans="1:21" x14ac:dyDescent="0.35">
      <c r="A24" s="40">
        <v>45670</v>
      </c>
      <c r="B24" s="29" t="s">
        <v>59</v>
      </c>
      <c r="C24" s="29" t="s">
        <v>63</v>
      </c>
      <c r="D24" s="29" t="s">
        <v>89</v>
      </c>
      <c r="E24" s="29" t="s">
        <v>123</v>
      </c>
      <c r="F24" s="29" t="s">
        <v>28</v>
      </c>
      <c r="G24" s="29">
        <v>1</v>
      </c>
      <c r="H24" s="31">
        <f>IF(base!F24&lt;&gt;"",VLOOKUP(F24,de_para!$A$1:$B$31,2,0)*base!G24,0)</f>
        <v>34</v>
      </c>
      <c r="I24" s="38" t="s">
        <v>19</v>
      </c>
      <c r="J24" s="29">
        <v>1</v>
      </c>
      <c r="K24" s="31">
        <f>IF(base!I24&lt;&gt;"",VLOOKUP(I24,de_para!$A$1:$B$31,2,0)*base!J24,0)</f>
        <v>7</v>
      </c>
      <c r="L24" s="38" t="s">
        <v>17</v>
      </c>
      <c r="M24" s="29">
        <v>1</v>
      </c>
      <c r="N24" s="31">
        <f>IF(base!L24&lt;&gt;"",VLOOKUP(L24,de_para!$A$1:$B$31,2,0)*base!M24,0)</f>
        <v>8</v>
      </c>
      <c r="O24" s="38"/>
      <c r="P24" s="29"/>
      <c r="Q24" s="31">
        <f>IF(base!O24&lt;&gt;"",VLOOKUP(O24,de_para!$A$1:$B$31,2,0)*base!P24,0)</f>
        <v>0</v>
      </c>
      <c r="R24" s="38"/>
      <c r="S24" s="29"/>
      <c r="T24" s="31">
        <f>IF(base!R24&lt;&gt;"",VLOOKUP(R24,de_para!$A$1:$B$31,2,0)*base!S24,0)</f>
        <v>0</v>
      </c>
      <c r="U24" s="30">
        <f t="shared" si="1"/>
        <v>49</v>
      </c>
    </row>
    <row r="25" spans="1:21" ht="24" x14ac:dyDescent="0.35">
      <c r="A25" s="40">
        <v>45670</v>
      </c>
      <c r="B25" s="29" t="s">
        <v>59</v>
      </c>
      <c r="C25" s="29" t="s">
        <v>63</v>
      </c>
      <c r="D25" s="29" t="s">
        <v>124</v>
      </c>
      <c r="E25" s="29" t="s">
        <v>125</v>
      </c>
      <c r="F25" s="29" t="s">
        <v>28</v>
      </c>
      <c r="G25" s="29">
        <v>1</v>
      </c>
      <c r="H25" s="31">
        <f>IF(base!F25&lt;&gt;"",VLOOKUP(F25,de_para!$A$1:$B$31,2,0)*base!G25,0)</f>
        <v>34</v>
      </c>
      <c r="I25" s="38" t="s">
        <v>19</v>
      </c>
      <c r="J25" s="29">
        <v>3</v>
      </c>
      <c r="K25" s="31">
        <f>IF(base!I25&lt;&gt;"",VLOOKUP(I25,de_para!$A$1:$B$31,2,0)*base!J25,0)</f>
        <v>21</v>
      </c>
      <c r="L25" s="38" t="s">
        <v>75</v>
      </c>
      <c r="M25" s="29">
        <v>1</v>
      </c>
      <c r="N25" s="31">
        <f>IF(base!L25&lt;&gt;"",VLOOKUP(L25,de_para!$A$1:$B$31,2,0)*base!M25,0)</f>
        <v>5</v>
      </c>
      <c r="O25" s="38" t="s">
        <v>76</v>
      </c>
      <c r="P25" s="29">
        <v>1</v>
      </c>
      <c r="Q25" s="31">
        <f>IF(base!O25&lt;&gt;"",VLOOKUP(O25,de_para!$A$1:$B$31,2,0)*base!P25,0)</f>
        <v>5</v>
      </c>
      <c r="R25" s="38" t="s">
        <v>17</v>
      </c>
      <c r="S25" s="29">
        <v>13</v>
      </c>
      <c r="T25" s="31">
        <f>IF(base!R25&lt;&gt;"",VLOOKUP(R25,de_para!$A$1:$B$31,2,0)*base!S25,0)</f>
        <v>104</v>
      </c>
      <c r="U25" s="30">
        <f t="shared" si="1"/>
        <v>169</v>
      </c>
    </row>
    <row r="26" spans="1:21" x14ac:dyDescent="0.35">
      <c r="A26" s="40">
        <v>45670</v>
      </c>
      <c r="B26" s="29" t="s">
        <v>59</v>
      </c>
      <c r="C26" s="29" t="s">
        <v>63</v>
      </c>
      <c r="D26" s="29" t="s">
        <v>126</v>
      </c>
      <c r="E26" s="29" t="s">
        <v>127</v>
      </c>
      <c r="F26" s="29" t="s">
        <v>28</v>
      </c>
      <c r="G26" s="29">
        <v>1</v>
      </c>
      <c r="H26" s="31">
        <f>IF(base!F26&lt;&gt;"",VLOOKUP(F26,de_para!$A$1:$B$31,2,0)*base!G26,0)</f>
        <v>34</v>
      </c>
      <c r="I26" s="38" t="s">
        <v>19</v>
      </c>
      <c r="J26" s="29">
        <v>2</v>
      </c>
      <c r="K26" s="31">
        <f>IF(base!I26&lt;&gt;"",VLOOKUP(I26,de_para!$A$1:$B$31,2,0)*base!J26,0)</f>
        <v>14</v>
      </c>
      <c r="L26" s="38" t="s">
        <v>17</v>
      </c>
      <c r="M26" s="29">
        <v>6</v>
      </c>
      <c r="N26" s="31">
        <f>IF(base!L26&lt;&gt;"",VLOOKUP(L26,de_para!$A$1:$B$31,2,0)*base!M26,0)</f>
        <v>48</v>
      </c>
      <c r="O26" s="38"/>
      <c r="P26" s="29"/>
      <c r="Q26" s="31">
        <f>IF(base!O26&lt;&gt;"",VLOOKUP(O26,de_para!$A$1:$B$31,2,0)*base!P26,0)</f>
        <v>0</v>
      </c>
      <c r="R26" s="38"/>
      <c r="S26" s="29"/>
      <c r="T26" s="31">
        <f>IF(base!R26&lt;&gt;"",VLOOKUP(R26,de_para!$A$1:$B$31,2,0)*base!S26,0)</f>
        <v>0</v>
      </c>
      <c r="U26" s="30">
        <f t="shared" si="1"/>
        <v>96</v>
      </c>
    </row>
    <row r="27" spans="1:21" x14ac:dyDescent="0.35">
      <c r="A27" s="40">
        <v>45670</v>
      </c>
      <c r="B27" s="29" t="s">
        <v>59</v>
      </c>
      <c r="C27" s="29" t="s">
        <v>63</v>
      </c>
      <c r="D27" s="29" t="s">
        <v>128</v>
      </c>
      <c r="E27" s="29" t="s">
        <v>129</v>
      </c>
      <c r="F27" s="29" t="s">
        <v>37</v>
      </c>
      <c r="G27" s="29">
        <v>1</v>
      </c>
      <c r="H27" s="31">
        <f>IF(base!F27&lt;&gt;"",VLOOKUP(F27,de_para!$A$1:$B$31,2,0)*base!G27,0)</f>
        <v>20</v>
      </c>
      <c r="I27" s="38" t="s">
        <v>22</v>
      </c>
      <c r="J27" s="29">
        <v>80</v>
      </c>
      <c r="K27" s="31">
        <f>IF(base!I27&lt;&gt;"",VLOOKUP(I27,de_para!$A$1:$B$31,2,0)*base!J27,0)</f>
        <v>80</v>
      </c>
      <c r="L27" s="38"/>
      <c r="M27" s="29"/>
      <c r="N27" s="31">
        <f>IF(base!L27&lt;&gt;"",VLOOKUP(L27,de_para!$A$1:$B$31,2,0)*base!M27,0)</f>
        <v>0</v>
      </c>
      <c r="O27" s="38"/>
      <c r="P27" s="29"/>
      <c r="Q27" s="31">
        <f>IF(base!O27&lt;&gt;"",VLOOKUP(O27,de_para!$A$1:$B$31,2,0)*base!P27,0)</f>
        <v>0</v>
      </c>
      <c r="R27" s="38"/>
      <c r="S27" s="29"/>
      <c r="T27" s="31">
        <f>IF(base!R27&lt;&gt;"",VLOOKUP(R27,de_para!$A$1:$B$31,2,0)*base!S27,0)</f>
        <v>0</v>
      </c>
      <c r="U27" s="30">
        <f t="shared" si="1"/>
        <v>100</v>
      </c>
    </row>
    <row r="28" spans="1:21" x14ac:dyDescent="0.35">
      <c r="A28" s="40">
        <v>45671</v>
      </c>
      <c r="B28" s="29" t="s">
        <v>59</v>
      </c>
      <c r="C28" s="29" t="s">
        <v>74</v>
      </c>
      <c r="D28" s="29" t="s">
        <v>130</v>
      </c>
      <c r="E28" s="29" t="s">
        <v>131</v>
      </c>
      <c r="F28" s="29" t="s">
        <v>28</v>
      </c>
      <c r="G28" s="29">
        <v>1</v>
      </c>
      <c r="H28" s="31">
        <f>IF(base!F28&lt;&gt;"",VLOOKUP(F28,de_para!$A$1:$B$31,2,0)*base!G28,0)</f>
        <v>34</v>
      </c>
      <c r="I28" s="38" t="s">
        <v>19</v>
      </c>
      <c r="J28" s="29">
        <v>2</v>
      </c>
      <c r="K28" s="31">
        <f>IF(base!I28&lt;&gt;"",VLOOKUP(I28,de_para!$A$1:$B$31,2,0)*base!J28,0)</f>
        <v>14</v>
      </c>
      <c r="L28" s="38" t="s">
        <v>17</v>
      </c>
      <c r="M28" s="29">
        <v>12</v>
      </c>
      <c r="N28" s="31">
        <f>IF(base!L28&lt;&gt;"",VLOOKUP(L28,de_para!$A$1:$B$31,2,0)*base!M28,0)</f>
        <v>96</v>
      </c>
      <c r="O28" s="38" t="s">
        <v>22</v>
      </c>
      <c r="P28" s="29">
        <v>30</v>
      </c>
      <c r="Q28" s="31">
        <f>IF(base!O28&lt;&gt;"",VLOOKUP(O28,de_para!$A$1:$B$31,2,0)*base!P28,0)</f>
        <v>30</v>
      </c>
      <c r="R28" s="38"/>
      <c r="S28" s="29"/>
      <c r="T28" s="31">
        <f>IF(base!R28&lt;&gt;"",VLOOKUP(R28,de_para!$A$1:$B$31,2,0)*base!S28,0)</f>
        <v>0</v>
      </c>
      <c r="U28" s="30">
        <f t="shared" si="1"/>
        <v>174</v>
      </c>
    </row>
    <row r="29" spans="1:21" ht="24" x14ac:dyDescent="0.35">
      <c r="A29" s="40">
        <v>45671</v>
      </c>
      <c r="B29" s="29" t="s">
        <v>59</v>
      </c>
      <c r="C29" s="29" t="s">
        <v>63</v>
      </c>
      <c r="D29" s="29" t="s">
        <v>132</v>
      </c>
      <c r="E29" s="29" t="s">
        <v>133</v>
      </c>
      <c r="F29" s="29" t="s">
        <v>28</v>
      </c>
      <c r="G29" s="29">
        <v>1</v>
      </c>
      <c r="H29" s="31">
        <f>IF(base!F29&lt;&gt;"",VLOOKUP(F29,de_para!$A$1:$B$31,2,0)*base!G29,0)</f>
        <v>34</v>
      </c>
      <c r="I29" s="38" t="s">
        <v>19</v>
      </c>
      <c r="J29" s="29">
        <v>1</v>
      </c>
      <c r="K29" s="31">
        <f>IF(base!I29&lt;&gt;"",VLOOKUP(I29,de_para!$A$1:$B$31,2,0)*base!J29,0)</f>
        <v>7</v>
      </c>
      <c r="L29" s="38" t="s">
        <v>75</v>
      </c>
      <c r="M29" s="29">
        <v>1</v>
      </c>
      <c r="N29" s="31">
        <f>IF(base!L29&lt;&gt;"",VLOOKUP(L29,de_para!$A$1:$B$31,2,0)*base!M29,0)</f>
        <v>5</v>
      </c>
      <c r="O29" s="38" t="s">
        <v>76</v>
      </c>
      <c r="P29" s="29">
        <v>2</v>
      </c>
      <c r="Q29" s="31">
        <f>IF(base!O29&lt;&gt;"",VLOOKUP(O29,de_para!$A$1:$B$31,2,0)*base!P29,0)</f>
        <v>10</v>
      </c>
      <c r="R29" s="38" t="s">
        <v>17</v>
      </c>
      <c r="S29" s="29">
        <v>3</v>
      </c>
      <c r="T29" s="31">
        <f>IF(base!R29&lt;&gt;"",VLOOKUP(R29,de_para!$A$1:$B$31,2,0)*base!S29,0)</f>
        <v>24</v>
      </c>
      <c r="U29" s="30">
        <f t="shared" si="1"/>
        <v>80</v>
      </c>
    </row>
    <row r="30" spans="1:21" x14ac:dyDescent="0.35">
      <c r="A30" s="40">
        <v>45671</v>
      </c>
      <c r="B30" s="29" t="s">
        <v>59</v>
      </c>
      <c r="C30" s="29" t="s">
        <v>63</v>
      </c>
      <c r="D30" s="29" t="s">
        <v>91</v>
      </c>
      <c r="E30" s="29" t="s">
        <v>134</v>
      </c>
      <c r="F30" s="29" t="s">
        <v>28</v>
      </c>
      <c r="G30" s="29">
        <v>1</v>
      </c>
      <c r="H30" s="31">
        <f>IF(base!F30&lt;&gt;"",VLOOKUP(F30,de_para!$A$1:$B$31,2,0)*base!G30,0)</f>
        <v>34</v>
      </c>
      <c r="I30" s="38" t="s">
        <v>19</v>
      </c>
      <c r="J30" s="29">
        <v>1</v>
      </c>
      <c r="K30" s="31">
        <f>IF(base!I30&lt;&gt;"",VLOOKUP(I30,de_para!$A$1:$B$31,2,0)*base!J30,0)</f>
        <v>7</v>
      </c>
      <c r="L30" s="38" t="s">
        <v>76</v>
      </c>
      <c r="M30" s="29">
        <v>1</v>
      </c>
      <c r="N30" s="31">
        <f>IF(base!L30&lt;&gt;"",VLOOKUP(L30,de_para!$A$1:$B$31,2,0)*base!M30,0)</f>
        <v>5</v>
      </c>
      <c r="O30" s="38" t="s">
        <v>17</v>
      </c>
      <c r="P30" s="29">
        <v>7</v>
      </c>
      <c r="Q30" s="31">
        <f>IF(base!O30&lt;&gt;"",VLOOKUP(O30,de_para!$A$1:$B$31,2,0)*base!P30,0)</f>
        <v>56</v>
      </c>
      <c r="R30" s="38"/>
      <c r="S30" s="29"/>
      <c r="T30" s="31">
        <f>IF(base!R30&lt;&gt;"",VLOOKUP(R30,de_para!$A$1:$B$31,2,0)*base!S30,0)</f>
        <v>0</v>
      </c>
      <c r="U30" s="30">
        <f t="shared" si="1"/>
        <v>102</v>
      </c>
    </row>
    <row r="31" spans="1:21" x14ac:dyDescent="0.35">
      <c r="A31" s="40">
        <v>45671</v>
      </c>
      <c r="B31" s="29" t="s">
        <v>59</v>
      </c>
      <c r="C31" s="29" t="s">
        <v>66</v>
      </c>
      <c r="D31" s="29" t="s">
        <v>91</v>
      </c>
      <c r="E31" s="29" t="s">
        <v>135</v>
      </c>
      <c r="F31" s="29" t="s">
        <v>37</v>
      </c>
      <c r="G31" s="29">
        <v>1</v>
      </c>
      <c r="H31" s="31">
        <f>IF(base!F31&lt;&gt;"",VLOOKUP(F31,de_para!$A$1:$B$31,2,0)*base!G31,0)</f>
        <v>20</v>
      </c>
      <c r="I31" s="38"/>
      <c r="J31" s="29"/>
      <c r="K31" s="31">
        <f>IF(base!I31&lt;&gt;"",VLOOKUP(I31,de_para!$A$1:$B$31,2,0)*base!J31,0)</f>
        <v>0</v>
      </c>
      <c r="L31" s="38"/>
      <c r="M31" s="29"/>
      <c r="N31" s="31">
        <f>IF(base!L31&lt;&gt;"",VLOOKUP(L31,de_para!$A$1:$B$31,2,0)*base!M31,0)</f>
        <v>0</v>
      </c>
      <c r="O31" s="38"/>
      <c r="P31" s="29"/>
      <c r="Q31" s="31">
        <f>IF(base!O31&lt;&gt;"",VLOOKUP(O31,de_para!$A$1:$B$31,2,0)*base!P31,0)</f>
        <v>0</v>
      </c>
      <c r="R31" s="38"/>
      <c r="S31" s="29"/>
      <c r="T31" s="31">
        <f>IF(base!R31&lt;&gt;"",VLOOKUP(R31,de_para!$A$1:$B$31,2,0)*base!S31,0)</f>
        <v>0</v>
      </c>
      <c r="U31" s="30">
        <f t="shared" si="1"/>
        <v>20</v>
      </c>
    </row>
    <row r="32" spans="1:21" x14ac:dyDescent="0.35">
      <c r="A32" s="40">
        <v>45671</v>
      </c>
      <c r="B32" s="29" t="s">
        <v>59</v>
      </c>
      <c r="C32" s="29" t="s">
        <v>66</v>
      </c>
      <c r="D32" s="29" t="s">
        <v>136</v>
      </c>
      <c r="E32" s="29" t="s">
        <v>137</v>
      </c>
      <c r="F32" s="29" t="s">
        <v>27</v>
      </c>
      <c r="G32" s="29">
        <v>1</v>
      </c>
      <c r="H32" s="31">
        <f>IF(base!F32&lt;&gt;"",VLOOKUP(F32,de_para!$A$1:$B$31,2,0)*base!G32,0)</f>
        <v>62</v>
      </c>
      <c r="I32" s="38" t="s">
        <v>17</v>
      </c>
      <c r="J32" s="29">
        <v>1</v>
      </c>
      <c r="K32" s="31">
        <f>IF(base!I32&lt;&gt;"",VLOOKUP(I32,de_para!$A$1:$B$31,2,0)*base!J32,0)</f>
        <v>8</v>
      </c>
      <c r="L32" s="38"/>
      <c r="M32" s="29"/>
      <c r="N32" s="31">
        <f>IF(base!L32&lt;&gt;"",VLOOKUP(L32,de_para!$A$1:$B$31,2,0)*base!M32,0)</f>
        <v>0</v>
      </c>
      <c r="O32" s="38"/>
      <c r="P32" s="29"/>
      <c r="Q32" s="31">
        <f>IF(base!O32&lt;&gt;"",VLOOKUP(O32,de_para!$A$1:$B$31,2,0)*base!P32,0)</f>
        <v>0</v>
      </c>
      <c r="R32" s="38"/>
      <c r="S32" s="29"/>
      <c r="T32" s="31">
        <f>IF(base!R32&lt;&gt;"",VLOOKUP(R32,de_para!$A$1:$B$31,2,0)*base!S32,0)</f>
        <v>0</v>
      </c>
      <c r="U32" s="30">
        <f t="shared" si="1"/>
        <v>70</v>
      </c>
    </row>
    <row r="33" spans="1:21" x14ac:dyDescent="0.35">
      <c r="A33" s="40">
        <v>45671</v>
      </c>
      <c r="B33" s="29" t="s">
        <v>59</v>
      </c>
      <c r="C33" s="29" t="s">
        <v>66</v>
      </c>
      <c r="D33" s="29" t="s">
        <v>138</v>
      </c>
      <c r="E33" s="29" t="s">
        <v>139</v>
      </c>
      <c r="F33" s="29" t="s">
        <v>28</v>
      </c>
      <c r="G33" s="29">
        <v>1</v>
      </c>
      <c r="H33" s="31">
        <f>IF(base!F33&lt;&gt;"",VLOOKUP(F33,de_para!$A$1:$B$31,2,0)*base!G33,0)</f>
        <v>34</v>
      </c>
      <c r="I33" s="38" t="s">
        <v>76</v>
      </c>
      <c r="J33" s="29">
        <v>1</v>
      </c>
      <c r="K33" s="31">
        <f>IF(base!I33&lt;&gt;"",VLOOKUP(I33,de_para!$A$1:$B$31,2,0)*base!J33,0)</f>
        <v>5</v>
      </c>
      <c r="L33" s="38" t="s">
        <v>17</v>
      </c>
      <c r="M33" s="29">
        <v>1</v>
      </c>
      <c r="N33" s="31">
        <f>IF(base!L33&lt;&gt;"",VLOOKUP(L33,de_para!$A$1:$B$31,2,0)*base!M33,0)</f>
        <v>8</v>
      </c>
      <c r="O33" s="38" t="s">
        <v>22</v>
      </c>
      <c r="P33" s="29">
        <v>84</v>
      </c>
      <c r="Q33" s="31">
        <f>IF(base!O33&lt;&gt;"",VLOOKUP(O33,de_para!$A$1:$B$31,2,0)*base!P33,0)</f>
        <v>84</v>
      </c>
      <c r="R33" s="38"/>
      <c r="S33" s="29"/>
      <c r="T33" s="31">
        <f>IF(base!R33&lt;&gt;"",VLOOKUP(R33,de_para!$A$1:$B$31,2,0)*base!S33,0)</f>
        <v>0</v>
      </c>
      <c r="U33" s="30">
        <f t="shared" si="1"/>
        <v>131</v>
      </c>
    </row>
    <row r="34" spans="1:21" x14ac:dyDescent="0.35">
      <c r="A34" s="40">
        <v>45672</v>
      </c>
      <c r="B34" s="29" t="s">
        <v>59</v>
      </c>
      <c r="C34" s="29" t="s">
        <v>63</v>
      </c>
      <c r="D34" s="29" t="s">
        <v>140</v>
      </c>
      <c r="E34" s="29" t="s">
        <v>141</v>
      </c>
      <c r="F34" s="29" t="s">
        <v>28</v>
      </c>
      <c r="G34" s="29">
        <v>1</v>
      </c>
      <c r="H34" s="31">
        <f>IF(base!F34&lt;&gt;"",VLOOKUP(F34,de_para!$A$1:$B$31,2,0)*base!G34,0)</f>
        <v>34</v>
      </c>
      <c r="I34" s="38" t="s">
        <v>19</v>
      </c>
      <c r="J34" s="29">
        <v>2</v>
      </c>
      <c r="K34" s="31">
        <f>IF(base!I34&lt;&gt;"",VLOOKUP(I34,de_para!$A$1:$B$31,2,0)*base!J34,0)</f>
        <v>14</v>
      </c>
      <c r="L34" s="38" t="s">
        <v>17</v>
      </c>
      <c r="M34" s="29">
        <v>1</v>
      </c>
      <c r="N34" s="31">
        <f>IF(base!L34&lt;&gt;"",VLOOKUP(L34,de_para!$A$1:$B$31,2,0)*base!M34,0)</f>
        <v>8</v>
      </c>
      <c r="O34" s="38"/>
      <c r="P34" s="29"/>
      <c r="Q34" s="31">
        <f>IF(base!O34&lt;&gt;"",VLOOKUP(O34,de_para!$A$1:$B$31,2,0)*base!P34,0)</f>
        <v>0</v>
      </c>
      <c r="R34" s="38"/>
      <c r="S34" s="29"/>
      <c r="T34" s="31">
        <f>IF(base!R34&lt;&gt;"",VLOOKUP(R34,de_para!$A$1:$B$31,2,0)*base!S34,0)</f>
        <v>0</v>
      </c>
      <c r="U34" s="30">
        <f t="shared" si="1"/>
        <v>56</v>
      </c>
    </row>
    <row r="35" spans="1:21" ht="24" x14ac:dyDescent="0.35">
      <c r="A35" s="40">
        <v>45672</v>
      </c>
      <c r="B35" s="29" t="s">
        <v>59</v>
      </c>
      <c r="C35" s="29" t="s">
        <v>66</v>
      </c>
      <c r="D35" s="29" t="s">
        <v>92</v>
      </c>
      <c r="E35" s="29" t="s">
        <v>107</v>
      </c>
      <c r="F35" s="29" t="s">
        <v>57</v>
      </c>
      <c r="G35" s="29">
        <v>200</v>
      </c>
      <c r="H35" s="31">
        <f>IF(base!F35&lt;&gt;"",VLOOKUP(F35,de_para!$A$1:$B$31,2,0)*base!G35,0)</f>
        <v>70</v>
      </c>
      <c r="I35" s="38" t="s">
        <v>30</v>
      </c>
      <c r="J35" s="29">
        <v>1</v>
      </c>
      <c r="K35" s="31">
        <f>IF(base!I35&lt;&gt;"",VLOOKUP(I35,de_para!$A$1:$B$31,2,0)*base!J35,0)</f>
        <v>14</v>
      </c>
      <c r="L35" s="38"/>
      <c r="M35" s="29"/>
      <c r="N35" s="31">
        <f>IF(base!L35&lt;&gt;"",VLOOKUP(L35,de_para!$A$1:$B$31,2,0)*base!M35,0)</f>
        <v>0</v>
      </c>
      <c r="O35" s="38"/>
      <c r="P35" s="29"/>
      <c r="Q35" s="31">
        <f>IF(base!O35&lt;&gt;"",VLOOKUP(O35,de_para!$A$1:$B$31,2,0)*base!P35,0)</f>
        <v>0</v>
      </c>
      <c r="R35" s="38"/>
      <c r="S35" s="29"/>
      <c r="T35" s="31">
        <f>IF(base!R35&lt;&gt;"",VLOOKUP(R35,de_para!$A$1:$B$31,2,0)*base!S35,0)</f>
        <v>0</v>
      </c>
      <c r="U35" s="30">
        <f t="shared" si="1"/>
        <v>84</v>
      </c>
    </row>
    <row r="36" spans="1:21" x14ac:dyDescent="0.35">
      <c r="A36" s="40">
        <v>45672</v>
      </c>
      <c r="B36" s="29" t="s">
        <v>59</v>
      </c>
      <c r="C36" s="29" t="s">
        <v>66</v>
      </c>
      <c r="D36" s="29" t="s">
        <v>92</v>
      </c>
      <c r="E36" s="29" t="s">
        <v>142</v>
      </c>
      <c r="F36" s="29" t="s">
        <v>37</v>
      </c>
      <c r="G36" s="29">
        <v>1</v>
      </c>
      <c r="H36" s="31">
        <f>IF(base!F36&lt;&gt;"",VLOOKUP(F36,de_para!$A$1:$B$31,2,0)*base!G36,0)</f>
        <v>20</v>
      </c>
      <c r="I36" s="38"/>
      <c r="J36" s="29"/>
      <c r="K36" s="31">
        <f>IF(base!I36&lt;&gt;"",VLOOKUP(I36,de_para!$A$1:$B$31,2,0)*base!J36,0)</f>
        <v>0</v>
      </c>
      <c r="L36" s="38"/>
      <c r="M36" s="29"/>
      <c r="N36" s="31">
        <f>IF(base!L36&lt;&gt;"",VLOOKUP(L36,de_para!$A$1:$B$31,2,0)*base!M36,0)</f>
        <v>0</v>
      </c>
      <c r="O36" s="38"/>
      <c r="P36" s="29"/>
      <c r="Q36" s="31">
        <f>IF(base!O36&lt;&gt;"",VLOOKUP(O36,de_para!$A$1:$B$31,2,0)*base!P36,0)</f>
        <v>0</v>
      </c>
      <c r="R36" s="38"/>
      <c r="S36" s="29"/>
      <c r="T36" s="31">
        <f>IF(base!R36&lt;&gt;"",VLOOKUP(R36,de_para!$A$1:$B$31,2,0)*base!S36,0)</f>
        <v>0</v>
      </c>
      <c r="U36" s="30">
        <f t="shared" si="1"/>
        <v>20</v>
      </c>
    </row>
    <row r="37" spans="1:21" x14ac:dyDescent="0.35">
      <c r="A37" s="40">
        <v>45672</v>
      </c>
      <c r="B37" s="29" t="s">
        <v>59</v>
      </c>
      <c r="C37" s="29" t="s">
        <v>63</v>
      </c>
      <c r="D37" s="29" t="s">
        <v>93</v>
      </c>
      <c r="E37" s="29" t="s">
        <v>143</v>
      </c>
      <c r="F37" s="29" t="s">
        <v>28</v>
      </c>
      <c r="G37" s="29">
        <v>1</v>
      </c>
      <c r="H37" s="31">
        <f>IF(base!F37&lt;&gt;"",VLOOKUP(F37,de_para!$A$1:$B$31,2,0)*base!G37,0)</f>
        <v>34</v>
      </c>
      <c r="I37" s="38" t="s">
        <v>19</v>
      </c>
      <c r="J37" s="29">
        <v>1</v>
      </c>
      <c r="K37" s="31">
        <f>IF(base!I37&lt;&gt;"",VLOOKUP(I37,de_para!$A$1:$B$31,2,0)*base!J37,0)</f>
        <v>7</v>
      </c>
      <c r="L37" s="38" t="s">
        <v>17</v>
      </c>
      <c r="M37" s="29">
        <v>5</v>
      </c>
      <c r="N37" s="31">
        <f>IF(base!L37&lt;&gt;"",VLOOKUP(L37,de_para!$A$1:$B$31,2,0)*base!M37,0)</f>
        <v>40</v>
      </c>
      <c r="O37" s="38"/>
      <c r="P37" s="29"/>
      <c r="Q37" s="31">
        <f>IF(base!O37&lt;&gt;"",VLOOKUP(O37,de_para!$A$1:$B$31,2,0)*base!P37,0)</f>
        <v>0</v>
      </c>
      <c r="R37" s="38"/>
      <c r="S37" s="29"/>
      <c r="T37" s="31">
        <f>IF(base!R37&lt;&gt;"",VLOOKUP(R37,de_para!$A$1:$B$31,2,0)*base!S37,0)</f>
        <v>0</v>
      </c>
      <c r="U37" s="30">
        <f t="shared" si="1"/>
        <v>81</v>
      </c>
    </row>
    <row r="38" spans="1:21" ht="24" x14ac:dyDescent="0.35">
      <c r="A38" s="40">
        <v>45672</v>
      </c>
      <c r="B38" s="29" t="s">
        <v>59</v>
      </c>
      <c r="C38" s="29" t="s">
        <v>61</v>
      </c>
      <c r="D38" s="29" t="s">
        <v>144</v>
      </c>
      <c r="E38" s="29" t="s">
        <v>114</v>
      </c>
      <c r="F38" s="29" t="s">
        <v>57</v>
      </c>
      <c r="G38" s="29">
        <v>200</v>
      </c>
      <c r="H38" s="31">
        <f>IF(base!F38&lt;&gt;"",VLOOKUP(F38,de_para!$A$1:$B$31,2,0)*base!G38,0)</f>
        <v>70</v>
      </c>
      <c r="I38" s="38" t="s">
        <v>30</v>
      </c>
      <c r="J38" s="29">
        <v>2</v>
      </c>
      <c r="K38" s="31">
        <f>IF(base!I38&lt;&gt;"",VLOOKUP(I38,de_para!$A$1:$B$31,2,0)*base!J38,0)</f>
        <v>28</v>
      </c>
      <c r="L38" s="38"/>
      <c r="M38" s="29"/>
      <c r="N38" s="31">
        <f>IF(base!L38&lt;&gt;"",VLOOKUP(L38,de_para!$A$1:$B$31,2,0)*base!M38,0)</f>
        <v>0</v>
      </c>
      <c r="O38" s="38"/>
      <c r="P38" s="29"/>
      <c r="Q38" s="31">
        <f>IF(base!O38&lt;&gt;"",VLOOKUP(O38,de_para!$A$1:$B$31,2,0)*base!P38,0)</f>
        <v>0</v>
      </c>
      <c r="R38" s="38"/>
      <c r="S38" s="29"/>
      <c r="T38" s="31">
        <f>IF(base!R38&lt;&gt;"",VLOOKUP(R38,de_para!$A$1:$B$31,2,0)*base!S38,0)</f>
        <v>0</v>
      </c>
      <c r="U38" s="30">
        <f t="shared" si="1"/>
        <v>98</v>
      </c>
    </row>
    <row r="39" spans="1:21" x14ac:dyDescent="0.35">
      <c r="A39" s="40">
        <v>45672</v>
      </c>
      <c r="B39" s="29" t="s">
        <v>59</v>
      </c>
      <c r="C39" s="29" t="s">
        <v>61</v>
      </c>
      <c r="D39" s="29" t="s">
        <v>145</v>
      </c>
      <c r="E39" s="29" t="s">
        <v>146</v>
      </c>
      <c r="F39" s="29" t="s">
        <v>37</v>
      </c>
      <c r="G39" s="29">
        <v>1</v>
      </c>
      <c r="H39" s="31">
        <f>IF(base!F39&lt;&gt;"",VLOOKUP(F39,de_para!$A$1:$B$31,2,0)*base!G39,0)</f>
        <v>20</v>
      </c>
      <c r="I39" s="38"/>
      <c r="J39" s="29"/>
      <c r="K39" s="31">
        <f>IF(base!I39&lt;&gt;"",VLOOKUP(I39,de_para!$A$1:$B$31,2,0)*base!J39,0)</f>
        <v>0</v>
      </c>
      <c r="L39" s="38"/>
      <c r="M39" s="29"/>
      <c r="N39" s="31">
        <f>IF(base!L39&lt;&gt;"",VLOOKUP(L39,de_para!$A$1:$B$31,2,0)*base!M39,0)</f>
        <v>0</v>
      </c>
      <c r="O39" s="38"/>
      <c r="P39" s="29"/>
      <c r="Q39" s="31">
        <f>IF(base!O39&lt;&gt;"",VLOOKUP(O39,de_para!$A$1:$B$31,2,0)*base!P39,0)</f>
        <v>0</v>
      </c>
      <c r="R39" s="38"/>
      <c r="S39" s="29"/>
      <c r="T39" s="31">
        <f>IF(base!R39&lt;&gt;"",VLOOKUP(R39,de_para!$A$1:$B$31,2,0)*base!S39,0)</f>
        <v>0</v>
      </c>
      <c r="U39" s="30">
        <f t="shared" si="1"/>
        <v>20</v>
      </c>
    </row>
    <row r="40" spans="1:21" x14ac:dyDescent="0.35">
      <c r="A40" s="40">
        <v>45673</v>
      </c>
      <c r="B40" s="29" t="s">
        <v>59</v>
      </c>
      <c r="C40" s="29" t="s">
        <v>66</v>
      </c>
      <c r="D40" s="29" t="s">
        <v>147</v>
      </c>
      <c r="E40" s="29" t="s">
        <v>148</v>
      </c>
      <c r="F40" s="29" t="s">
        <v>28</v>
      </c>
      <c r="G40" s="29">
        <v>1</v>
      </c>
      <c r="H40" s="31">
        <f>IF(base!F40&lt;&gt;"",VLOOKUP(F40,de_para!$A$1:$B$31,2,0)*base!G40,0)</f>
        <v>34</v>
      </c>
      <c r="I40" s="38" t="s">
        <v>75</v>
      </c>
      <c r="J40" s="29">
        <v>1</v>
      </c>
      <c r="K40" s="31">
        <f>IF(base!I40&lt;&gt;"",VLOOKUP(I40,de_para!$A$1:$B$31,2,0)*base!J40,0)</f>
        <v>5</v>
      </c>
      <c r="L40" s="38" t="s">
        <v>76</v>
      </c>
      <c r="M40" s="29">
        <v>1</v>
      </c>
      <c r="N40" s="31">
        <f>IF(base!L40&lt;&gt;"",VLOOKUP(L40,de_para!$A$1:$B$31,2,0)*base!M40,0)</f>
        <v>5</v>
      </c>
      <c r="O40" s="38" t="s">
        <v>17</v>
      </c>
      <c r="P40" s="29">
        <v>4</v>
      </c>
      <c r="Q40" s="31">
        <f>IF(base!O40&lt;&gt;"",VLOOKUP(O40,de_para!$A$1:$B$31,2,0)*base!P40,0)</f>
        <v>32</v>
      </c>
      <c r="R40" s="38"/>
      <c r="S40" s="29"/>
      <c r="T40" s="31">
        <f>IF(base!R40&lt;&gt;"",VLOOKUP(R40,de_para!$A$1:$B$31,2,0)*base!S40,0)</f>
        <v>0</v>
      </c>
      <c r="U40" s="30">
        <f t="shared" si="1"/>
        <v>76</v>
      </c>
    </row>
    <row r="41" spans="1:21" x14ac:dyDescent="0.35">
      <c r="A41" s="40">
        <v>45673</v>
      </c>
      <c r="B41" s="29" t="s">
        <v>59</v>
      </c>
      <c r="C41" s="29" t="s">
        <v>66</v>
      </c>
      <c r="D41" s="29" t="s">
        <v>149</v>
      </c>
      <c r="E41" s="29" t="s">
        <v>150</v>
      </c>
      <c r="F41" s="29" t="s">
        <v>28</v>
      </c>
      <c r="G41" s="29">
        <v>1</v>
      </c>
      <c r="H41" s="31">
        <f>IF(base!F41&lt;&gt;"",VLOOKUP(F41,de_para!$A$1:$B$31,2,0)*base!G41,0)</f>
        <v>34</v>
      </c>
      <c r="I41" s="38" t="s">
        <v>17</v>
      </c>
      <c r="J41" s="29">
        <v>1</v>
      </c>
      <c r="K41" s="31">
        <f>IF(base!I41&lt;&gt;"",VLOOKUP(I41,de_para!$A$1:$B$31,2,0)*base!J41,0)</f>
        <v>8</v>
      </c>
      <c r="L41" s="38"/>
      <c r="M41" s="29"/>
      <c r="N41" s="31">
        <f>IF(base!L41&lt;&gt;"",VLOOKUP(L41,de_para!$A$1:$B$31,2,0)*base!M41,0)</f>
        <v>0</v>
      </c>
      <c r="O41" s="38"/>
      <c r="P41" s="29"/>
      <c r="Q41" s="31">
        <f>IF(base!O41&lt;&gt;"",VLOOKUP(O41,de_para!$A$1:$B$31,2,0)*base!P41,0)</f>
        <v>0</v>
      </c>
      <c r="R41" s="38"/>
      <c r="S41" s="29"/>
      <c r="T41" s="31">
        <f>IF(base!R41&lt;&gt;"",VLOOKUP(R41,de_para!$A$1:$B$31,2,0)*base!S41,0)</f>
        <v>0</v>
      </c>
      <c r="U41" s="30">
        <f t="shared" si="1"/>
        <v>42</v>
      </c>
    </row>
    <row r="42" spans="1:21" x14ac:dyDescent="0.35">
      <c r="A42" s="40">
        <v>45673</v>
      </c>
      <c r="B42" s="29" t="s">
        <v>59</v>
      </c>
      <c r="C42" s="29" t="s">
        <v>66</v>
      </c>
      <c r="D42" s="29" t="s">
        <v>149</v>
      </c>
      <c r="E42" s="29" t="s">
        <v>151</v>
      </c>
      <c r="F42" s="29" t="s">
        <v>28</v>
      </c>
      <c r="G42" s="29">
        <v>1</v>
      </c>
      <c r="H42" s="31">
        <f>IF(base!F42&lt;&gt;"",VLOOKUP(F42,de_para!$A$1:$B$31,2,0)*base!G42,0)</f>
        <v>34</v>
      </c>
      <c r="I42" s="38" t="s">
        <v>75</v>
      </c>
      <c r="J42" s="29">
        <v>1</v>
      </c>
      <c r="K42" s="31">
        <f>IF(base!I42&lt;&gt;"",VLOOKUP(I42,de_para!$A$1:$B$31,2,0)*base!J42,0)</f>
        <v>5</v>
      </c>
      <c r="L42" s="38" t="s">
        <v>76</v>
      </c>
      <c r="M42" s="29">
        <v>1</v>
      </c>
      <c r="N42" s="31">
        <f>IF(base!L42&lt;&gt;"",VLOOKUP(L42,de_para!$A$1:$B$31,2,0)*base!M42,0)</f>
        <v>5</v>
      </c>
      <c r="O42" s="38" t="s">
        <v>17</v>
      </c>
      <c r="P42" s="29">
        <v>1</v>
      </c>
      <c r="Q42" s="31">
        <f>IF(base!O42&lt;&gt;"",VLOOKUP(O42,de_para!$A$1:$B$31,2,0)*base!P42,0)</f>
        <v>8</v>
      </c>
      <c r="R42" s="38" t="s">
        <v>22</v>
      </c>
      <c r="S42" s="29">
        <v>70</v>
      </c>
      <c r="T42" s="31">
        <f>IF(base!R42&lt;&gt;"",VLOOKUP(R42,de_para!$A$1:$B$31,2,0)*base!S42,0)</f>
        <v>70</v>
      </c>
      <c r="U42" s="30">
        <f t="shared" si="1"/>
        <v>122</v>
      </c>
    </row>
    <row r="43" spans="1:21" x14ac:dyDescent="0.35">
      <c r="A43" s="40">
        <v>45674</v>
      </c>
      <c r="B43" s="29" t="s">
        <v>59</v>
      </c>
      <c r="C43" s="29" t="s">
        <v>63</v>
      </c>
      <c r="D43" s="29" t="s">
        <v>152</v>
      </c>
      <c r="E43" s="29" t="s">
        <v>153</v>
      </c>
      <c r="F43" s="29" t="s">
        <v>28</v>
      </c>
      <c r="G43" s="29">
        <v>1</v>
      </c>
      <c r="H43" s="31">
        <f>IF(base!F43&lt;&gt;"",VLOOKUP(F43,de_para!$A$1:$B$31,2,0)*base!G43,0)</f>
        <v>34</v>
      </c>
      <c r="I43" s="38" t="s">
        <v>19</v>
      </c>
      <c r="J43" s="29">
        <v>1</v>
      </c>
      <c r="K43" s="31">
        <f>IF(base!I43&lt;&gt;"",VLOOKUP(I43,de_para!$A$1:$B$31,2,0)*base!J43,0)</f>
        <v>7</v>
      </c>
      <c r="L43" s="38" t="s">
        <v>17</v>
      </c>
      <c r="M43" s="29">
        <v>2</v>
      </c>
      <c r="N43" s="31">
        <f>IF(base!L43&lt;&gt;"",VLOOKUP(L43,de_para!$A$1:$B$31,2,0)*base!M43,0)</f>
        <v>16</v>
      </c>
      <c r="O43" s="38"/>
      <c r="P43" s="29"/>
      <c r="Q43" s="31">
        <f>IF(base!O43&lt;&gt;"",VLOOKUP(O43,de_para!$A$1:$B$31,2,0)*base!P43,0)</f>
        <v>0</v>
      </c>
      <c r="R43" s="38"/>
      <c r="S43" s="29"/>
      <c r="T43" s="31">
        <f>IF(base!R43&lt;&gt;"",VLOOKUP(R43,de_para!$A$1:$B$31,2,0)*base!S43,0)</f>
        <v>0</v>
      </c>
      <c r="U43" s="30">
        <f t="shared" si="1"/>
        <v>57</v>
      </c>
    </row>
    <row r="44" spans="1:21" x14ac:dyDescent="0.35">
      <c r="A44" s="40">
        <v>45674</v>
      </c>
      <c r="B44" s="29" t="s">
        <v>59</v>
      </c>
      <c r="C44" s="29" t="s">
        <v>63</v>
      </c>
      <c r="D44" s="29" t="s">
        <v>94</v>
      </c>
      <c r="E44" s="29" t="s">
        <v>107</v>
      </c>
      <c r="F44" s="29" t="s">
        <v>57</v>
      </c>
      <c r="G44" s="29">
        <v>60</v>
      </c>
      <c r="H44" s="31">
        <f>IF(base!F44&lt;&gt;"",VLOOKUP(F44,de_para!$A$1:$B$31,2,0)*base!G44,0)</f>
        <v>21</v>
      </c>
      <c r="I44" s="38"/>
      <c r="J44" s="29"/>
      <c r="K44" s="31">
        <f>IF(base!I44&lt;&gt;"",VLOOKUP(I44,de_para!$A$1:$B$31,2,0)*base!J44,0)</f>
        <v>0</v>
      </c>
      <c r="L44" s="38"/>
      <c r="M44" s="29"/>
      <c r="N44" s="31">
        <f>IF(base!L44&lt;&gt;"",VLOOKUP(L44,de_para!$A$1:$B$31,2,0)*base!M44,0)</f>
        <v>0</v>
      </c>
      <c r="O44" s="38"/>
      <c r="P44" s="29"/>
      <c r="Q44" s="31">
        <f>IF(base!O44&lt;&gt;"",VLOOKUP(O44,de_para!$A$1:$B$31,2,0)*base!P44,0)</f>
        <v>0</v>
      </c>
      <c r="R44" s="38"/>
      <c r="S44" s="29"/>
      <c r="T44" s="31">
        <f>IF(base!R44&lt;&gt;"",VLOOKUP(R44,de_para!$A$1:$B$31,2,0)*base!S44,0)</f>
        <v>0</v>
      </c>
      <c r="U44" s="30">
        <f t="shared" si="1"/>
        <v>21</v>
      </c>
    </row>
    <row r="45" spans="1:21" x14ac:dyDescent="0.35">
      <c r="A45" s="40">
        <v>45674</v>
      </c>
      <c r="B45" s="29" t="s">
        <v>59</v>
      </c>
      <c r="C45" s="29" t="s">
        <v>61</v>
      </c>
      <c r="D45" s="29" t="s">
        <v>95</v>
      </c>
      <c r="E45" s="29" t="s">
        <v>154</v>
      </c>
      <c r="F45" s="29" t="s">
        <v>27</v>
      </c>
      <c r="G45" s="29">
        <v>1</v>
      </c>
      <c r="H45" s="31">
        <f>IF(base!F45&lt;&gt;"",VLOOKUP(F45,de_para!$A$1:$B$31,2,0)*base!G45,0)</f>
        <v>62</v>
      </c>
      <c r="I45" s="38" t="s">
        <v>19</v>
      </c>
      <c r="J45" s="29">
        <v>2</v>
      </c>
      <c r="K45" s="31">
        <f>IF(base!I45&lt;&gt;"",VLOOKUP(I45,de_para!$A$1:$B$31,2,0)*base!J45,0)</f>
        <v>14</v>
      </c>
      <c r="L45" s="38" t="s">
        <v>76</v>
      </c>
      <c r="M45" s="29">
        <v>1</v>
      </c>
      <c r="N45" s="31">
        <f>IF(base!L45&lt;&gt;"",VLOOKUP(L45,de_para!$A$1:$B$31,2,0)*base!M45,0)</f>
        <v>5</v>
      </c>
      <c r="O45" s="38" t="s">
        <v>17</v>
      </c>
      <c r="P45" s="29">
        <v>4</v>
      </c>
      <c r="Q45" s="31">
        <f>IF(base!O45&lt;&gt;"",VLOOKUP(O45,de_para!$A$1:$B$31,2,0)*base!P45,0)</f>
        <v>32</v>
      </c>
      <c r="R45" s="38"/>
      <c r="S45" s="29"/>
      <c r="T45" s="31">
        <f>IF(base!R45&lt;&gt;"",VLOOKUP(R45,de_para!$A$1:$B$31,2,0)*base!S45,0)</f>
        <v>0</v>
      </c>
      <c r="U45" s="30">
        <f t="shared" si="1"/>
        <v>113</v>
      </c>
    </row>
    <row r="46" spans="1:21" x14ac:dyDescent="0.35">
      <c r="A46" s="40">
        <v>45674</v>
      </c>
      <c r="B46" s="29" t="s">
        <v>59</v>
      </c>
      <c r="C46" s="29" t="s">
        <v>63</v>
      </c>
      <c r="D46" s="29" t="s">
        <v>155</v>
      </c>
      <c r="E46" s="29" t="s">
        <v>156</v>
      </c>
      <c r="F46" s="29" t="s">
        <v>37</v>
      </c>
      <c r="G46" s="29">
        <v>1</v>
      </c>
      <c r="H46" s="31">
        <f>IF(base!F46&lt;&gt;"",VLOOKUP(F46,de_para!$A$1:$B$31,2,0)*base!G46,0)</f>
        <v>20</v>
      </c>
      <c r="I46" s="38" t="s">
        <v>22</v>
      </c>
      <c r="J46" s="29">
        <v>60</v>
      </c>
      <c r="K46" s="31">
        <f>IF(base!I46&lt;&gt;"",VLOOKUP(I46,de_para!$A$1:$B$31,2,0)*base!J46,0)</f>
        <v>60</v>
      </c>
      <c r="L46" s="38"/>
      <c r="M46" s="29"/>
      <c r="N46" s="31">
        <f>IF(base!L46&lt;&gt;"",VLOOKUP(L46,de_para!$A$1:$B$31,2,0)*base!M46,0)</f>
        <v>0</v>
      </c>
      <c r="O46" s="38"/>
      <c r="P46" s="29"/>
      <c r="Q46" s="31">
        <f>IF(base!O46&lt;&gt;"",VLOOKUP(O46,de_para!$A$1:$B$31,2,0)*base!P46,0)</f>
        <v>0</v>
      </c>
      <c r="R46" s="38"/>
      <c r="S46" s="29"/>
      <c r="T46" s="31">
        <f>IF(base!R46&lt;&gt;"",VLOOKUP(R46,de_para!$A$1:$B$31,2,0)*base!S46,0)</f>
        <v>0</v>
      </c>
      <c r="U46" s="30">
        <f t="shared" si="1"/>
        <v>80</v>
      </c>
    </row>
    <row r="47" spans="1:21" x14ac:dyDescent="0.35">
      <c r="A47" s="40">
        <v>45675</v>
      </c>
      <c r="B47" s="29" t="s">
        <v>59</v>
      </c>
      <c r="C47" s="29" t="s">
        <v>66</v>
      </c>
      <c r="D47" s="29" t="s">
        <v>96</v>
      </c>
      <c r="E47" s="29" t="s">
        <v>107</v>
      </c>
      <c r="F47" s="29" t="s">
        <v>57</v>
      </c>
      <c r="G47" s="29">
        <v>110</v>
      </c>
      <c r="H47" s="31">
        <f>IF(base!F47&lt;&gt;"",VLOOKUP(F47,de_para!$A$1:$B$31,2,0)*base!G47,0)</f>
        <v>38.5</v>
      </c>
      <c r="I47" s="38"/>
      <c r="J47" s="29"/>
      <c r="K47" s="31">
        <f>IF(base!I47&lt;&gt;"",VLOOKUP(I47,de_para!$A$1:$B$31,2,0)*base!J47,0)</f>
        <v>0</v>
      </c>
      <c r="L47" s="38"/>
      <c r="M47" s="29"/>
      <c r="N47" s="31">
        <f>IF(base!L47&lt;&gt;"",VLOOKUP(L47,de_para!$A$1:$B$31,2,0)*base!M47,0)</f>
        <v>0</v>
      </c>
      <c r="O47" s="38"/>
      <c r="P47" s="29"/>
      <c r="Q47" s="31">
        <f>IF(base!O47&lt;&gt;"",VLOOKUP(O47,de_para!$A$1:$B$31,2,0)*base!P47,0)</f>
        <v>0</v>
      </c>
      <c r="R47" s="38"/>
      <c r="S47" s="29"/>
      <c r="T47" s="31">
        <f>IF(base!R47&lt;&gt;"",VLOOKUP(R47,de_para!$A$1:$B$31,2,0)*base!S47,0)</f>
        <v>0</v>
      </c>
      <c r="U47" s="30">
        <f t="shared" si="1"/>
        <v>38.5</v>
      </c>
    </row>
    <row r="48" spans="1:21" x14ac:dyDescent="0.35">
      <c r="A48" s="40">
        <v>45678</v>
      </c>
      <c r="B48" s="29" t="s">
        <v>59</v>
      </c>
      <c r="C48" s="29" t="s">
        <v>61</v>
      </c>
      <c r="D48" s="29" t="s">
        <v>157</v>
      </c>
      <c r="E48" s="29" t="s">
        <v>158</v>
      </c>
      <c r="F48" s="29" t="s">
        <v>37</v>
      </c>
      <c r="G48" s="29">
        <v>1</v>
      </c>
      <c r="H48" s="31">
        <f>IF(base!F48&lt;&gt;"",VLOOKUP(F48,de_para!$A$1:$B$31,2,0)*base!G48,0)</f>
        <v>20</v>
      </c>
      <c r="I48" s="38"/>
      <c r="J48" s="29"/>
      <c r="K48" s="31">
        <f>IF(base!I48&lt;&gt;"",VLOOKUP(I48,de_para!$A$1:$B$31,2,0)*base!J48,0)</f>
        <v>0</v>
      </c>
      <c r="L48" s="38"/>
      <c r="M48" s="29"/>
      <c r="N48" s="31">
        <f>IF(base!L48&lt;&gt;"",VLOOKUP(L48,de_para!$A$1:$B$31,2,0)*base!M48,0)</f>
        <v>0</v>
      </c>
      <c r="O48" s="38"/>
      <c r="P48" s="29"/>
      <c r="Q48" s="31">
        <f>IF(base!O48&lt;&gt;"",VLOOKUP(O48,de_para!$A$1:$B$31,2,0)*base!P48,0)</f>
        <v>0</v>
      </c>
      <c r="R48" s="38"/>
      <c r="S48" s="29"/>
      <c r="T48" s="31">
        <f>IF(base!R48&lt;&gt;"",VLOOKUP(R48,de_para!$A$1:$B$31,2,0)*base!S48,0)</f>
        <v>0</v>
      </c>
      <c r="U48" s="30">
        <f t="shared" si="1"/>
        <v>20</v>
      </c>
    </row>
    <row r="49" spans="1:21" x14ac:dyDescent="0.35">
      <c r="A49" s="40">
        <v>45678</v>
      </c>
      <c r="B49" s="29" t="s">
        <v>59</v>
      </c>
      <c r="C49" s="29" t="s">
        <v>61</v>
      </c>
      <c r="D49" s="29" t="s">
        <v>157</v>
      </c>
      <c r="E49" s="29" t="s">
        <v>159</v>
      </c>
      <c r="F49" s="29" t="s">
        <v>37</v>
      </c>
      <c r="G49" s="29">
        <v>1</v>
      </c>
      <c r="H49" s="31">
        <f>IF(base!F49&lt;&gt;"",VLOOKUP(F49,de_para!$A$1:$B$31,2,0)*base!G49,0)</f>
        <v>20</v>
      </c>
      <c r="I49" s="38"/>
      <c r="J49" s="29"/>
      <c r="K49" s="31">
        <f>IF(base!I49&lt;&gt;"",VLOOKUP(I49,de_para!$A$1:$B$31,2,0)*base!J49,0)</f>
        <v>0</v>
      </c>
      <c r="L49" s="38"/>
      <c r="M49" s="29"/>
      <c r="N49" s="31">
        <f>IF(base!L49&lt;&gt;"",VLOOKUP(L49,de_para!$A$1:$B$31,2,0)*base!M49,0)</f>
        <v>0</v>
      </c>
      <c r="O49" s="38"/>
      <c r="P49" s="29"/>
      <c r="Q49" s="31">
        <f>IF(base!O49&lt;&gt;"",VLOOKUP(O49,de_para!$A$1:$B$31,2,0)*base!P49,0)</f>
        <v>0</v>
      </c>
      <c r="R49" s="38"/>
      <c r="S49" s="29"/>
      <c r="T49" s="31">
        <f>IF(base!R49&lt;&gt;"",VLOOKUP(R49,de_para!$A$1:$B$31,2,0)*base!S49,0)</f>
        <v>0</v>
      </c>
      <c r="U49" s="30">
        <f t="shared" si="1"/>
        <v>20</v>
      </c>
    </row>
    <row r="50" spans="1:21" x14ac:dyDescent="0.35">
      <c r="A50" s="40">
        <v>45678</v>
      </c>
      <c r="B50" s="29" t="s">
        <v>59</v>
      </c>
      <c r="C50" s="29" t="s">
        <v>66</v>
      </c>
      <c r="D50" s="29" t="s">
        <v>160</v>
      </c>
      <c r="E50" s="29" t="s">
        <v>161</v>
      </c>
      <c r="F50" s="29" t="s">
        <v>28</v>
      </c>
      <c r="G50" s="29">
        <v>1</v>
      </c>
      <c r="H50" s="31">
        <f>IF(base!F50&lt;&gt;"",VLOOKUP(F50,de_para!$A$1:$B$31,2,0)*base!G50,0)</f>
        <v>34</v>
      </c>
      <c r="I50" s="38" t="s">
        <v>19</v>
      </c>
      <c r="J50" s="29">
        <v>1</v>
      </c>
      <c r="K50" s="31">
        <f>IF(base!I50&lt;&gt;"",VLOOKUP(I50,de_para!$A$1:$B$31,2,0)*base!J50,0)</f>
        <v>7</v>
      </c>
      <c r="L50" s="38" t="s">
        <v>17</v>
      </c>
      <c r="M50" s="29">
        <v>3</v>
      </c>
      <c r="N50" s="31">
        <f>IF(base!L50&lt;&gt;"",VLOOKUP(L50,de_para!$A$1:$B$31,2,0)*base!M50,0)</f>
        <v>24</v>
      </c>
      <c r="O50" s="38"/>
      <c r="P50" s="29"/>
      <c r="Q50" s="31">
        <f>IF(base!O50&lt;&gt;"",VLOOKUP(O50,de_para!$A$1:$B$31,2,0)*base!P50,0)</f>
        <v>0</v>
      </c>
      <c r="R50" s="38"/>
      <c r="S50" s="29"/>
      <c r="T50" s="31">
        <f>IF(base!R50&lt;&gt;"",VLOOKUP(R50,de_para!$A$1:$B$31,2,0)*base!S50,0)</f>
        <v>0</v>
      </c>
      <c r="U50" s="30">
        <f t="shared" si="1"/>
        <v>65</v>
      </c>
    </row>
    <row r="51" spans="1:21" x14ac:dyDescent="0.35">
      <c r="A51" s="40">
        <v>45678</v>
      </c>
      <c r="B51" s="29" t="s">
        <v>59</v>
      </c>
      <c r="C51" s="29" t="s">
        <v>63</v>
      </c>
      <c r="D51" s="29" t="s">
        <v>97</v>
      </c>
      <c r="E51" s="29" t="s">
        <v>162</v>
      </c>
      <c r="F51" s="29" t="s">
        <v>28</v>
      </c>
      <c r="G51" s="29">
        <v>1</v>
      </c>
      <c r="H51" s="31">
        <f>IF(base!F51&lt;&gt;"",VLOOKUP(F51,de_para!$A$1:$B$31,2,0)*base!G51,0)</f>
        <v>34</v>
      </c>
      <c r="I51" s="38" t="s">
        <v>75</v>
      </c>
      <c r="J51" s="29">
        <v>1</v>
      </c>
      <c r="K51" s="31">
        <f>IF(base!I51&lt;&gt;"",VLOOKUP(I51,de_para!$A$1:$B$31,2,0)*base!J51,0)</f>
        <v>5</v>
      </c>
      <c r="L51" s="38" t="s">
        <v>76</v>
      </c>
      <c r="M51" s="29">
        <v>2</v>
      </c>
      <c r="N51" s="31">
        <f>IF(base!L51&lt;&gt;"",VLOOKUP(L51,de_para!$A$1:$B$31,2,0)*base!M51,0)</f>
        <v>10</v>
      </c>
      <c r="O51" s="38" t="s">
        <v>17</v>
      </c>
      <c r="P51" s="29">
        <v>3</v>
      </c>
      <c r="Q51" s="31">
        <f>IF(base!O51&lt;&gt;"",VLOOKUP(O51,de_para!$A$1:$B$31,2,0)*base!P51,0)</f>
        <v>24</v>
      </c>
      <c r="R51" s="38"/>
      <c r="S51" s="29"/>
      <c r="T51" s="31">
        <f>IF(base!R51&lt;&gt;"",VLOOKUP(R51,de_para!$A$1:$B$31,2,0)*base!S51,0)</f>
        <v>0</v>
      </c>
      <c r="U51" s="30">
        <f t="shared" si="1"/>
        <v>73</v>
      </c>
    </row>
    <row r="52" spans="1:21" x14ac:dyDescent="0.35">
      <c r="A52" s="40">
        <v>45679</v>
      </c>
      <c r="B52" s="29" t="s">
        <v>59</v>
      </c>
      <c r="C52" s="29" t="s">
        <v>63</v>
      </c>
      <c r="D52" s="29" t="s">
        <v>163</v>
      </c>
      <c r="E52" s="29" t="s">
        <v>164</v>
      </c>
      <c r="F52" s="29" t="s">
        <v>28</v>
      </c>
      <c r="G52" s="29">
        <v>1</v>
      </c>
      <c r="H52" s="31">
        <f>IF(base!F52&lt;&gt;"",VLOOKUP(F52,de_para!$A$1:$B$31,2,0)*base!G52,0)</f>
        <v>34</v>
      </c>
      <c r="I52" s="38" t="s">
        <v>19</v>
      </c>
      <c r="J52" s="29">
        <v>1</v>
      </c>
      <c r="K52" s="31">
        <f>IF(base!I52&lt;&gt;"",VLOOKUP(I52,de_para!$A$1:$B$31,2,0)*base!J52,0)</f>
        <v>7</v>
      </c>
      <c r="L52" s="38" t="s">
        <v>17</v>
      </c>
      <c r="M52" s="29">
        <v>3</v>
      </c>
      <c r="N52" s="31">
        <f>IF(base!L52&lt;&gt;"",VLOOKUP(L52,de_para!$A$1:$B$31,2,0)*base!M52,0)</f>
        <v>24</v>
      </c>
      <c r="O52" s="38"/>
      <c r="P52" s="29"/>
      <c r="Q52" s="31">
        <f>IF(base!O52&lt;&gt;"",VLOOKUP(O52,de_para!$A$1:$B$31,2,0)*base!P52,0)</f>
        <v>0</v>
      </c>
      <c r="R52" s="38"/>
      <c r="S52" s="29"/>
      <c r="T52" s="31">
        <f>IF(base!R52&lt;&gt;"",VLOOKUP(R52,de_para!$A$1:$B$31,2,0)*base!S52,0)</f>
        <v>0</v>
      </c>
      <c r="U52" s="30">
        <f t="shared" si="1"/>
        <v>65</v>
      </c>
    </row>
    <row r="53" spans="1:21" x14ac:dyDescent="0.35">
      <c r="A53" s="40">
        <v>45679</v>
      </c>
      <c r="B53" s="29" t="s">
        <v>59</v>
      </c>
      <c r="C53" s="29" t="s">
        <v>63</v>
      </c>
      <c r="D53" s="29" t="s">
        <v>98</v>
      </c>
      <c r="E53" s="29" t="s">
        <v>107</v>
      </c>
      <c r="F53" s="29" t="s">
        <v>57</v>
      </c>
      <c r="G53" s="29">
        <v>100</v>
      </c>
      <c r="H53" s="31">
        <f>IF(base!F53&lt;&gt;"",VLOOKUP(F53,de_para!$A$1:$B$31,2,0)*base!G53,0)</f>
        <v>35</v>
      </c>
      <c r="I53" s="38"/>
      <c r="J53" s="29"/>
      <c r="K53" s="31">
        <f>IF(base!I53&lt;&gt;"",VLOOKUP(I53,de_para!$A$1:$B$31,2,0)*base!J53,0)</f>
        <v>0</v>
      </c>
      <c r="L53" s="38"/>
      <c r="M53" s="29"/>
      <c r="N53" s="31">
        <f>IF(base!L53&lt;&gt;"",VLOOKUP(L53,de_para!$A$1:$B$31,2,0)*base!M53,0)</f>
        <v>0</v>
      </c>
      <c r="O53" s="38"/>
      <c r="P53" s="29"/>
      <c r="Q53" s="31">
        <f>IF(base!O53&lt;&gt;"",VLOOKUP(O53,de_para!$A$1:$B$31,2,0)*base!P53,0)</f>
        <v>0</v>
      </c>
      <c r="R53" s="38"/>
      <c r="S53" s="29"/>
      <c r="T53" s="31">
        <f>IF(base!R53&lt;&gt;"",VLOOKUP(R53,de_para!$A$1:$B$31,2,0)*base!S53,0)</f>
        <v>0</v>
      </c>
      <c r="U53" s="30">
        <f t="shared" si="1"/>
        <v>35</v>
      </c>
    </row>
    <row r="54" spans="1:21" x14ac:dyDescent="0.35">
      <c r="A54" s="40">
        <v>45679</v>
      </c>
      <c r="B54" s="29" t="s">
        <v>59</v>
      </c>
      <c r="C54" s="29" t="s">
        <v>63</v>
      </c>
      <c r="D54" s="29" t="s">
        <v>98</v>
      </c>
      <c r="E54" s="29" t="s">
        <v>165</v>
      </c>
      <c r="F54" s="29" t="s">
        <v>37</v>
      </c>
      <c r="G54" s="29">
        <v>1</v>
      </c>
      <c r="H54" s="31">
        <f>IF(base!F54&lt;&gt;"",VLOOKUP(F54,de_para!$A$1:$B$31,2,0)*base!G54,0)</f>
        <v>20</v>
      </c>
      <c r="I54" s="38" t="s">
        <v>22</v>
      </c>
      <c r="J54" s="29">
        <v>60</v>
      </c>
      <c r="K54" s="31">
        <f>IF(base!I54&lt;&gt;"",VLOOKUP(I54,de_para!$A$1:$B$31,2,0)*base!J54,0)</f>
        <v>60</v>
      </c>
      <c r="L54" s="38"/>
      <c r="M54" s="29"/>
      <c r="N54" s="31">
        <f>IF(base!L54&lt;&gt;"",VLOOKUP(L54,de_para!$A$1:$B$31,2,0)*base!M54,0)</f>
        <v>0</v>
      </c>
      <c r="O54" s="38"/>
      <c r="P54" s="29"/>
      <c r="Q54" s="31">
        <f>IF(base!O54&lt;&gt;"",VLOOKUP(O54,de_para!$A$1:$B$31,2,0)*base!P54,0)</f>
        <v>0</v>
      </c>
      <c r="R54" s="38"/>
      <c r="S54" s="29"/>
      <c r="T54" s="31">
        <f>IF(base!R54&lt;&gt;"",VLOOKUP(R54,de_para!$A$1:$B$31,2,0)*base!S54,0)</f>
        <v>0</v>
      </c>
      <c r="U54" s="30">
        <f t="shared" si="1"/>
        <v>80</v>
      </c>
    </row>
    <row r="55" spans="1:21" x14ac:dyDescent="0.35">
      <c r="A55" s="40">
        <v>45680</v>
      </c>
      <c r="B55" s="29" t="s">
        <v>59</v>
      </c>
      <c r="C55" s="29" t="s">
        <v>63</v>
      </c>
      <c r="D55" s="29" t="s">
        <v>166</v>
      </c>
      <c r="E55" s="29" t="s">
        <v>167</v>
      </c>
      <c r="F55" s="29" t="s">
        <v>28</v>
      </c>
      <c r="G55" s="29">
        <v>1</v>
      </c>
      <c r="H55" s="31">
        <f>IF(base!F55&lt;&gt;"",VLOOKUP(F55,de_para!$A$1:$B$31,2,0)*base!G55,0)</f>
        <v>34</v>
      </c>
      <c r="I55" s="38" t="s">
        <v>19</v>
      </c>
      <c r="J55" s="29">
        <v>1</v>
      </c>
      <c r="K55" s="31">
        <f>IF(base!I55&lt;&gt;"",VLOOKUP(I55,de_para!$A$1:$B$31,2,0)*base!J55,0)</f>
        <v>7</v>
      </c>
      <c r="L55" s="38" t="s">
        <v>17</v>
      </c>
      <c r="M55" s="29">
        <v>5</v>
      </c>
      <c r="N55" s="31">
        <f>IF(base!L55&lt;&gt;"",VLOOKUP(L55,de_para!$A$1:$B$31,2,0)*base!M55,0)</f>
        <v>40</v>
      </c>
      <c r="O55" s="38"/>
      <c r="P55" s="29"/>
      <c r="Q55" s="31">
        <f>IF(base!O55&lt;&gt;"",VLOOKUP(O55,de_para!$A$1:$B$31,2,0)*base!P55,0)</f>
        <v>0</v>
      </c>
      <c r="R55" s="38"/>
      <c r="S55" s="29"/>
      <c r="T55" s="31">
        <f>IF(base!R55&lt;&gt;"",VLOOKUP(R55,de_para!$A$1:$B$31,2,0)*base!S55,0)</f>
        <v>0</v>
      </c>
      <c r="U55" s="30">
        <f t="shared" ref="U55:U118" si="2">H55+K55+N55+Q55+T55</f>
        <v>81</v>
      </c>
    </row>
    <row r="56" spans="1:21" x14ac:dyDescent="0.35">
      <c r="A56" s="40">
        <v>45680</v>
      </c>
      <c r="B56" s="29" t="s">
        <v>59</v>
      </c>
      <c r="C56" s="29" t="s">
        <v>63</v>
      </c>
      <c r="D56" s="29" t="s">
        <v>168</v>
      </c>
      <c r="E56" s="29" t="s">
        <v>169</v>
      </c>
      <c r="F56" s="29" t="s">
        <v>28</v>
      </c>
      <c r="G56" s="29">
        <v>1</v>
      </c>
      <c r="H56" s="31">
        <f>IF(base!F56&lt;&gt;"",VLOOKUP(F56,de_para!$A$1:$B$31,2,0)*base!G56,0)</f>
        <v>34</v>
      </c>
      <c r="I56" s="38" t="s">
        <v>19</v>
      </c>
      <c r="J56" s="29">
        <v>1</v>
      </c>
      <c r="K56" s="31">
        <f>IF(base!I56&lt;&gt;"",VLOOKUP(I56,de_para!$A$1:$B$31,2,0)*base!J56,0)</f>
        <v>7</v>
      </c>
      <c r="L56" s="38" t="s">
        <v>17</v>
      </c>
      <c r="M56" s="29">
        <v>6</v>
      </c>
      <c r="N56" s="31">
        <f>IF(base!L56&lt;&gt;"",VLOOKUP(L56,de_para!$A$1:$B$31,2,0)*base!M56,0)</f>
        <v>48</v>
      </c>
      <c r="O56" s="38"/>
      <c r="P56" s="29"/>
      <c r="Q56" s="31">
        <f>IF(base!O56&lt;&gt;"",VLOOKUP(O56,de_para!$A$1:$B$31,2,0)*base!P56,0)</f>
        <v>0</v>
      </c>
      <c r="R56" s="38"/>
      <c r="S56" s="29"/>
      <c r="T56" s="31">
        <f>IF(base!R56&lt;&gt;"",VLOOKUP(R56,de_para!$A$1:$B$31,2,0)*base!S56,0)</f>
        <v>0</v>
      </c>
      <c r="U56" s="30">
        <f t="shared" si="2"/>
        <v>89</v>
      </c>
    </row>
    <row r="57" spans="1:21" x14ac:dyDescent="0.35">
      <c r="A57" s="40">
        <v>45680</v>
      </c>
      <c r="B57" s="29" t="s">
        <v>59</v>
      </c>
      <c r="C57" s="29" t="s">
        <v>64</v>
      </c>
      <c r="D57" s="29" t="s">
        <v>99</v>
      </c>
      <c r="E57" s="29" t="s">
        <v>107</v>
      </c>
      <c r="F57" s="29" t="s">
        <v>57</v>
      </c>
      <c r="G57" s="29">
        <v>50</v>
      </c>
      <c r="H57" s="31">
        <f>IF(base!F57&lt;&gt;"",VLOOKUP(F57,de_para!$A$1:$B$31,2,0)*base!G57,0)</f>
        <v>17.5</v>
      </c>
      <c r="I57" s="38"/>
      <c r="J57" s="29"/>
      <c r="K57" s="31">
        <f>IF(base!I57&lt;&gt;"",VLOOKUP(I57,de_para!$A$1:$B$31,2,0)*base!J57,0)</f>
        <v>0</v>
      </c>
      <c r="L57" s="38"/>
      <c r="M57" s="29"/>
      <c r="N57" s="31">
        <f>IF(base!L57&lt;&gt;"",VLOOKUP(L57,de_para!$A$1:$B$31,2,0)*base!M57,0)</f>
        <v>0</v>
      </c>
      <c r="O57" s="38"/>
      <c r="P57" s="29"/>
      <c r="Q57" s="31">
        <f>IF(base!O57&lt;&gt;"",VLOOKUP(O57,de_para!$A$1:$B$31,2,0)*base!P57,0)</f>
        <v>0</v>
      </c>
      <c r="R57" s="38"/>
      <c r="S57" s="29"/>
      <c r="T57" s="31">
        <f>IF(base!R57&lt;&gt;"",VLOOKUP(R57,de_para!$A$1:$B$31,2,0)*base!S57,0)</f>
        <v>0</v>
      </c>
      <c r="U57" s="30">
        <f t="shared" si="2"/>
        <v>17.5</v>
      </c>
    </row>
    <row r="58" spans="1:21" x14ac:dyDescent="0.35">
      <c r="A58" s="40">
        <v>45680</v>
      </c>
      <c r="B58" s="29" t="s">
        <v>59</v>
      </c>
      <c r="C58" s="29" t="s">
        <v>64</v>
      </c>
      <c r="D58" s="29" t="s">
        <v>99</v>
      </c>
      <c r="E58" s="29" t="s">
        <v>170</v>
      </c>
      <c r="F58" s="29" t="s">
        <v>28</v>
      </c>
      <c r="G58" s="29">
        <v>1</v>
      </c>
      <c r="H58" s="31">
        <f>IF(base!F58&lt;&gt;"",VLOOKUP(F58,de_para!$A$1:$B$31,2,0)*base!G58,0)</f>
        <v>34</v>
      </c>
      <c r="I58" s="38" t="s">
        <v>19</v>
      </c>
      <c r="J58" s="29">
        <v>1</v>
      </c>
      <c r="K58" s="31">
        <f>IF(base!I58&lt;&gt;"",VLOOKUP(I58,de_para!$A$1:$B$31,2,0)*base!J58,0)</f>
        <v>7</v>
      </c>
      <c r="L58" s="38" t="s">
        <v>17</v>
      </c>
      <c r="M58" s="29">
        <v>6</v>
      </c>
      <c r="N58" s="31">
        <f>IF(base!L58&lt;&gt;"",VLOOKUP(L58,de_para!$A$1:$B$31,2,0)*base!M58,0)</f>
        <v>48</v>
      </c>
      <c r="O58" s="38" t="s">
        <v>22</v>
      </c>
      <c r="P58" s="29">
        <v>70</v>
      </c>
      <c r="Q58" s="31">
        <f>IF(base!O58&lt;&gt;"",VLOOKUP(O58,de_para!$A$1:$B$31,2,0)*base!P58,0)</f>
        <v>70</v>
      </c>
      <c r="R58" s="38"/>
      <c r="S58" s="29"/>
      <c r="T58" s="31">
        <f>IF(base!R58&lt;&gt;"",VLOOKUP(R58,de_para!$A$1:$B$31,2,0)*base!S58,0)</f>
        <v>0</v>
      </c>
      <c r="U58" s="30">
        <f t="shared" si="2"/>
        <v>159</v>
      </c>
    </row>
    <row r="59" spans="1:21" x14ac:dyDescent="0.35">
      <c r="A59" s="40">
        <v>45681</v>
      </c>
      <c r="B59" s="29" t="s">
        <v>59</v>
      </c>
      <c r="C59" s="29" t="s">
        <v>64</v>
      </c>
      <c r="D59" s="29" t="s">
        <v>100</v>
      </c>
      <c r="E59" s="29" t="s">
        <v>171</v>
      </c>
      <c r="F59" s="29" t="s">
        <v>28</v>
      </c>
      <c r="G59" s="29">
        <v>1</v>
      </c>
      <c r="H59" s="31">
        <f>IF(base!F59&lt;&gt;"",VLOOKUP(F59,de_para!$A$1:$B$31,2,0)*base!G59,0)</f>
        <v>34</v>
      </c>
      <c r="I59" s="38" t="s">
        <v>19</v>
      </c>
      <c r="J59" s="29">
        <v>1</v>
      </c>
      <c r="K59" s="31">
        <f>IF(base!I59&lt;&gt;"",VLOOKUP(I59,de_para!$A$1:$B$31,2,0)*base!J59,0)</f>
        <v>7</v>
      </c>
      <c r="L59" s="38" t="s">
        <v>17</v>
      </c>
      <c r="M59" s="29">
        <v>12</v>
      </c>
      <c r="N59" s="31">
        <f>IF(base!L59&lt;&gt;"",VLOOKUP(L59,de_para!$A$1:$B$31,2,0)*base!M59,0)</f>
        <v>96</v>
      </c>
      <c r="O59" s="38"/>
      <c r="P59" s="29"/>
      <c r="Q59" s="31">
        <f>IF(base!O59&lt;&gt;"",VLOOKUP(O59,de_para!$A$1:$B$31,2,0)*base!P59,0)</f>
        <v>0</v>
      </c>
      <c r="R59" s="38"/>
      <c r="S59" s="29"/>
      <c r="T59" s="31">
        <f>IF(base!R59&lt;&gt;"",VLOOKUP(R59,de_para!$A$1:$B$31,2,0)*base!S59,0)</f>
        <v>0</v>
      </c>
      <c r="U59" s="30">
        <f t="shared" si="2"/>
        <v>137</v>
      </c>
    </row>
    <row r="60" spans="1:21" x14ac:dyDescent="0.35">
      <c r="A60" s="40">
        <v>45681</v>
      </c>
      <c r="B60" s="29" t="s">
        <v>59</v>
      </c>
      <c r="C60" s="29" t="s">
        <v>66</v>
      </c>
      <c r="D60" s="29" t="s">
        <v>172</v>
      </c>
      <c r="E60" s="29" t="s">
        <v>173</v>
      </c>
      <c r="F60" s="29" t="s">
        <v>37</v>
      </c>
      <c r="G60" s="29">
        <v>1</v>
      </c>
      <c r="H60" s="31">
        <f>IF(base!F60&lt;&gt;"",VLOOKUP(F60,de_para!$A$1:$B$31,2,0)*base!G60,0)</f>
        <v>20</v>
      </c>
      <c r="I60" s="38"/>
      <c r="J60" s="29"/>
      <c r="K60" s="31">
        <f>IF(base!I60&lt;&gt;"",VLOOKUP(I60,de_para!$A$1:$B$31,2,0)*base!J60,0)</f>
        <v>0</v>
      </c>
      <c r="L60" s="38"/>
      <c r="M60" s="29"/>
      <c r="N60" s="31">
        <f>IF(base!L60&lt;&gt;"",VLOOKUP(L60,de_para!$A$1:$B$31,2,0)*base!M60,0)</f>
        <v>0</v>
      </c>
      <c r="O60" s="38"/>
      <c r="P60" s="29"/>
      <c r="Q60" s="31">
        <f>IF(base!O60&lt;&gt;"",VLOOKUP(O60,de_para!$A$1:$B$31,2,0)*base!P60,0)</f>
        <v>0</v>
      </c>
      <c r="R60" s="38"/>
      <c r="S60" s="29"/>
      <c r="T60" s="31">
        <f>IF(base!R60&lt;&gt;"",VLOOKUP(R60,de_para!$A$1:$B$31,2,0)*base!S60,0)</f>
        <v>0</v>
      </c>
      <c r="U60" s="30">
        <f t="shared" si="2"/>
        <v>20</v>
      </c>
    </row>
    <row r="61" spans="1:21" x14ac:dyDescent="0.35">
      <c r="A61" s="40">
        <v>45681</v>
      </c>
      <c r="B61" s="29" t="s">
        <v>59</v>
      </c>
      <c r="C61" s="29" t="s">
        <v>66</v>
      </c>
      <c r="D61" s="29" t="s">
        <v>174</v>
      </c>
      <c r="E61" s="29" t="s">
        <v>175</v>
      </c>
      <c r="F61" s="29" t="s">
        <v>37</v>
      </c>
      <c r="G61" s="29">
        <v>1</v>
      </c>
      <c r="H61" s="31">
        <f>IF(base!F61&lt;&gt;"",VLOOKUP(F61,de_para!$A$1:$B$31,2,0)*base!G61,0)</f>
        <v>20</v>
      </c>
      <c r="I61" s="38"/>
      <c r="J61" s="29"/>
      <c r="K61" s="31">
        <f>IF(base!I61&lt;&gt;"",VLOOKUP(I61,de_para!$A$1:$B$31,2,0)*base!J61,0)</f>
        <v>0</v>
      </c>
      <c r="L61" s="38"/>
      <c r="M61" s="29"/>
      <c r="N61" s="31">
        <f>IF(base!L61&lt;&gt;"",VLOOKUP(L61,de_para!$A$1:$B$31,2,0)*base!M61,0)</f>
        <v>0</v>
      </c>
      <c r="O61" s="38"/>
      <c r="P61" s="29"/>
      <c r="Q61" s="31">
        <f>IF(base!O61&lt;&gt;"",VLOOKUP(O61,de_para!$A$1:$B$31,2,0)*base!P61,0)</f>
        <v>0</v>
      </c>
      <c r="R61" s="38"/>
      <c r="S61" s="29"/>
      <c r="T61" s="31">
        <f>IF(base!R61&lt;&gt;"",VLOOKUP(R61,de_para!$A$1:$B$31,2,0)*base!S61,0)</f>
        <v>0</v>
      </c>
      <c r="U61" s="30">
        <f t="shared" si="2"/>
        <v>20</v>
      </c>
    </row>
    <row r="62" spans="1:21" x14ac:dyDescent="0.35">
      <c r="A62" s="40">
        <v>45681</v>
      </c>
      <c r="B62" s="29" t="s">
        <v>59</v>
      </c>
      <c r="C62" s="29" t="s">
        <v>66</v>
      </c>
      <c r="D62" s="29" t="s">
        <v>101</v>
      </c>
      <c r="E62" s="29" t="s">
        <v>113</v>
      </c>
      <c r="F62" s="29" t="s">
        <v>57</v>
      </c>
      <c r="G62" s="29">
        <v>100</v>
      </c>
      <c r="H62" s="31">
        <f>IF(base!F62&lt;&gt;"",VLOOKUP(F62,de_para!$A$1:$B$31,2,0)*base!G62,0)</f>
        <v>35</v>
      </c>
      <c r="I62" s="38"/>
      <c r="J62" s="29"/>
      <c r="K62" s="31">
        <f>IF(base!I62&lt;&gt;"",VLOOKUP(I62,de_para!$A$1:$B$31,2,0)*base!J62,0)</f>
        <v>0</v>
      </c>
      <c r="L62" s="38"/>
      <c r="M62" s="29"/>
      <c r="N62" s="31">
        <f>IF(base!L62&lt;&gt;"",VLOOKUP(L62,de_para!$A$1:$B$31,2,0)*base!M62,0)</f>
        <v>0</v>
      </c>
      <c r="O62" s="38"/>
      <c r="P62" s="29"/>
      <c r="Q62" s="31">
        <f>IF(base!O62&lt;&gt;"",VLOOKUP(O62,de_para!$A$1:$B$31,2,0)*base!P62,0)</f>
        <v>0</v>
      </c>
      <c r="R62" s="38"/>
      <c r="S62" s="29"/>
      <c r="T62" s="31">
        <f>IF(base!R62&lt;&gt;"",VLOOKUP(R62,de_para!$A$1:$B$31,2,0)*base!S62,0)</f>
        <v>0</v>
      </c>
      <c r="U62" s="30">
        <f t="shared" si="2"/>
        <v>35</v>
      </c>
    </row>
    <row r="63" spans="1:21" x14ac:dyDescent="0.35">
      <c r="A63" s="40">
        <v>45682</v>
      </c>
      <c r="B63" s="29" t="s">
        <v>59</v>
      </c>
      <c r="C63" s="29" t="s">
        <v>63</v>
      </c>
      <c r="D63" s="29" t="s">
        <v>176</v>
      </c>
      <c r="E63" s="29" t="s">
        <v>177</v>
      </c>
      <c r="F63" s="29" t="s">
        <v>28</v>
      </c>
      <c r="G63" s="29">
        <v>1</v>
      </c>
      <c r="H63" s="31">
        <f>IF(base!F63&lt;&gt;"",VLOOKUP(F63,de_para!$A$1:$B$31,2,0)*base!G63,0)</f>
        <v>34</v>
      </c>
      <c r="I63" s="38" t="s">
        <v>19</v>
      </c>
      <c r="J63" s="29">
        <v>2</v>
      </c>
      <c r="K63" s="31">
        <f>IF(base!I63&lt;&gt;"",VLOOKUP(I63,de_para!$A$1:$B$31,2,0)*base!J63,0)</f>
        <v>14</v>
      </c>
      <c r="L63" s="38" t="s">
        <v>17</v>
      </c>
      <c r="M63" s="29">
        <v>6</v>
      </c>
      <c r="N63" s="31">
        <f>IF(base!L63&lt;&gt;"",VLOOKUP(L63,de_para!$A$1:$B$31,2,0)*base!M63,0)</f>
        <v>48</v>
      </c>
      <c r="O63" s="38"/>
      <c r="P63" s="29"/>
      <c r="Q63" s="31">
        <f>IF(base!O63&lt;&gt;"",VLOOKUP(O63,de_para!$A$1:$B$31,2,0)*base!P63,0)</f>
        <v>0</v>
      </c>
      <c r="R63" s="38"/>
      <c r="S63" s="29"/>
      <c r="T63" s="31">
        <f>IF(base!R63&lt;&gt;"",VLOOKUP(R63,de_para!$A$1:$B$31,2,0)*base!S63,0)</f>
        <v>0</v>
      </c>
      <c r="U63" s="30">
        <f t="shared" si="2"/>
        <v>96</v>
      </c>
    </row>
    <row r="64" spans="1:21" x14ac:dyDescent="0.35">
      <c r="A64" s="40">
        <v>45682</v>
      </c>
      <c r="B64" s="29" t="s">
        <v>59</v>
      </c>
      <c r="C64" s="29" t="s">
        <v>63</v>
      </c>
      <c r="D64" s="29" t="s">
        <v>176</v>
      </c>
      <c r="E64" s="29" t="s">
        <v>178</v>
      </c>
      <c r="F64" s="29" t="s">
        <v>37</v>
      </c>
      <c r="G64" s="29">
        <v>1</v>
      </c>
      <c r="H64" s="31">
        <f>IF(base!F64&lt;&gt;"",VLOOKUP(F64,de_para!$A$1:$B$31,2,0)*base!G64,0)</f>
        <v>20</v>
      </c>
      <c r="I64" s="38"/>
      <c r="J64" s="29"/>
      <c r="K64" s="31">
        <f>IF(base!I64&lt;&gt;"",VLOOKUP(I64,de_para!$A$1:$B$31,2,0)*base!J64,0)</f>
        <v>0</v>
      </c>
      <c r="L64" s="38"/>
      <c r="M64" s="29"/>
      <c r="N64" s="31">
        <f>IF(base!L64&lt;&gt;"",VLOOKUP(L64,de_para!$A$1:$B$31,2,0)*base!M64,0)</f>
        <v>0</v>
      </c>
      <c r="O64" s="38"/>
      <c r="P64" s="29"/>
      <c r="Q64" s="31">
        <f>IF(base!O64&lt;&gt;"",VLOOKUP(O64,de_para!$A$1:$B$31,2,0)*base!P64,0)</f>
        <v>0</v>
      </c>
      <c r="R64" s="38"/>
      <c r="S64" s="29"/>
      <c r="T64" s="31">
        <f>IF(base!R64&lt;&gt;"",VLOOKUP(R64,de_para!$A$1:$B$31,2,0)*base!S64,0)</f>
        <v>0</v>
      </c>
      <c r="U64" s="30">
        <f t="shared" si="2"/>
        <v>20</v>
      </c>
    </row>
    <row r="65" spans="1:21" x14ac:dyDescent="0.35">
      <c r="A65" s="40">
        <v>45682</v>
      </c>
      <c r="B65" s="29" t="s">
        <v>59</v>
      </c>
      <c r="C65" s="29" t="s">
        <v>66</v>
      </c>
      <c r="D65" s="29" t="s">
        <v>179</v>
      </c>
      <c r="E65" s="29" t="s">
        <v>180</v>
      </c>
      <c r="F65" s="29" t="s">
        <v>28</v>
      </c>
      <c r="G65" s="29">
        <v>1</v>
      </c>
      <c r="H65" s="31">
        <f>IF(base!F65&lt;&gt;"",VLOOKUP(F65,de_para!$A$1:$B$31,2,0)*base!G65,0)</f>
        <v>34</v>
      </c>
      <c r="I65" s="38" t="s">
        <v>17</v>
      </c>
      <c r="J65" s="29">
        <v>1</v>
      </c>
      <c r="K65" s="31">
        <f>IF(base!I65&lt;&gt;"",VLOOKUP(I65,de_para!$A$1:$B$31,2,0)*base!J65,0)</f>
        <v>8</v>
      </c>
      <c r="L65" s="38"/>
      <c r="M65" s="29"/>
      <c r="N65" s="31">
        <f>IF(base!L65&lt;&gt;"",VLOOKUP(L65,de_para!$A$1:$B$31,2,0)*base!M65,0)</f>
        <v>0</v>
      </c>
      <c r="O65" s="38"/>
      <c r="P65" s="29"/>
      <c r="Q65" s="31">
        <f>IF(base!O65&lt;&gt;"",VLOOKUP(O65,de_para!$A$1:$B$31,2,0)*base!P65,0)</f>
        <v>0</v>
      </c>
      <c r="R65" s="38"/>
      <c r="S65" s="29"/>
      <c r="T65" s="31">
        <f>IF(base!R65&lt;&gt;"",VLOOKUP(R65,de_para!$A$1:$B$31,2,0)*base!S65,0)</f>
        <v>0</v>
      </c>
      <c r="U65" s="30">
        <f t="shared" si="2"/>
        <v>42</v>
      </c>
    </row>
    <row r="66" spans="1:21" x14ac:dyDescent="0.35">
      <c r="A66" s="40">
        <v>45682</v>
      </c>
      <c r="B66" s="29" t="s">
        <v>59</v>
      </c>
      <c r="C66" s="29" t="s">
        <v>66</v>
      </c>
      <c r="D66" s="29" t="s">
        <v>181</v>
      </c>
      <c r="E66" s="29" t="s">
        <v>182</v>
      </c>
      <c r="F66" s="29" t="s">
        <v>28</v>
      </c>
      <c r="G66" s="29">
        <v>1</v>
      </c>
      <c r="H66" s="31">
        <f>IF(base!F66&lt;&gt;"",VLOOKUP(F66,de_para!$A$1:$B$31,2,0)*base!G66,0)</f>
        <v>34</v>
      </c>
      <c r="I66" s="38" t="s">
        <v>17</v>
      </c>
      <c r="J66" s="29">
        <v>1</v>
      </c>
      <c r="K66" s="31">
        <f>IF(base!I66&lt;&gt;"",VLOOKUP(I66,de_para!$A$1:$B$31,2,0)*base!J66,0)</f>
        <v>8</v>
      </c>
      <c r="L66" s="38"/>
      <c r="M66" s="29"/>
      <c r="N66" s="31">
        <f>IF(base!L66&lt;&gt;"",VLOOKUP(L66,de_para!$A$1:$B$31,2,0)*base!M66,0)</f>
        <v>0</v>
      </c>
      <c r="O66" s="38"/>
      <c r="P66" s="29"/>
      <c r="Q66" s="31">
        <f>IF(base!O66&lt;&gt;"",VLOOKUP(O66,de_para!$A$1:$B$31,2,0)*base!P66,0)</f>
        <v>0</v>
      </c>
      <c r="R66" s="38"/>
      <c r="S66" s="29"/>
      <c r="T66" s="31">
        <f>IF(base!R66&lt;&gt;"",VLOOKUP(R66,de_para!$A$1:$B$31,2,0)*base!S66,0)</f>
        <v>0</v>
      </c>
      <c r="U66" s="30">
        <f t="shared" si="2"/>
        <v>42</v>
      </c>
    </row>
    <row r="67" spans="1:21" x14ac:dyDescent="0.35">
      <c r="A67" s="40">
        <v>45682</v>
      </c>
      <c r="B67" s="29" t="s">
        <v>59</v>
      </c>
      <c r="C67" s="29" t="s">
        <v>66</v>
      </c>
      <c r="D67" s="29" t="s">
        <v>183</v>
      </c>
      <c r="E67" s="29" t="s">
        <v>184</v>
      </c>
      <c r="F67" s="29" t="s">
        <v>28</v>
      </c>
      <c r="G67" s="29">
        <v>1</v>
      </c>
      <c r="H67" s="31">
        <f>IF(base!F67&lt;&gt;"",VLOOKUP(F67,de_para!$A$1:$B$31,2,0)*base!G67,0)</f>
        <v>34</v>
      </c>
      <c r="I67" s="38" t="s">
        <v>17</v>
      </c>
      <c r="J67" s="29">
        <v>1</v>
      </c>
      <c r="K67" s="31">
        <f>IF(base!I67&lt;&gt;"",VLOOKUP(I67,de_para!$A$1:$B$31,2,0)*base!J67,0)</f>
        <v>8</v>
      </c>
      <c r="L67" s="38" t="s">
        <v>22</v>
      </c>
      <c r="M67" s="29">
        <v>70</v>
      </c>
      <c r="N67" s="31">
        <f>IF(base!L67&lt;&gt;"",VLOOKUP(L67,de_para!$A$1:$B$31,2,0)*base!M67,0)</f>
        <v>70</v>
      </c>
      <c r="O67" s="38"/>
      <c r="P67" s="29"/>
      <c r="Q67" s="31">
        <f>IF(base!O67&lt;&gt;"",VLOOKUP(O67,de_para!$A$1:$B$31,2,0)*base!P67,0)</f>
        <v>0</v>
      </c>
      <c r="R67" s="38"/>
      <c r="S67" s="29"/>
      <c r="T67" s="31">
        <f>IF(base!R67&lt;&gt;"",VLOOKUP(R67,de_para!$A$1:$B$31,2,0)*base!S67,0)</f>
        <v>0</v>
      </c>
      <c r="U67" s="30">
        <f t="shared" si="2"/>
        <v>112</v>
      </c>
    </row>
    <row r="68" spans="1:21" x14ac:dyDescent="0.35">
      <c r="A68" s="40">
        <v>45684</v>
      </c>
      <c r="B68" s="29" t="s">
        <v>59</v>
      </c>
      <c r="C68" s="29" t="s">
        <v>63</v>
      </c>
      <c r="D68" s="29" t="s">
        <v>102</v>
      </c>
      <c r="E68" s="29" t="s">
        <v>185</v>
      </c>
      <c r="F68" s="29" t="s">
        <v>28</v>
      </c>
      <c r="G68" s="29">
        <v>1</v>
      </c>
      <c r="H68" s="31">
        <f>IF(base!F68&lt;&gt;"",VLOOKUP(F68,de_para!$A$1:$B$31,2,0)*base!G68,0)</f>
        <v>34</v>
      </c>
      <c r="I68" s="38" t="s">
        <v>19</v>
      </c>
      <c r="J68" s="29">
        <v>2</v>
      </c>
      <c r="K68" s="31">
        <f>IF(base!I68&lt;&gt;"",VLOOKUP(I68,de_para!$A$1:$B$31,2,0)*base!J68,0)</f>
        <v>14</v>
      </c>
      <c r="L68" s="38" t="s">
        <v>76</v>
      </c>
      <c r="M68" s="29">
        <v>1</v>
      </c>
      <c r="N68" s="31">
        <f>IF(base!L68&lt;&gt;"",VLOOKUP(L68,de_para!$A$1:$B$31,2,0)*base!M68,0)</f>
        <v>5</v>
      </c>
      <c r="O68" s="38" t="s">
        <v>17</v>
      </c>
      <c r="P68" s="29">
        <v>5</v>
      </c>
      <c r="Q68" s="31">
        <f>IF(base!O68&lt;&gt;"",VLOOKUP(O68,de_para!$A$1:$B$31,2,0)*base!P68,0)</f>
        <v>40</v>
      </c>
      <c r="R68" s="38"/>
      <c r="S68" s="29"/>
      <c r="T68" s="31">
        <f>IF(base!R68&lt;&gt;"",VLOOKUP(R68,de_para!$A$1:$B$31,2,0)*base!S68,0)</f>
        <v>0</v>
      </c>
      <c r="U68" s="30">
        <f t="shared" si="2"/>
        <v>93</v>
      </c>
    </row>
    <row r="69" spans="1:21" x14ac:dyDescent="0.35">
      <c r="A69" s="40">
        <v>45684</v>
      </c>
      <c r="B69" s="29" t="s">
        <v>59</v>
      </c>
      <c r="C69" s="29" t="s">
        <v>63</v>
      </c>
      <c r="D69" s="29" t="s">
        <v>103</v>
      </c>
      <c r="E69" s="29" t="s">
        <v>113</v>
      </c>
      <c r="F69" s="29" t="s">
        <v>57</v>
      </c>
      <c r="G69" s="29">
        <v>150</v>
      </c>
      <c r="H69" s="31">
        <f>IF(base!F69&lt;&gt;"",VLOOKUP(F69,de_para!$A$1:$B$31,2,0)*base!G69,0)</f>
        <v>52.5</v>
      </c>
      <c r="I69" s="38"/>
      <c r="J69" s="29"/>
      <c r="K69" s="31">
        <f>IF(base!I69&lt;&gt;"",VLOOKUP(I69,de_para!$A$1:$B$31,2,0)*base!J69,0)</f>
        <v>0</v>
      </c>
      <c r="L69" s="38"/>
      <c r="M69" s="29"/>
      <c r="N69" s="31">
        <f>IF(base!L69&lt;&gt;"",VLOOKUP(L69,de_para!$A$1:$B$31,2,0)*base!M69,0)</f>
        <v>0</v>
      </c>
      <c r="O69" s="38"/>
      <c r="P69" s="29"/>
      <c r="Q69" s="31">
        <f>IF(base!O69&lt;&gt;"",VLOOKUP(O69,de_para!$A$1:$B$31,2,0)*base!P69,0)</f>
        <v>0</v>
      </c>
      <c r="R69" s="38"/>
      <c r="S69" s="29"/>
      <c r="T69" s="31">
        <f>IF(base!R69&lt;&gt;"",VLOOKUP(R69,de_para!$A$1:$B$31,2,0)*base!S69,0)</f>
        <v>0</v>
      </c>
      <c r="U69" s="30">
        <f t="shared" si="2"/>
        <v>52.5</v>
      </c>
    </row>
    <row r="70" spans="1:21" x14ac:dyDescent="0.35">
      <c r="A70" s="40">
        <v>45684</v>
      </c>
      <c r="B70" s="29" t="s">
        <v>59</v>
      </c>
      <c r="C70" s="29" t="s">
        <v>63</v>
      </c>
      <c r="D70" s="29" t="s">
        <v>186</v>
      </c>
      <c r="E70" s="29" t="s">
        <v>187</v>
      </c>
      <c r="F70" s="29" t="s">
        <v>37</v>
      </c>
      <c r="G70" s="29">
        <v>1</v>
      </c>
      <c r="H70" s="31">
        <f>IF(base!F70&lt;&gt;"",VLOOKUP(F70,de_para!$A$1:$B$31,2,0)*base!G70,0)</f>
        <v>20</v>
      </c>
      <c r="I70" s="38"/>
      <c r="J70" s="29"/>
      <c r="K70" s="31">
        <f>IF(base!I70&lt;&gt;"",VLOOKUP(I70,de_para!$A$1:$B$31,2,0)*base!J70,0)</f>
        <v>0</v>
      </c>
      <c r="L70" s="38"/>
      <c r="M70" s="29"/>
      <c r="N70" s="31">
        <f>IF(base!L70&lt;&gt;"",VLOOKUP(L70,de_para!$A$1:$B$31,2,0)*base!M70,0)</f>
        <v>0</v>
      </c>
      <c r="O70" s="38"/>
      <c r="P70" s="29"/>
      <c r="Q70" s="31">
        <f>IF(base!O70&lt;&gt;"",VLOOKUP(O70,de_para!$A$1:$B$31,2,0)*base!P70,0)</f>
        <v>0</v>
      </c>
      <c r="R70" s="38"/>
      <c r="S70" s="29"/>
      <c r="T70" s="31">
        <f>IF(base!R70&lt;&gt;"",VLOOKUP(R70,de_para!$A$1:$B$31,2,0)*base!S70,0)</f>
        <v>0</v>
      </c>
      <c r="U70" s="30">
        <f t="shared" si="2"/>
        <v>20</v>
      </c>
    </row>
    <row r="71" spans="1:21" x14ac:dyDescent="0.35">
      <c r="A71" s="40">
        <v>45684</v>
      </c>
      <c r="B71" s="29" t="s">
        <v>59</v>
      </c>
      <c r="C71" s="29" t="s">
        <v>63</v>
      </c>
      <c r="D71" s="29" t="s">
        <v>88</v>
      </c>
      <c r="E71" s="29" t="s">
        <v>188</v>
      </c>
      <c r="F71" s="29" t="s">
        <v>28</v>
      </c>
      <c r="G71" s="29">
        <v>1</v>
      </c>
      <c r="H71" s="31">
        <f>IF(base!F71&lt;&gt;"",VLOOKUP(F71,de_para!$A$1:$B$31,2,0)*base!G71,0)</f>
        <v>34</v>
      </c>
      <c r="I71" s="38" t="s">
        <v>19</v>
      </c>
      <c r="J71" s="29">
        <v>1</v>
      </c>
      <c r="K71" s="31">
        <f>IF(base!I71&lt;&gt;"",VLOOKUP(I71,de_para!$A$1:$B$31,2,0)*base!J71,0)</f>
        <v>7</v>
      </c>
      <c r="L71" s="38" t="s">
        <v>76</v>
      </c>
      <c r="M71" s="29">
        <v>1</v>
      </c>
      <c r="N71" s="31">
        <f>IF(base!L71&lt;&gt;"",VLOOKUP(L71,de_para!$A$1:$B$31,2,0)*base!M71,0)</f>
        <v>5</v>
      </c>
      <c r="O71" s="38" t="s">
        <v>17</v>
      </c>
      <c r="P71" s="29">
        <v>3</v>
      </c>
      <c r="Q71" s="31">
        <f>IF(base!O71&lt;&gt;"",VLOOKUP(O71,de_para!$A$1:$B$31,2,0)*base!P71,0)</f>
        <v>24</v>
      </c>
      <c r="R71" s="38"/>
      <c r="S71" s="29"/>
      <c r="T71" s="31">
        <f>IF(base!R71&lt;&gt;"",VLOOKUP(R71,de_para!$A$1:$B$31,2,0)*base!S71,0)</f>
        <v>0</v>
      </c>
      <c r="U71" s="30">
        <f t="shared" si="2"/>
        <v>70</v>
      </c>
    </row>
    <row r="72" spans="1:21" x14ac:dyDescent="0.35">
      <c r="A72" s="40">
        <v>45686</v>
      </c>
      <c r="B72" s="29" t="s">
        <v>59</v>
      </c>
      <c r="C72" s="29" t="s">
        <v>64</v>
      </c>
      <c r="D72" s="29" t="s">
        <v>189</v>
      </c>
      <c r="E72" s="29" t="s">
        <v>190</v>
      </c>
      <c r="F72" s="29" t="s">
        <v>28</v>
      </c>
      <c r="G72" s="29">
        <v>1</v>
      </c>
      <c r="H72" s="31">
        <f>IF(base!F72&lt;&gt;"",VLOOKUP(F72,de_para!$A$1:$B$31,2,0)*base!G72,0)</f>
        <v>34</v>
      </c>
      <c r="I72" s="38" t="s">
        <v>19</v>
      </c>
      <c r="J72" s="29">
        <v>1</v>
      </c>
      <c r="K72" s="31">
        <f>IF(base!I72&lt;&gt;"",VLOOKUP(I72,de_para!$A$1:$B$31,2,0)*base!J72,0)</f>
        <v>7</v>
      </c>
      <c r="L72" s="38" t="s">
        <v>17</v>
      </c>
      <c r="M72" s="29">
        <v>1</v>
      </c>
      <c r="N72" s="31">
        <f>IF(base!L72&lt;&gt;"",VLOOKUP(L72,de_para!$A$1:$B$31,2,0)*base!M72,0)</f>
        <v>8</v>
      </c>
      <c r="O72" s="38"/>
      <c r="P72" s="29"/>
      <c r="Q72" s="31">
        <f>IF(base!O72&lt;&gt;"",VLOOKUP(O72,de_para!$A$1:$B$31,2,0)*base!P72,0)</f>
        <v>0</v>
      </c>
      <c r="R72" s="38"/>
      <c r="S72" s="29"/>
      <c r="T72" s="31">
        <f>IF(base!R72&lt;&gt;"",VLOOKUP(R72,de_para!$A$1:$B$31,2,0)*base!S72,0)</f>
        <v>0</v>
      </c>
      <c r="U72" s="30">
        <f t="shared" si="2"/>
        <v>49</v>
      </c>
    </row>
    <row r="73" spans="1:21" x14ac:dyDescent="0.35">
      <c r="A73" s="40">
        <v>45686</v>
      </c>
      <c r="B73" s="29" t="s">
        <v>59</v>
      </c>
      <c r="C73" s="29" t="s">
        <v>64</v>
      </c>
      <c r="D73" s="29" t="s">
        <v>191</v>
      </c>
      <c r="E73" s="29" t="s">
        <v>192</v>
      </c>
      <c r="F73" s="29" t="s">
        <v>28</v>
      </c>
      <c r="G73" s="29">
        <v>1</v>
      </c>
      <c r="H73" s="31">
        <f>IF(base!F73&lt;&gt;"",VLOOKUP(F73,de_para!$A$1:$B$31,2,0)*base!G73,0)</f>
        <v>34</v>
      </c>
      <c r="I73" s="38" t="s">
        <v>19</v>
      </c>
      <c r="J73" s="29">
        <v>1</v>
      </c>
      <c r="K73" s="31">
        <f>IF(base!I73&lt;&gt;"",VLOOKUP(I73,de_para!$A$1:$B$31,2,0)*base!J73,0)</f>
        <v>7</v>
      </c>
      <c r="L73" s="38" t="s">
        <v>17</v>
      </c>
      <c r="M73" s="29">
        <v>1</v>
      </c>
      <c r="N73" s="31">
        <f>IF(base!L73&lt;&gt;"",VLOOKUP(L73,de_para!$A$1:$B$31,2,0)*base!M73,0)</f>
        <v>8</v>
      </c>
      <c r="O73" s="38"/>
      <c r="P73" s="29"/>
      <c r="Q73" s="31">
        <f>IF(base!O73&lt;&gt;"",VLOOKUP(O73,de_para!$A$1:$B$31,2,0)*base!P73,0)</f>
        <v>0</v>
      </c>
      <c r="R73" s="38"/>
      <c r="S73" s="29"/>
      <c r="T73" s="31">
        <f>IF(base!R73&lt;&gt;"",VLOOKUP(R73,de_para!$A$1:$B$31,2,0)*base!S73,0)</f>
        <v>0</v>
      </c>
      <c r="U73" s="30">
        <f t="shared" si="2"/>
        <v>49</v>
      </c>
    </row>
    <row r="74" spans="1:21" x14ac:dyDescent="0.35">
      <c r="A74" s="40">
        <v>45686</v>
      </c>
      <c r="B74" s="29" t="s">
        <v>59</v>
      </c>
      <c r="C74" s="29" t="s">
        <v>63</v>
      </c>
      <c r="D74" s="29" t="s">
        <v>193</v>
      </c>
      <c r="E74" s="29" t="s">
        <v>194</v>
      </c>
      <c r="F74" s="29" t="s">
        <v>37</v>
      </c>
      <c r="G74" s="29">
        <v>1</v>
      </c>
      <c r="H74" s="31">
        <f>IF(base!F74&lt;&gt;"",VLOOKUP(F74,de_para!$A$1:$B$31,2,0)*base!G74,0)</f>
        <v>20</v>
      </c>
      <c r="I74" s="38" t="s">
        <v>22</v>
      </c>
      <c r="J74" s="29">
        <v>81</v>
      </c>
      <c r="K74" s="31">
        <f>IF(base!I74&lt;&gt;"",VLOOKUP(I74,de_para!$A$1:$B$31,2,0)*base!J74,0)</f>
        <v>81</v>
      </c>
      <c r="L74" s="38"/>
      <c r="M74" s="29"/>
      <c r="N74" s="31">
        <f>IF(base!L74&lt;&gt;"",VLOOKUP(L74,de_para!$A$1:$B$31,2,0)*base!M74,0)</f>
        <v>0</v>
      </c>
      <c r="O74" s="38"/>
      <c r="P74" s="29"/>
      <c r="Q74" s="31">
        <f>IF(base!O74&lt;&gt;"",VLOOKUP(O74,de_para!$A$1:$B$31,2,0)*base!P74,0)</f>
        <v>0</v>
      </c>
      <c r="R74" s="38"/>
      <c r="S74" s="29"/>
      <c r="T74" s="31">
        <f>IF(base!R74&lt;&gt;"",VLOOKUP(R74,de_para!$A$1:$B$31,2,0)*base!S74,0)</f>
        <v>0</v>
      </c>
      <c r="U74" s="30">
        <f t="shared" si="2"/>
        <v>101</v>
      </c>
    </row>
    <row r="75" spans="1:21" x14ac:dyDescent="0.35">
      <c r="A75" s="40">
        <v>45688</v>
      </c>
      <c r="B75" s="29" t="s">
        <v>59</v>
      </c>
      <c r="C75" s="29" t="s">
        <v>66</v>
      </c>
      <c r="D75" s="29" t="s">
        <v>104</v>
      </c>
      <c r="E75" s="29" t="s">
        <v>113</v>
      </c>
      <c r="F75" s="29" t="s">
        <v>57</v>
      </c>
      <c r="G75" s="29">
        <v>50</v>
      </c>
      <c r="H75" s="31">
        <f>IF(base!F75&lt;&gt;"",VLOOKUP(F75,de_para!$A$1:$B$31,2,0)*base!G75,0)</f>
        <v>17.5</v>
      </c>
      <c r="I75" s="38"/>
      <c r="J75" s="29"/>
      <c r="K75" s="31">
        <f>IF(base!I75&lt;&gt;"",VLOOKUP(I75,de_para!$A$1:$B$31,2,0)*base!J75,0)</f>
        <v>0</v>
      </c>
      <c r="L75" s="38"/>
      <c r="M75" s="29"/>
      <c r="N75" s="31">
        <f>IF(base!L75&lt;&gt;"",VLOOKUP(L75,de_para!$A$1:$B$31,2,0)*base!M75,0)</f>
        <v>0</v>
      </c>
      <c r="O75" s="38"/>
      <c r="P75" s="29"/>
      <c r="Q75" s="31">
        <f>IF(base!O75&lt;&gt;"",VLOOKUP(O75,de_para!$A$1:$B$31,2,0)*base!P75,0)</f>
        <v>0</v>
      </c>
      <c r="R75" s="38"/>
      <c r="S75" s="29"/>
      <c r="T75" s="31">
        <f>IF(base!R75&lt;&gt;"",VLOOKUP(R75,de_para!$A$1:$B$31,2,0)*base!S75,0)</f>
        <v>0</v>
      </c>
      <c r="U75" s="30">
        <f t="shared" si="2"/>
        <v>17.5</v>
      </c>
    </row>
    <row r="76" spans="1:21" x14ac:dyDescent="0.35">
      <c r="A76" s="40">
        <v>45688</v>
      </c>
      <c r="B76" s="29" t="s">
        <v>59</v>
      </c>
      <c r="C76" s="29" t="s">
        <v>66</v>
      </c>
      <c r="D76" s="29" t="s">
        <v>105</v>
      </c>
      <c r="E76" s="29" t="s">
        <v>107</v>
      </c>
      <c r="F76" s="29" t="s">
        <v>57</v>
      </c>
      <c r="G76" s="29">
        <v>50</v>
      </c>
      <c r="H76" s="31">
        <f>IF(base!F76&lt;&gt;"",VLOOKUP(F76,de_para!$A$1:$B$31,2,0)*base!G76,0)</f>
        <v>17.5</v>
      </c>
      <c r="I76" s="38"/>
      <c r="J76" s="29"/>
      <c r="K76" s="31">
        <f>IF(base!I76&lt;&gt;"",VLOOKUP(I76,de_para!$A$1:$B$31,2,0)*base!J76,0)</f>
        <v>0</v>
      </c>
      <c r="L76" s="38"/>
      <c r="M76" s="29"/>
      <c r="N76" s="31">
        <f>IF(base!L76&lt;&gt;"",VLOOKUP(L76,de_para!$A$1:$B$31,2,0)*base!M76,0)</f>
        <v>0</v>
      </c>
      <c r="O76" s="38"/>
      <c r="P76" s="29"/>
      <c r="Q76" s="31">
        <f>IF(base!O76&lt;&gt;"",VLOOKUP(O76,de_para!$A$1:$B$31,2,0)*base!P76,0)</f>
        <v>0</v>
      </c>
      <c r="R76" s="38"/>
      <c r="S76" s="29"/>
      <c r="T76" s="31">
        <f>IF(base!R76&lt;&gt;"",VLOOKUP(R76,de_para!$A$1:$B$31,2,0)*base!S76,0)</f>
        <v>0</v>
      </c>
      <c r="U76" s="30">
        <f t="shared" si="2"/>
        <v>17.5</v>
      </c>
    </row>
    <row r="77" spans="1:21" x14ac:dyDescent="0.35">
      <c r="A77" s="40">
        <v>45688</v>
      </c>
      <c r="B77" s="29" t="s">
        <v>59</v>
      </c>
      <c r="C77" s="29" t="s">
        <v>66</v>
      </c>
      <c r="D77" s="29" t="s">
        <v>195</v>
      </c>
      <c r="E77" s="29" t="s">
        <v>196</v>
      </c>
      <c r="F77" s="29" t="s">
        <v>37</v>
      </c>
      <c r="G77" s="29">
        <v>1</v>
      </c>
      <c r="H77" s="31">
        <f>IF(base!F77&lt;&gt;"",VLOOKUP(F77,de_para!$A$1:$B$31,2,0)*base!G77,0)</f>
        <v>20</v>
      </c>
      <c r="I77" s="38"/>
      <c r="J77" s="29"/>
      <c r="K77" s="31">
        <f>IF(base!I77&lt;&gt;"",VLOOKUP(I77,de_para!$A$1:$B$31,2,0)*base!J77,0)</f>
        <v>0</v>
      </c>
      <c r="L77" s="38"/>
      <c r="M77" s="29"/>
      <c r="N77" s="31">
        <f>IF(base!L77&lt;&gt;"",VLOOKUP(L77,de_para!$A$1:$B$31,2,0)*base!M77,0)</f>
        <v>0</v>
      </c>
      <c r="O77" s="38"/>
      <c r="P77" s="29"/>
      <c r="Q77" s="31">
        <f>IF(base!O77&lt;&gt;"",VLOOKUP(O77,de_para!$A$1:$B$31,2,0)*base!P77,0)</f>
        <v>0</v>
      </c>
      <c r="R77" s="38"/>
      <c r="S77" s="29"/>
      <c r="T77" s="31">
        <f>IF(base!R77&lt;&gt;"",VLOOKUP(R77,de_para!$A$1:$B$31,2,0)*base!S77,0)</f>
        <v>0</v>
      </c>
      <c r="U77" s="30">
        <f t="shared" si="2"/>
        <v>20</v>
      </c>
    </row>
    <row r="78" spans="1:21" x14ac:dyDescent="0.35">
      <c r="A78" s="40">
        <v>45688</v>
      </c>
      <c r="B78" s="29" t="s">
        <v>59</v>
      </c>
      <c r="C78" s="29" t="s">
        <v>66</v>
      </c>
      <c r="D78" s="29" t="s">
        <v>197</v>
      </c>
      <c r="E78" s="29" t="s">
        <v>198</v>
      </c>
      <c r="F78" s="29" t="s">
        <v>37</v>
      </c>
      <c r="G78" s="29">
        <v>1</v>
      </c>
      <c r="H78" s="31">
        <f>IF(base!F78&lt;&gt;"",VLOOKUP(F78,de_para!$A$1:$B$31,2,0)*base!G78,0)</f>
        <v>20</v>
      </c>
      <c r="I78" s="38" t="s">
        <v>22</v>
      </c>
      <c r="J78" s="29">
        <v>90</v>
      </c>
      <c r="K78" s="31">
        <f>IF(base!I78&lt;&gt;"",VLOOKUP(I78,de_para!$A$1:$B$31,2,0)*base!J78,0)</f>
        <v>90</v>
      </c>
      <c r="L78" s="38"/>
      <c r="M78" s="29"/>
      <c r="N78" s="31">
        <f>IF(base!L78&lt;&gt;"",VLOOKUP(L78,de_para!$A$1:$B$31,2,0)*base!M78,0)</f>
        <v>0</v>
      </c>
      <c r="O78" s="38"/>
      <c r="P78" s="29"/>
      <c r="Q78" s="31">
        <f>IF(base!O78&lt;&gt;"",VLOOKUP(O78,de_para!$A$1:$B$31,2,0)*base!P78,0)</f>
        <v>0</v>
      </c>
      <c r="R78" s="38"/>
      <c r="S78" s="29"/>
      <c r="T78" s="31">
        <f>IF(base!R78&lt;&gt;"",VLOOKUP(R78,de_para!$A$1:$B$31,2,0)*base!S78,0)</f>
        <v>0</v>
      </c>
      <c r="U78" s="30">
        <f t="shared" si="2"/>
        <v>110</v>
      </c>
    </row>
    <row r="79" spans="1:21" x14ac:dyDescent="0.35">
      <c r="A79" s="40">
        <v>45688</v>
      </c>
      <c r="B79" s="29" t="s">
        <v>59</v>
      </c>
      <c r="C79" s="29" t="s">
        <v>61</v>
      </c>
      <c r="D79" s="29" t="s">
        <v>199</v>
      </c>
      <c r="E79" s="29" t="s">
        <v>200</v>
      </c>
      <c r="F79" s="29" t="s">
        <v>37</v>
      </c>
      <c r="G79" s="29">
        <v>1</v>
      </c>
      <c r="H79" s="31">
        <f>IF(base!F79&lt;&gt;"",VLOOKUP(F79,de_para!$A$1:$B$31,2,0)*base!G79,0)</f>
        <v>20</v>
      </c>
      <c r="I79" s="38"/>
      <c r="J79" s="29"/>
      <c r="K79" s="31">
        <f>IF(base!I79&lt;&gt;"",VLOOKUP(I79,de_para!$A$1:$B$31,2,0)*base!J79,0)</f>
        <v>0</v>
      </c>
      <c r="L79" s="38"/>
      <c r="M79" s="29"/>
      <c r="N79" s="31">
        <f>IF(base!L79&lt;&gt;"",VLOOKUP(L79,de_para!$A$1:$B$31,2,0)*base!M79,0)</f>
        <v>0</v>
      </c>
      <c r="O79" s="38"/>
      <c r="P79" s="29"/>
      <c r="Q79" s="31">
        <f>IF(base!O79&lt;&gt;"",VLOOKUP(O79,de_para!$A$1:$B$31,2,0)*base!P79,0)</f>
        <v>0</v>
      </c>
      <c r="R79" s="38"/>
      <c r="S79" s="29"/>
      <c r="T79" s="31">
        <f>IF(base!R79&lt;&gt;"",VLOOKUP(R79,de_para!$A$1:$B$31,2,0)*base!S79,0)</f>
        <v>0</v>
      </c>
      <c r="U79" s="30">
        <f t="shared" si="2"/>
        <v>20</v>
      </c>
    </row>
    <row r="80" spans="1:21" x14ac:dyDescent="0.35">
      <c r="A80" s="29"/>
      <c r="B80" s="29"/>
      <c r="C80" s="29"/>
      <c r="D80" s="29"/>
      <c r="E80" s="29"/>
      <c r="F80" s="29"/>
      <c r="G80" s="29"/>
      <c r="H80" s="31">
        <f>IF(base!F80&lt;&gt;"",VLOOKUP(F80,de_para!$A$1:$B$31,2,0)*base!G80,0)</f>
        <v>0</v>
      </c>
      <c r="I80" s="38"/>
      <c r="J80" s="29"/>
      <c r="K80" s="31">
        <f>IF(base!I80&lt;&gt;"",VLOOKUP(I80,de_para!$A$1:$B$31,2,0)*base!J80,0)</f>
        <v>0</v>
      </c>
      <c r="L80" s="38"/>
      <c r="M80" s="29"/>
      <c r="N80" s="31">
        <f>IF(base!L80&lt;&gt;"",VLOOKUP(L80,de_para!$A$1:$B$31,2,0)*base!M80,0)</f>
        <v>0</v>
      </c>
      <c r="O80" s="38"/>
      <c r="P80" s="29"/>
      <c r="Q80" s="31">
        <f>IF(base!O80&lt;&gt;"",VLOOKUP(O80,de_para!$A$1:$B$31,2,0)*base!P80,0)</f>
        <v>0</v>
      </c>
      <c r="R80" s="38"/>
      <c r="S80" s="29"/>
      <c r="T80" s="31">
        <f>IF(base!R80&lt;&gt;"",VLOOKUP(R80,de_para!$A$1:$B$31,2,0)*base!S80,0)</f>
        <v>0</v>
      </c>
      <c r="U80" s="30">
        <f t="shared" si="2"/>
        <v>0</v>
      </c>
    </row>
    <row r="81" spans="1:21" x14ac:dyDescent="0.35">
      <c r="A81" s="29"/>
      <c r="B81" s="29"/>
      <c r="C81" s="29"/>
      <c r="D81" s="29"/>
      <c r="E81" s="29"/>
      <c r="F81" s="29"/>
      <c r="G81" s="29"/>
      <c r="H81" s="31">
        <f>IF(base!F81&lt;&gt;"",VLOOKUP(F81,de_para!$A$1:$B$31,2,0)*base!G81,0)</f>
        <v>0</v>
      </c>
      <c r="I81" s="38"/>
      <c r="J81" s="29"/>
      <c r="K81" s="31">
        <f>IF(base!I81&lt;&gt;"",VLOOKUP(I81,de_para!$A$1:$B$31,2,0)*base!J81,0)</f>
        <v>0</v>
      </c>
      <c r="L81" s="38"/>
      <c r="M81" s="29"/>
      <c r="N81" s="31">
        <f>IF(base!L81&lt;&gt;"",VLOOKUP(L81,de_para!$A$1:$B$31,2,0)*base!M81,0)</f>
        <v>0</v>
      </c>
      <c r="O81" s="38"/>
      <c r="P81" s="29"/>
      <c r="Q81" s="31">
        <f>IF(base!O81&lt;&gt;"",VLOOKUP(O81,de_para!$A$1:$B$31,2,0)*base!P81,0)</f>
        <v>0</v>
      </c>
      <c r="R81" s="38"/>
      <c r="S81" s="29"/>
      <c r="T81" s="31">
        <f>IF(base!R81&lt;&gt;"",VLOOKUP(R81,de_para!$A$1:$B$31,2,0)*base!S81,0)</f>
        <v>0</v>
      </c>
      <c r="U81" s="30">
        <f t="shared" si="2"/>
        <v>0</v>
      </c>
    </row>
    <row r="82" spans="1:21" x14ac:dyDescent="0.35">
      <c r="A82" s="29"/>
      <c r="B82" s="29"/>
      <c r="C82" s="29"/>
      <c r="D82" s="29"/>
      <c r="E82" s="29"/>
      <c r="F82" s="29"/>
      <c r="G82" s="29"/>
      <c r="H82" s="31">
        <f>IF(base!F82&lt;&gt;"",VLOOKUP(F82,de_para!$A$1:$B$31,2,0)*base!G82,0)</f>
        <v>0</v>
      </c>
      <c r="I82" s="38"/>
      <c r="J82" s="29"/>
      <c r="K82" s="31">
        <f>IF(base!I82&lt;&gt;"",VLOOKUP(I82,de_para!$A$1:$B$31,2,0)*base!J82,0)</f>
        <v>0</v>
      </c>
      <c r="L82" s="38"/>
      <c r="M82" s="29"/>
      <c r="N82" s="31">
        <f>IF(base!L82&lt;&gt;"",VLOOKUP(L82,de_para!$A$1:$B$31,2,0)*base!M82,0)</f>
        <v>0</v>
      </c>
      <c r="O82" s="38"/>
      <c r="P82" s="29"/>
      <c r="Q82" s="31">
        <f>IF(base!O82&lt;&gt;"",VLOOKUP(O82,de_para!$A$1:$B$31,2,0)*base!P82,0)</f>
        <v>0</v>
      </c>
      <c r="R82" s="38"/>
      <c r="S82" s="29"/>
      <c r="T82" s="31">
        <f>IF(base!R82&lt;&gt;"",VLOOKUP(R82,de_para!$A$1:$B$31,2,0)*base!S82,0)</f>
        <v>0</v>
      </c>
      <c r="U82" s="30">
        <f t="shared" si="2"/>
        <v>0</v>
      </c>
    </row>
    <row r="83" spans="1:21" x14ac:dyDescent="0.35">
      <c r="A83" s="29"/>
      <c r="B83" s="29"/>
      <c r="C83" s="29"/>
      <c r="D83" s="29"/>
      <c r="E83" s="29"/>
      <c r="F83" s="29"/>
      <c r="G83" s="29"/>
      <c r="H83" s="31">
        <f>IF(base!F83&lt;&gt;"",VLOOKUP(F83,de_para!$A$1:$B$31,2,0)*base!G83,0)</f>
        <v>0</v>
      </c>
      <c r="I83" s="38"/>
      <c r="J83" s="29"/>
      <c r="K83" s="31">
        <f>IF(base!I83&lt;&gt;"",VLOOKUP(I83,de_para!$A$1:$B$31,2,0)*base!J83,0)</f>
        <v>0</v>
      </c>
      <c r="L83" s="38"/>
      <c r="M83" s="29"/>
      <c r="N83" s="31">
        <f>IF(base!L83&lt;&gt;"",VLOOKUP(L83,de_para!$A$1:$B$31,2,0)*base!M83,0)</f>
        <v>0</v>
      </c>
      <c r="O83" s="38"/>
      <c r="P83" s="29"/>
      <c r="Q83" s="31">
        <f>IF(base!O83&lt;&gt;"",VLOOKUP(O83,de_para!$A$1:$B$31,2,0)*base!P83,0)</f>
        <v>0</v>
      </c>
      <c r="R83" s="38"/>
      <c r="S83" s="29"/>
      <c r="T83" s="31">
        <f>IF(base!R83&lt;&gt;"",VLOOKUP(R83,de_para!$A$1:$B$31,2,0)*base!S83,0)</f>
        <v>0</v>
      </c>
      <c r="U83" s="30">
        <f t="shared" si="2"/>
        <v>0</v>
      </c>
    </row>
    <row r="84" spans="1:21" x14ac:dyDescent="0.35">
      <c r="A84" s="29"/>
      <c r="B84" s="29"/>
      <c r="C84" s="29"/>
      <c r="D84" s="29"/>
      <c r="E84" s="29"/>
      <c r="F84" s="29"/>
      <c r="G84" s="29"/>
      <c r="H84" s="31">
        <f>IF(base!F84&lt;&gt;"",VLOOKUP(F84,de_para!$A$1:$B$31,2,0)*base!G84,0)</f>
        <v>0</v>
      </c>
      <c r="I84" s="38"/>
      <c r="J84" s="29"/>
      <c r="K84" s="31">
        <f>IF(base!I84&lt;&gt;"",VLOOKUP(I84,de_para!$A$1:$B$31,2,0)*base!J84,0)</f>
        <v>0</v>
      </c>
      <c r="L84" s="38"/>
      <c r="M84" s="29"/>
      <c r="N84" s="31">
        <f>IF(base!L84&lt;&gt;"",VLOOKUP(L84,de_para!$A$1:$B$31,2,0)*base!M84,0)</f>
        <v>0</v>
      </c>
      <c r="O84" s="38"/>
      <c r="P84" s="29"/>
      <c r="Q84" s="31">
        <f>IF(base!O84&lt;&gt;"",VLOOKUP(O84,de_para!$A$1:$B$31,2,0)*base!P84,0)</f>
        <v>0</v>
      </c>
      <c r="R84" s="38"/>
      <c r="S84" s="29"/>
      <c r="T84" s="31">
        <f>IF(base!R84&lt;&gt;"",VLOOKUP(R84,de_para!$A$1:$B$31,2,0)*base!S84,0)</f>
        <v>0</v>
      </c>
      <c r="U84" s="30">
        <f t="shared" si="2"/>
        <v>0</v>
      </c>
    </row>
    <row r="85" spans="1:21" x14ac:dyDescent="0.35">
      <c r="A85" s="29"/>
      <c r="B85" s="29"/>
      <c r="C85" s="29"/>
      <c r="D85" s="29"/>
      <c r="E85" s="29"/>
      <c r="F85" s="29"/>
      <c r="G85" s="29"/>
      <c r="H85" s="31">
        <f>IF(base!F85&lt;&gt;"",VLOOKUP(F85,de_para!$A$1:$B$31,2,0)*base!G85,0)</f>
        <v>0</v>
      </c>
      <c r="I85" s="38"/>
      <c r="J85" s="29"/>
      <c r="K85" s="31">
        <f>IF(base!I85&lt;&gt;"",VLOOKUP(I85,de_para!$A$1:$B$31,2,0)*base!J85,0)</f>
        <v>0</v>
      </c>
      <c r="L85" s="38"/>
      <c r="M85" s="29"/>
      <c r="N85" s="31">
        <f>IF(base!L85&lt;&gt;"",VLOOKUP(L85,de_para!$A$1:$B$31,2,0)*base!M85,0)</f>
        <v>0</v>
      </c>
      <c r="O85" s="38"/>
      <c r="P85" s="29"/>
      <c r="Q85" s="31">
        <f>IF(base!O85&lt;&gt;"",VLOOKUP(O85,de_para!$A$1:$B$31,2,0)*base!P85,0)</f>
        <v>0</v>
      </c>
      <c r="R85" s="38"/>
      <c r="S85" s="29"/>
      <c r="T85" s="31">
        <f>IF(base!R85&lt;&gt;"",VLOOKUP(R85,de_para!$A$1:$B$31,2,0)*base!S85,0)</f>
        <v>0</v>
      </c>
      <c r="U85" s="30">
        <f t="shared" si="2"/>
        <v>0</v>
      </c>
    </row>
    <row r="86" spans="1:21" x14ac:dyDescent="0.35">
      <c r="A86" s="29"/>
      <c r="B86" s="29"/>
      <c r="C86" s="29"/>
      <c r="D86" s="29"/>
      <c r="E86" s="29"/>
      <c r="F86" s="29"/>
      <c r="G86" s="29"/>
      <c r="H86" s="31">
        <f>IF(base!F86&lt;&gt;"",VLOOKUP(F86,de_para!$A$1:$B$31,2,0)*base!G86,0)</f>
        <v>0</v>
      </c>
      <c r="I86" s="38"/>
      <c r="J86" s="29"/>
      <c r="K86" s="31">
        <f>IF(base!I86&lt;&gt;"",VLOOKUP(I86,de_para!$A$1:$B$31,2,0)*base!J86,0)</f>
        <v>0</v>
      </c>
      <c r="L86" s="38"/>
      <c r="M86" s="29"/>
      <c r="N86" s="31">
        <f>IF(base!L86&lt;&gt;"",VLOOKUP(L86,de_para!$A$1:$B$31,2,0)*base!M86,0)</f>
        <v>0</v>
      </c>
      <c r="O86" s="38"/>
      <c r="P86" s="29"/>
      <c r="Q86" s="31">
        <f>IF(base!O86&lt;&gt;"",VLOOKUP(O86,de_para!$A$1:$B$31,2,0)*base!P86,0)</f>
        <v>0</v>
      </c>
      <c r="R86" s="38"/>
      <c r="S86" s="29"/>
      <c r="T86" s="31">
        <f>IF(base!R86&lt;&gt;"",VLOOKUP(R86,de_para!$A$1:$B$31,2,0)*base!S86,0)</f>
        <v>0</v>
      </c>
      <c r="U86" s="30">
        <f t="shared" si="2"/>
        <v>0</v>
      </c>
    </row>
    <row r="87" spans="1:21" x14ac:dyDescent="0.35">
      <c r="A87" s="29"/>
      <c r="B87" s="29"/>
      <c r="C87" s="29"/>
      <c r="D87" s="29"/>
      <c r="E87" s="29"/>
      <c r="F87" s="29"/>
      <c r="G87" s="29"/>
      <c r="H87" s="31">
        <f>IF(base!F87&lt;&gt;"",VLOOKUP(F87,de_para!$A$1:$B$31,2,0)*base!G87,0)</f>
        <v>0</v>
      </c>
      <c r="I87" s="38"/>
      <c r="J87" s="29"/>
      <c r="K87" s="31">
        <f>IF(base!I87&lt;&gt;"",VLOOKUP(I87,de_para!$A$1:$B$31,2,0)*base!J87,0)</f>
        <v>0</v>
      </c>
      <c r="L87" s="38"/>
      <c r="M87" s="29"/>
      <c r="N87" s="31">
        <f>IF(base!L87&lt;&gt;"",VLOOKUP(L87,de_para!$A$1:$B$31,2,0)*base!M87,0)</f>
        <v>0</v>
      </c>
      <c r="O87" s="38"/>
      <c r="P87" s="29"/>
      <c r="Q87" s="31">
        <f>IF(base!O87&lt;&gt;"",VLOOKUP(O87,de_para!$A$1:$B$31,2,0)*base!P87,0)</f>
        <v>0</v>
      </c>
      <c r="R87" s="38"/>
      <c r="S87" s="29"/>
      <c r="T87" s="31">
        <f>IF(base!R87&lt;&gt;"",VLOOKUP(R87,de_para!$A$1:$B$31,2,0)*base!S87,0)</f>
        <v>0</v>
      </c>
      <c r="U87" s="30">
        <f t="shared" si="2"/>
        <v>0</v>
      </c>
    </row>
    <row r="88" spans="1:21" x14ac:dyDescent="0.35">
      <c r="A88" s="29"/>
      <c r="B88" s="29"/>
      <c r="C88" s="29"/>
      <c r="D88" s="29"/>
      <c r="E88" s="29"/>
      <c r="F88" s="29"/>
      <c r="G88" s="29"/>
      <c r="H88" s="31">
        <f>IF(base!F88&lt;&gt;"",VLOOKUP(F88,de_para!$A$1:$B$31,2,0)*base!G88,0)</f>
        <v>0</v>
      </c>
      <c r="I88" s="38"/>
      <c r="J88" s="29"/>
      <c r="K88" s="31">
        <f>IF(base!I88&lt;&gt;"",VLOOKUP(I88,de_para!$A$1:$B$31,2,0)*base!J88,0)</f>
        <v>0</v>
      </c>
      <c r="L88" s="38"/>
      <c r="M88" s="29"/>
      <c r="N88" s="31">
        <f>IF(base!L88&lt;&gt;"",VLOOKUP(L88,de_para!$A$1:$B$31,2,0)*base!M88,0)</f>
        <v>0</v>
      </c>
      <c r="O88" s="38"/>
      <c r="P88" s="29"/>
      <c r="Q88" s="31">
        <f>IF(base!O88&lt;&gt;"",VLOOKUP(O88,de_para!$A$1:$B$31,2,0)*base!P88,0)</f>
        <v>0</v>
      </c>
      <c r="R88" s="38"/>
      <c r="S88" s="29"/>
      <c r="T88" s="31">
        <f>IF(base!R88&lt;&gt;"",VLOOKUP(R88,de_para!$A$1:$B$31,2,0)*base!S88,0)</f>
        <v>0</v>
      </c>
      <c r="U88" s="30">
        <f t="shared" si="2"/>
        <v>0</v>
      </c>
    </row>
    <row r="89" spans="1:21" x14ac:dyDescent="0.35">
      <c r="A89" s="29"/>
      <c r="B89" s="29"/>
      <c r="C89" s="29"/>
      <c r="D89" s="29"/>
      <c r="E89" s="29"/>
      <c r="F89" s="29"/>
      <c r="G89" s="29"/>
      <c r="H89" s="31">
        <f>IF(base!F89&lt;&gt;"",VLOOKUP(F89,de_para!$A$1:$B$31,2,0)*base!G89,0)</f>
        <v>0</v>
      </c>
      <c r="I89" s="38"/>
      <c r="J89" s="29"/>
      <c r="K89" s="31">
        <f>IF(base!I89&lt;&gt;"",VLOOKUP(I89,de_para!$A$1:$B$31,2,0)*base!J89,0)</f>
        <v>0</v>
      </c>
      <c r="L89" s="38"/>
      <c r="M89" s="29"/>
      <c r="N89" s="31">
        <f>IF(base!L89&lt;&gt;"",VLOOKUP(L89,de_para!$A$1:$B$31,2,0)*base!M89,0)</f>
        <v>0</v>
      </c>
      <c r="O89" s="38"/>
      <c r="P89" s="29"/>
      <c r="Q89" s="31">
        <f>IF(base!O89&lt;&gt;"",VLOOKUP(O89,de_para!$A$1:$B$31,2,0)*base!P89,0)</f>
        <v>0</v>
      </c>
      <c r="R89" s="38"/>
      <c r="S89" s="29"/>
      <c r="T89" s="31">
        <f>IF(base!R89&lt;&gt;"",VLOOKUP(R89,de_para!$A$1:$B$31,2,0)*base!S89,0)</f>
        <v>0</v>
      </c>
      <c r="U89" s="30">
        <f t="shared" si="2"/>
        <v>0</v>
      </c>
    </row>
    <row r="90" spans="1:21" x14ac:dyDescent="0.35">
      <c r="A90" s="29"/>
      <c r="B90" s="29"/>
      <c r="C90" s="29"/>
      <c r="D90" s="29"/>
      <c r="E90" s="29"/>
      <c r="F90" s="29"/>
      <c r="G90" s="29"/>
      <c r="H90" s="31">
        <f>IF(base!F90&lt;&gt;"",VLOOKUP(F90,de_para!$A$1:$B$31,2,0)*base!G90,0)</f>
        <v>0</v>
      </c>
      <c r="I90" s="38"/>
      <c r="J90" s="29"/>
      <c r="K90" s="31">
        <f>IF(base!I90&lt;&gt;"",VLOOKUP(I90,de_para!$A$1:$B$31,2,0)*base!J90,0)</f>
        <v>0</v>
      </c>
      <c r="L90" s="38"/>
      <c r="M90" s="29"/>
      <c r="N90" s="31">
        <f>IF(base!L90&lt;&gt;"",VLOOKUP(L90,de_para!$A$1:$B$31,2,0)*base!M90,0)</f>
        <v>0</v>
      </c>
      <c r="O90" s="38"/>
      <c r="P90" s="29"/>
      <c r="Q90" s="31">
        <f>IF(base!O90&lt;&gt;"",VLOOKUP(O90,de_para!$A$1:$B$31,2,0)*base!P90,0)</f>
        <v>0</v>
      </c>
      <c r="R90" s="38"/>
      <c r="S90" s="29"/>
      <c r="T90" s="31">
        <f>IF(base!R90&lt;&gt;"",VLOOKUP(R90,de_para!$A$1:$B$31,2,0)*base!S90,0)</f>
        <v>0</v>
      </c>
      <c r="U90" s="30">
        <f t="shared" si="2"/>
        <v>0</v>
      </c>
    </row>
    <row r="91" spans="1:21" x14ac:dyDescent="0.35">
      <c r="A91" s="29"/>
      <c r="B91" s="29"/>
      <c r="C91" s="29"/>
      <c r="D91" s="29"/>
      <c r="E91" s="29"/>
      <c r="F91" s="29"/>
      <c r="G91" s="29"/>
      <c r="H91" s="31">
        <f>IF(base!F91&lt;&gt;"",VLOOKUP(F91,de_para!$A$1:$B$31,2,0)*base!G91,0)</f>
        <v>0</v>
      </c>
      <c r="I91" s="38"/>
      <c r="J91" s="29"/>
      <c r="K91" s="31">
        <f>IF(base!I91&lt;&gt;"",VLOOKUP(I91,de_para!$A$1:$B$31,2,0)*base!J91,0)</f>
        <v>0</v>
      </c>
      <c r="L91" s="38"/>
      <c r="M91" s="29"/>
      <c r="N91" s="31">
        <f>IF(base!L91&lt;&gt;"",VLOOKUP(L91,de_para!$A$1:$B$31,2,0)*base!M91,0)</f>
        <v>0</v>
      </c>
      <c r="O91" s="38"/>
      <c r="P91" s="29"/>
      <c r="Q91" s="31">
        <f>IF(base!O91&lt;&gt;"",VLOOKUP(O91,de_para!$A$1:$B$31,2,0)*base!P91,0)</f>
        <v>0</v>
      </c>
      <c r="R91" s="38"/>
      <c r="S91" s="29"/>
      <c r="T91" s="31">
        <f>IF(base!R91&lt;&gt;"",VLOOKUP(R91,de_para!$A$1:$B$31,2,0)*base!S91,0)</f>
        <v>0</v>
      </c>
      <c r="U91" s="30">
        <f t="shared" si="2"/>
        <v>0</v>
      </c>
    </row>
    <row r="92" spans="1:21" x14ac:dyDescent="0.35">
      <c r="A92" s="29"/>
      <c r="B92" s="29"/>
      <c r="C92" s="29"/>
      <c r="D92" s="29"/>
      <c r="E92" s="29"/>
      <c r="F92" s="29"/>
      <c r="G92" s="29"/>
      <c r="H92" s="31">
        <f>IF(base!F92&lt;&gt;"",VLOOKUP(F92,de_para!$A$1:$B$31,2,0)*base!G92,0)</f>
        <v>0</v>
      </c>
      <c r="I92" s="38"/>
      <c r="J92" s="29"/>
      <c r="K92" s="31">
        <f>IF(base!I92&lt;&gt;"",VLOOKUP(I92,de_para!$A$1:$B$31,2,0)*base!J92,0)</f>
        <v>0</v>
      </c>
      <c r="L92" s="38"/>
      <c r="M92" s="29"/>
      <c r="N92" s="31">
        <f>IF(base!L92&lt;&gt;"",VLOOKUP(L92,de_para!$A$1:$B$31,2,0)*base!M92,0)</f>
        <v>0</v>
      </c>
      <c r="O92" s="38"/>
      <c r="P92" s="29"/>
      <c r="Q92" s="31">
        <f>IF(base!O92&lt;&gt;"",VLOOKUP(O92,de_para!$A$1:$B$31,2,0)*base!P92,0)</f>
        <v>0</v>
      </c>
      <c r="R92" s="38"/>
      <c r="S92" s="29"/>
      <c r="T92" s="31">
        <f>IF(base!R92&lt;&gt;"",VLOOKUP(R92,de_para!$A$1:$B$31,2,0)*base!S92,0)</f>
        <v>0</v>
      </c>
      <c r="U92" s="30">
        <f t="shared" si="2"/>
        <v>0</v>
      </c>
    </row>
    <row r="93" spans="1:21" x14ac:dyDescent="0.35">
      <c r="A93" s="29"/>
      <c r="B93" s="29"/>
      <c r="C93" s="29"/>
      <c r="D93" s="29"/>
      <c r="E93" s="29"/>
      <c r="F93" s="29"/>
      <c r="G93" s="29"/>
      <c r="H93" s="31">
        <f>IF(base!F93&lt;&gt;"",VLOOKUP(F93,de_para!$A$1:$B$31,2,0)*base!G93,0)</f>
        <v>0</v>
      </c>
      <c r="I93" s="38"/>
      <c r="J93" s="29"/>
      <c r="K93" s="31">
        <f>IF(base!I93&lt;&gt;"",VLOOKUP(I93,de_para!$A$1:$B$31,2,0)*base!J93,0)</f>
        <v>0</v>
      </c>
      <c r="L93" s="38"/>
      <c r="M93" s="29"/>
      <c r="N93" s="31">
        <f>IF(base!L93&lt;&gt;"",VLOOKUP(L93,de_para!$A$1:$B$31,2,0)*base!M93,0)</f>
        <v>0</v>
      </c>
      <c r="O93" s="38"/>
      <c r="P93" s="29"/>
      <c r="Q93" s="31">
        <f>IF(base!O93&lt;&gt;"",VLOOKUP(O93,de_para!$A$1:$B$31,2,0)*base!P93,0)</f>
        <v>0</v>
      </c>
      <c r="R93" s="38"/>
      <c r="S93" s="29"/>
      <c r="T93" s="31">
        <f>IF(base!R93&lt;&gt;"",VLOOKUP(R93,de_para!$A$1:$B$31,2,0)*base!S93,0)</f>
        <v>0</v>
      </c>
      <c r="U93" s="30">
        <f t="shared" si="2"/>
        <v>0</v>
      </c>
    </row>
    <row r="94" spans="1:21" x14ac:dyDescent="0.35">
      <c r="A94" s="29"/>
      <c r="B94" s="29"/>
      <c r="C94" s="29"/>
      <c r="D94" s="29"/>
      <c r="E94" s="29"/>
      <c r="F94" s="29"/>
      <c r="G94" s="29"/>
      <c r="H94" s="31">
        <f>IF(base!F94&lt;&gt;"",VLOOKUP(F94,de_para!$A$1:$B$31,2,0)*base!G94,0)</f>
        <v>0</v>
      </c>
      <c r="I94" s="38"/>
      <c r="J94" s="29"/>
      <c r="K94" s="31">
        <f>IF(base!I94&lt;&gt;"",VLOOKUP(I94,de_para!$A$1:$B$31,2,0)*base!J94,0)</f>
        <v>0</v>
      </c>
      <c r="L94" s="38"/>
      <c r="M94" s="29"/>
      <c r="N94" s="31">
        <f>IF(base!L94&lt;&gt;"",VLOOKUP(L94,de_para!$A$1:$B$31,2,0)*base!M94,0)</f>
        <v>0</v>
      </c>
      <c r="O94" s="38"/>
      <c r="P94" s="29"/>
      <c r="Q94" s="31">
        <f>IF(base!O94&lt;&gt;"",VLOOKUP(O94,de_para!$A$1:$B$31,2,0)*base!P94,0)</f>
        <v>0</v>
      </c>
      <c r="R94" s="38"/>
      <c r="S94" s="29"/>
      <c r="T94" s="31">
        <f>IF(base!R94&lt;&gt;"",VLOOKUP(R94,de_para!$A$1:$B$31,2,0)*base!S94,0)</f>
        <v>0</v>
      </c>
      <c r="U94" s="30">
        <f t="shared" si="2"/>
        <v>0</v>
      </c>
    </row>
    <row r="95" spans="1:21" x14ac:dyDescent="0.35">
      <c r="A95" s="29"/>
      <c r="B95" s="29"/>
      <c r="C95" s="29"/>
      <c r="D95" s="29"/>
      <c r="E95" s="29"/>
      <c r="F95" s="29"/>
      <c r="G95" s="29"/>
      <c r="H95" s="31">
        <f>IF(base!F95&lt;&gt;"",VLOOKUP(F95,de_para!$A$1:$B$31,2,0)*base!G95,0)</f>
        <v>0</v>
      </c>
      <c r="I95" s="38"/>
      <c r="J95" s="29"/>
      <c r="K95" s="31">
        <f>IF(base!I95&lt;&gt;"",VLOOKUP(I95,de_para!$A$1:$B$31,2,0)*base!J95,0)</f>
        <v>0</v>
      </c>
      <c r="L95" s="38"/>
      <c r="M95" s="29"/>
      <c r="N95" s="31">
        <f>IF(base!L95&lt;&gt;"",VLOOKUP(L95,de_para!$A$1:$B$31,2,0)*base!M95,0)</f>
        <v>0</v>
      </c>
      <c r="O95" s="38"/>
      <c r="P95" s="29"/>
      <c r="Q95" s="31">
        <f>IF(base!O95&lt;&gt;"",VLOOKUP(O95,de_para!$A$1:$B$31,2,0)*base!P95,0)</f>
        <v>0</v>
      </c>
      <c r="R95" s="38"/>
      <c r="S95" s="29"/>
      <c r="T95" s="31">
        <f>IF(base!R95&lt;&gt;"",VLOOKUP(R95,de_para!$A$1:$B$31,2,0)*base!S95,0)</f>
        <v>0</v>
      </c>
      <c r="U95" s="30">
        <f t="shared" si="2"/>
        <v>0</v>
      </c>
    </row>
    <row r="96" spans="1:21" x14ac:dyDescent="0.35">
      <c r="A96" s="29"/>
      <c r="B96" s="29"/>
      <c r="C96" s="29"/>
      <c r="D96" s="29"/>
      <c r="E96" s="29"/>
      <c r="F96" s="29"/>
      <c r="G96" s="29"/>
      <c r="H96" s="31">
        <f>IF(base!F96&lt;&gt;"",VLOOKUP(F96,de_para!$A$1:$B$31,2,0)*base!G96,0)</f>
        <v>0</v>
      </c>
      <c r="I96" s="38"/>
      <c r="J96" s="29"/>
      <c r="K96" s="31">
        <f>IF(base!I96&lt;&gt;"",VLOOKUP(I96,de_para!$A$1:$B$31,2,0)*base!J96,0)</f>
        <v>0</v>
      </c>
      <c r="L96" s="38"/>
      <c r="M96" s="29"/>
      <c r="N96" s="31">
        <f>IF(base!L96&lt;&gt;"",VLOOKUP(L96,de_para!$A$1:$B$31,2,0)*base!M96,0)</f>
        <v>0</v>
      </c>
      <c r="O96" s="38"/>
      <c r="P96" s="29"/>
      <c r="Q96" s="31">
        <f>IF(base!O96&lt;&gt;"",VLOOKUP(O96,de_para!$A$1:$B$31,2,0)*base!P96,0)</f>
        <v>0</v>
      </c>
      <c r="R96" s="38"/>
      <c r="S96" s="29"/>
      <c r="T96" s="31">
        <f>IF(base!R96&lt;&gt;"",VLOOKUP(R96,de_para!$A$1:$B$31,2,0)*base!S96,0)</f>
        <v>0</v>
      </c>
      <c r="U96" s="30">
        <f t="shared" si="2"/>
        <v>0</v>
      </c>
    </row>
    <row r="97" spans="1:21" x14ac:dyDescent="0.35">
      <c r="A97" s="29"/>
      <c r="B97" s="29"/>
      <c r="C97" s="29"/>
      <c r="D97" s="29"/>
      <c r="E97" s="29"/>
      <c r="F97" s="29"/>
      <c r="G97" s="29"/>
      <c r="H97" s="31">
        <f>IF(base!F97&lt;&gt;"",VLOOKUP(F97,de_para!$A$1:$B$31,2,0)*base!G97,0)</f>
        <v>0</v>
      </c>
      <c r="I97" s="38"/>
      <c r="J97" s="29"/>
      <c r="K97" s="31">
        <f>IF(base!I97&lt;&gt;"",VLOOKUP(I97,de_para!$A$1:$B$31,2,0)*base!J97,0)</f>
        <v>0</v>
      </c>
      <c r="L97" s="38"/>
      <c r="M97" s="29"/>
      <c r="N97" s="31">
        <f>IF(base!L97&lt;&gt;"",VLOOKUP(L97,de_para!$A$1:$B$31,2,0)*base!M97,0)</f>
        <v>0</v>
      </c>
      <c r="O97" s="38"/>
      <c r="P97" s="29"/>
      <c r="Q97" s="31">
        <f>IF(base!O97&lt;&gt;"",VLOOKUP(O97,de_para!$A$1:$B$31,2,0)*base!P97,0)</f>
        <v>0</v>
      </c>
      <c r="R97" s="38"/>
      <c r="S97" s="29"/>
      <c r="T97" s="31">
        <f>IF(base!R97&lt;&gt;"",VLOOKUP(R97,de_para!$A$1:$B$31,2,0)*base!S97,0)</f>
        <v>0</v>
      </c>
      <c r="U97" s="30">
        <f t="shared" si="2"/>
        <v>0</v>
      </c>
    </row>
    <row r="98" spans="1:21" x14ac:dyDescent="0.35">
      <c r="A98" s="29"/>
      <c r="B98" s="29"/>
      <c r="C98" s="29"/>
      <c r="D98" s="29"/>
      <c r="E98" s="29"/>
      <c r="F98" s="29"/>
      <c r="G98" s="29"/>
      <c r="H98" s="31">
        <f>IF(base!F98&lt;&gt;"",VLOOKUP(F98,de_para!$A$1:$B$31,2,0)*base!G98,0)</f>
        <v>0</v>
      </c>
      <c r="I98" s="38"/>
      <c r="J98" s="29"/>
      <c r="K98" s="31">
        <f>IF(base!I98&lt;&gt;"",VLOOKUP(I98,de_para!$A$1:$B$31,2,0)*base!J98,0)</f>
        <v>0</v>
      </c>
      <c r="L98" s="38"/>
      <c r="M98" s="29"/>
      <c r="N98" s="31">
        <f>IF(base!L98&lt;&gt;"",VLOOKUP(L98,de_para!$A$1:$B$31,2,0)*base!M98,0)</f>
        <v>0</v>
      </c>
      <c r="O98" s="38"/>
      <c r="P98" s="29"/>
      <c r="Q98" s="31">
        <f>IF(base!O98&lt;&gt;"",VLOOKUP(O98,de_para!$A$1:$B$31,2,0)*base!P98,0)</f>
        <v>0</v>
      </c>
      <c r="R98" s="38"/>
      <c r="S98" s="29"/>
      <c r="T98" s="31">
        <f>IF(base!R98&lt;&gt;"",VLOOKUP(R98,de_para!$A$1:$B$31,2,0)*base!S98,0)</f>
        <v>0</v>
      </c>
      <c r="U98" s="30">
        <f t="shared" si="2"/>
        <v>0</v>
      </c>
    </row>
    <row r="99" spans="1:21" x14ac:dyDescent="0.35">
      <c r="A99" s="29"/>
      <c r="B99" s="29"/>
      <c r="C99" s="29"/>
      <c r="D99" s="29"/>
      <c r="E99" s="29"/>
      <c r="F99" s="29"/>
      <c r="G99" s="29"/>
      <c r="H99" s="31">
        <f>IF(base!F99&lt;&gt;"",VLOOKUP(F99,de_para!$A$1:$B$31,2,0)*base!G99,0)</f>
        <v>0</v>
      </c>
      <c r="I99" s="38"/>
      <c r="J99" s="29"/>
      <c r="K99" s="31">
        <f>IF(base!I99&lt;&gt;"",VLOOKUP(I99,de_para!$A$1:$B$31,2,0)*base!J99,0)</f>
        <v>0</v>
      </c>
      <c r="L99" s="38"/>
      <c r="M99" s="29"/>
      <c r="N99" s="31">
        <f>IF(base!L99&lt;&gt;"",VLOOKUP(L99,de_para!$A$1:$B$31,2,0)*base!M99,0)</f>
        <v>0</v>
      </c>
      <c r="O99" s="38"/>
      <c r="P99" s="29"/>
      <c r="Q99" s="31">
        <f>IF(base!O99&lt;&gt;"",VLOOKUP(O99,de_para!$A$1:$B$31,2,0)*base!P99,0)</f>
        <v>0</v>
      </c>
      <c r="R99" s="38"/>
      <c r="S99" s="29"/>
      <c r="T99" s="31">
        <f>IF(base!R99&lt;&gt;"",VLOOKUP(R99,de_para!$A$1:$B$31,2,0)*base!S99,0)</f>
        <v>0</v>
      </c>
      <c r="U99" s="30">
        <f t="shared" si="2"/>
        <v>0</v>
      </c>
    </row>
    <row r="100" spans="1:21" x14ac:dyDescent="0.35">
      <c r="A100" s="29"/>
      <c r="B100" s="29"/>
      <c r="C100" s="29"/>
      <c r="D100" s="29"/>
      <c r="E100" s="29"/>
      <c r="F100" s="29"/>
      <c r="G100" s="29"/>
      <c r="H100" s="31">
        <f>IF(base!F100&lt;&gt;"",VLOOKUP(F100,de_para!$A$1:$B$31,2,0)*base!G100,0)</f>
        <v>0</v>
      </c>
      <c r="I100" s="38"/>
      <c r="J100" s="29"/>
      <c r="K100" s="31">
        <f>IF(base!I100&lt;&gt;"",VLOOKUP(I100,de_para!$A$1:$B$31,2,0)*base!J100,0)</f>
        <v>0</v>
      </c>
      <c r="L100" s="38"/>
      <c r="M100" s="29"/>
      <c r="N100" s="31">
        <f>IF(base!L100&lt;&gt;"",VLOOKUP(L100,de_para!$A$1:$B$31,2,0)*base!M100,0)</f>
        <v>0</v>
      </c>
      <c r="O100" s="38"/>
      <c r="P100" s="29"/>
      <c r="Q100" s="31">
        <f>IF(base!O100&lt;&gt;"",VLOOKUP(O100,de_para!$A$1:$B$31,2,0)*base!P100,0)</f>
        <v>0</v>
      </c>
      <c r="R100" s="38"/>
      <c r="S100" s="29"/>
      <c r="T100" s="31">
        <f>IF(base!R100&lt;&gt;"",VLOOKUP(R100,de_para!$A$1:$B$31,2,0)*base!S100,0)</f>
        <v>0</v>
      </c>
      <c r="U100" s="30">
        <f t="shared" si="2"/>
        <v>0</v>
      </c>
    </row>
    <row r="101" spans="1:21" x14ac:dyDescent="0.35">
      <c r="A101" s="29"/>
      <c r="B101" s="29"/>
      <c r="C101" s="29"/>
      <c r="D101" s="29"/>
      <c r="E101" s="29"/>
      <c r="F101" s="29"/>
      <c r="G101" s="29"/>
      <c r="H101" s="31">
        <f>IF(base!F101&lt;&gt;"",VLOOKUP(F101,de_para!$A$1:$B$31,2,0)*base!G101,0)</f>
        <v>0</v>
      </c>
      <c r="I101" s="38"/>
      <c r="J101" s="29"/>
      <c r="K101" s="31">
        <f>IF(base!I101&lt;&gt;"",VLOOKUP(I101,de_para!$A$1:$B$31,2,0)*base!J101,0)</f>
        <v>0</v>
      </c>
      <c r="L101" s="38"/>
      <c r="M101" s="29"/>
      <c r="N101" s="31">
        <f>IF(base!L101&lt;&gt;"",VLOOKUP(L101,de_para!$A$1:$B$31,2,0)*base!M101,0)</f>
        <v>0</v>
      </c>
      <c r="O101" s="38"/>
      <c r="P101" s="29"/>
      <c r="Q101" s="31">
        <f>IF(base!O101&lt;&gt;"",VLOOKUP(O101,de_para!$A$1:$B$31,2,0)*base!P101,0)</f>
        <v>0</v>
      </c>
      <c r="R101" s="38"/>
      <c r="S101" s="29"/>
      <c r="T101" s="31">
        <f>IF(base!R101&lt;&gt;"",VLOOKUP(R101,de_para!$A$1:$B$31,2,0)*base!S101,0)</f>
        <v>0</v>
      </c>
      <c r="U101" s="30">
        <f t="shared" si="2"/>
        <v>0</v>
      </c>
    </row>
    <row r="102" spans="1:21" x14ac:dyDescent="0.35">
      <c r="A102" s="29"/>
      <c r="B102" s="29"/>
      <c r="C102" s="29"/>
      <c r="D102" s="29"/>
      <c r="E102" s="29"/>
      <c r="F102" s="29"/>
      <c r="G102" s="29"/>
      <c r="H102" s="31">
        <f>IF(base!F102&lt;&gt;"",VLOOKUP(F102,de_para!$A$1:$B$31,2,0)*base!G102,0)</f>
        <v>0</v>
      </c>
      <c r="I102" s="38"/>
      <c r="J102" s="29"/>
      <c r="K102" s="31">
        <f>IF(base!I102&lt;&gt;"",VLOOKUP(I102,de_para!$A$1:$B$31,2,0)*base!J102,0)</f>
        <v>0</v>
      </c>
      <c r="L102" s="38"/>
      <c r="M102" s="29"/>
      <c r="N102" s="31">
        <f>IF(base!L102&lt;&gt;"",VLOOKUP(L102,de_para!$A$1:$B$31,2,0)*base!M102,0)</f>
        <v>0</v>
      </c>
      <c r="O102" s="38"/>
      <c r="P102" s="29"/>
      <c r="Q102" s="31">
        <f>IF(base!O102&lt;&gt;"",VLOOKUP(O102,de_para!$A$1:$B$31,2,0)*base!P102,0)</f>
        <v>0</v>
      </c>
      <c r="R102" s="38"/>
      <c r="S102" s="29"/>
      <c r="T102" s="31">
        <f>IF(base!R102&lt;&gt;"",VLOOKUP(R102,de_para!$A$1:$B$31,2,0)*base!S102,0)</f>
        <v>0</v>
      </c>
      <c r="U102" s="30">
        <f t="shared" si="2"/>
        <v>0</v>
      </c>
    </row>
    <row r="103" spans="1:21" x14ac:dyDescent="0.35">
      <c r="A103" s="29"/>
      <c r="B103" s="29"/>
      <c r="C103" s="29"/>
      <c r="D103" s="29"/>
      <c r="E103" s="29"/>
      <c r="F103" s="29"/>
      <c r="G103" s="29"/>
      <c r="H103" s="31">
        <f>IF(base!F103&lt;&gt;"",VLOOKUP(F103,de_para!$A$1:$B$31,2,0)*base!G103,0)</f>
        <v>0</v>
      </c>
      <c r="I103" s="38"/>
      <c r="J103" s="29"/>
      <c r="K103" s="31">
        <f>IF(base!I103&lt;&gt;"",VLOOKUP(I103,de_para!$A$1:$B$31,2,0)*base!J103,0)</f>
        <v>0</v>
      </c>
      <c r="L103" s="38"/>
      <c r="M103" s="29"/>
      <c r="N103" s="31">
        <f>IF(base!L103&lt;&gt;"",VLOOKUP(L103,de_para!$A$1:$B$31,2,0)*base!M103,0)</f>
        <v>0</v>
      </c>
      <c r="O103" s="38"/>
      <c r="P103" s="29"/>
      <c r="Q103" s="31">
        <f>IF(base!O103&lt;&gt;"",VLOOKUP(O103,de_para!$A$1:$B$31,2,0)*base!P103,0)</f>
        <v>0</v>
      </c>
      <c r="R103" s="38"/>
      <c r="S103" s="29"/>
      <c r="T103" s="31">
        <f>IF(base!R103&lt;&gt;"",VLOOKUP(R103,de_para!$A$1:$B$31,2,0)*base!S103,0)</f>
        <v>0</v>
      </c>
      <c r="U103" s="30">
        <f t="shared" si="2"/>
        <v>0</v>
      </c>
    </row>
    <row r="104" spans="1:21" x14ac:dyDescent="0.35">
      <c r="A104" s="29"/>
      <c r="B104" s="29"/>
      <c r="C104" s="29"/>
      <c r="D104" s="29"/>
      <c r="E104" s="29"/>
      <c r="F104" s="29"/>
      <c r="G104" s="29"/>
      <c r="H104" s="31">
        <f>IF(base!F104&lt;&gt;"",VLOOKUP(F104,de_para!$A$1:$B$31,2,0)*base!G104,0)</f>
        <v>0</v>
      </c>
      <c r="I104" s="38"/>
      <c r="J104" s="29"/>
      <c r="K104" s="31">
        <f>IF(base!I104&lt;&gt;"",VLOOKUP(I104,de_para!$A$1:$B$31,2,0)*base!J104,0)</f>
        <v>0</v>
      </c>
      <c r="L104" s="38"/>
      <c r="M104" s="29"/>
      <c r="N104" s="31">
        <f>IF(base!L104&lt;&gt;"",VLOOKUP(L104,de_para!$A$1:$B$31,2,0)*base!M104,0)</f>
        <v>0</v>
      </c>
      <c r="O104" s="38"/>
      <c r="P104" s="29"/>
      <c r="Q104" s="31">
        <f>IF(base!O104&lt;&gt;"",VLOOKUP(O104,de_para!$A$1:$B$31,2,0)*base!P104,0)</f>
        <v>0</v>
      </c>
      <c r="R104" s="38"/>
      <c r="S104" s="29"/>
      <c r="T104" s="31">
        <f>IF(base!R104&lt;&gt;"",VLOOKUP(R104,de_para!$A$1:$B$31,2,0)*base!S104,0)</f>
        <v>0</v>
      </c>
      <c r="U104" s="30">
        <f t="shared" si="2"/>
        <v>0</v>
      </c>
    </row>
    <row r="105" spans="1:21" x14ac:dyDescent="0.35">
      <c r="A105" s="29"/>
      <c r="B105" s="29"/>
      <c r="C105" s="29"/>
      <c r="D105" s="29"/>
      <c r="E105" s="29"/>
      <c r="F105" s="29"/>
      <c r="G105" s="29"/>
      <c r="H105" s="31">
        <f>IF(base!F105&lt;&gt;"",VLOOKUP(F105,de_para!$A$1:$B$31,2,0)*base!G105,0)</f>
        <v>0</v>
      </c>
      <c r="I105" s="38"/>
      <c r="J105" s="29"/>
      <c r="K105" s="31">
        <f>IF(base!I105&lt;&gt;"",VLOOKUP(I105,de_para!$A$1:$B$31,2,0)*base!J105,0)</f>
        <v>0</v>
      </c>
      <c r="L105" s="38"/>
      <c r="M105" s="29"/>
      <c r="N105" s="31">
        <f>IF(base!L105&lt;&gt;"",VLOOKUP(L105,de_para!$A$1:$B$31,2,0)*base!M105,0)</f>
        <v>0</v>
      </c>
      <c r="O105" s="38"/>
      <c r="P105" s="29"/>
      <c r="Q105" s="31">
        <f>IF(base!O105&lt;&gt;"",VLOOKUP(O105,de_para!$A$1:$B$31,2,0)*base!P105,0)</f>
        <v>0</v>
      </c>
      <c r="R105" s="38"/>
      <c r="S105" s="29"/>
      <c r="T105" s="31">
        <f>IF(base!R105&lt;&gt;"",VLOOKUP(R105,de_para!$A$1:$B$31,2,0)*base!S105,0)</f>
        <v>0</v>
      </c>
      <c r="U105" s="30">
        <f t="shared" si="2"/>
        <v>0</v>
      </c>
    </row>
    <row r="106" spans="1:21" x14ac:dyDescent="0.35">
      <c r="A106" s="29"/>
      <c r="B106" s="29"/>
      <c r="C106" s="29"/>
      <c r="D106" s="29"/>
      <c r="E106" s="29"/>
      <c r="F106" s="29"/>
      <c r="G106" s="29"/>
      <c r="H106" s="31">
        <f>IF(base!F106&lt;&gt;"",VLOOKUP(F106,de_para!$A$1:$B$31,2,0)*base!G106,0)</f>
        <v>0</v>
      </c>
      <c r="I106" s="38"/>
      <c r="J106" s="29"/>
      <c r="K106" s="31">
        <f>IF(base!I106&lt;&gt;"",VLOOKUP(I106,de_para!$A$1:$B$31,2,0)*base!J106,0)</f>
        <v>0</v>
      </c>
      <c r="L106" s="38"/>
      <c r="M106" s="29"/>
      <c r="N106" s="31">
        <f>IF(base!L106&lt;&gt;"",VLOOKUP(L106,de_para!$A$1:$B$31,2,0)*base!M106,0)</f>
        <v>0</v>
      </c>
      <c r="O106" s="38"/>
      <c r="P106" s="29"/>
      <c r="Q106" s="31">
        <f>IF(base!O106&lt;&gt;"",VLOOKUP(O106,de_para!$A$1:$B$31,2,0)*base!P106,0)</f>
        <v>0</v>
      </c>
      <c r="R106" s="38"/>
      <c r="S106" s="29"/>
      <c r="T106" s="31">
        <f>IF(base!R106&lt;&gt;"",VLOOKUP(R106,de_para!$A$1:$B$31,2,0)*base!S106,0)</f>
        <v>0</v>
      </c>
      <c r="U106" s="30">
        <f t="shared" si="2"/>
        <v>0</v>
      </c>
    </row>
    <row r="107" spans="1:21" x14ac:dyDescent="0.35">
      <c r="A107" s="29"/>
      <c r="B107" s="29"/>
      <c r="C107" s="29"/>
      <c r="D107" s="29"/>
      <c r="E107" s="29"/>
      <c r="F107" s="29"/>
      <c r="G107" s="29"/>
      <c r="H107" s="31">
        <f>IF(base!F107&lt;&gt;"",VLOOKUP(F107,de_para!$A$1:$B$31,2,0)*base!G107,0)</f>
        <v>0</v>
      </c>
      <c r="I107" s="38"/>
      <c r="J107" s="29"/>
      <c r="K107" s="31">
        <f>IF(base!I107&lt;&gt;"",VLOOKUP(I107,de_para!$A$1:$B$31,2,0)*base!J107,0)</f>
        <v>0</v>
      </c>
      <c r="L107" s="38"/>
      <c r="M107" s="29"/>
      <c r="N107" s="31">
        <f>IF(base!L107&lt;&gt;"",VLOOKUP(L107,de_para!$A$1:$B$31,2,0)*base!M107,0)</f>
        <v>0</v>
      </c>
      <c r="O107" s="38"/>
      <c r="P107" s="29"/>
      <c r="Q107" s="31">
        <f>IF(base!O107&lt;&gt;"",VLOOKUP(O107,de_para!$A$1:$B$31,2,0)*base!P107,0)</f>
        <v>0</v>
      </c>
      <c r="R107" s="38"/>
      <c r="S107" s="29"/>
      <c r="T107" s="31">
        <f>IF(base!R107&lt;&gt;"",VLOOKUP(R107,de_para!$A$1:$B$31,2,0)*base!S107,0)</f>
        <v>0</v>
      </c>
      <c r="U107" s="30">
        <f t="shared" si="2"/>
        <v>0</v>
      </c>
    </row>
    <row r="108" spans="1:21" x14ac:dyDescent="0.35">
      <c r="A108" s="29"/>
      <c r="B108" s="29"/>
      <c r="C108" s="29"/>
      <c r="D108" s="29"/>
      <c r="E108" s="29"/>
      <c r="F108" s="29"/>
      <c r="G108" s="29"/>
      <c r="H108" s="31">
        <f>IF(base!F108&lt;&gt;"",VLOOKUP(F108,de_para!$A$1:$B$31,2,0)*base!G108,0)</f>
        <v>0</v>
      </c>
      <c r="I108" s="38"/>
      <c r="J108" s="29"/>
      <c r="K108" s="31">
        <f>IF(base!I108&lt;&gt;"",VLOOKUP(I108,de_para!$A$1:$B$31,2,0)*base!J108,0)</f>
        <v>0</v>
      </c>
      <c r="L108" s="38"/>
      <c r="M108" s="29"/>
      <c r="N108" s="31">
        <f>IF(base!L108&lt;&gt;"",VLOOKUP(L108,de_para!$A$1:$B$31,2,0)*base!M108,0)</f>
        <v>0</v>
      </c>
      <c r="O108" s="38"/>
      <c r="P108" s="29"/>
      <c r="Q108" s="31">
        <f>IF(base!O108&lt;&gt;"",VLOOKUP(O108,de_para!$A$1:$B$31,2,0)*base!P108,0)</f>
        <v>0</v>
      </c>
      <c r="R108" s="38"/>
      <c r="S108" s="29"/>
      <c r="T108" s="31">
        <f>IF(base!R108&lt;&gt;"",VLOOKUP(R108,de_para!$A$1:$B$31,2,0)*base!S108,0)</f>
        <v>0</v>
      </c>
      <c r="U108" s="30">
        <f t="shared" si="2"/>
        <v>0</v>
      </c>
    </row>
    <row r="109" spans="1:21" x14ac:dyDescent="0.35">
      <c r="A109" s="29"/>
      <c r="B109" s="29"/>
      <c r="C109" s="29"/>
      <c r="D109" s="29"/>
      <c r="E109" s="29"/>
      <c r="F109" s="29"/>
      <c r="G109" s="29"/>
      <c r="H109" s="31">
        <f>IF(base!F109&lt;&gt;"",VLOOKUP(F109,de_para!$A$1:$B$31,2,0)*base!G109,0)</f>
        <v>0</v>
      </c>
      <c r="I109" s="38"/>
      <c r="J109" s="29"/>
      <c r="K109" s="31">
        <f>IF(base!I109&lt;&gt;"",VLOOKUP(I109,de_para!$A$1:$B$31,2,0)*base!J109,0)</f>
        <v>0</v>
      </c>
      <c r="L109" s="38"/>
      <c r="M109" s="29"/>
      <c r="N109" s="31">
        <f>IF(base!L109&lt;&gt;"",VLOOKUP(L109,de_para!$A$1:$B$31,2,0)*base!M109,0)</f>
        <v>0</v>
      </c>
      <c r="O109" s="38"/>
      <c r="P109" s="29"/>
      <c r="Q109" s="31">
        <f>IF(base!O109&lt;&gt;"",VLOOKUP(O109,de_para!$A$1:$B$31,2,0)*base!P109,0)</f>
        <v>0</v>
      </c>
      <c r="R109" s="38"/>
      <c r="S109" s="29"/>
      <c r="T109" s="31">
        <f>IF(base!R109&lt;&gt;"",VLOOKUP(R109,de_para!$A$1:$B$31,2,0)*base!S109,0)</f>
        <v>0</v>
      </c>
      <c r="U109" s="30">
        <f t="shared" si="2"/>
        <v>0</v>
      </c>
    </row>
    <row r="110" spans="1:21" x14ac:dyDescent="0.35">
      <c r="A110" s="29"/>
      <c r="B110" s="29"/>
      <c r="C110" s="29"/>
      <c r="D110" s="29"/>
      <c r="E110" s="29"/>
      <c r="F110" s="29"/>
      <c r="G110" s="29"/>
      <c r="H110" s="31">
        <f>IF(base!F110&lt;&gt;"",VLOOKUP(F110,de_para!$A$1:$B$31,2,0)*base!G110,0)</f>
        <v>0</v>
      </c>
      <c r="I110" s="38"/>
      <c r="J110" s="29"/>
      <c r="K110" s="31">
        <f>IF(base!I110&lt;&gt;"",VLOOKUP(I110,de_para!$A$1:$B$31,2,0)*base!J110,0)</f>
        <v>0</v>
      </c>
      <c r="L110" s="38"/>
      <c r="M110" s="29"/>
      <c r="N110" s="31">
        <f>IF(base!L110&lt;&gt;"",VLOOKUP(L110,de_para!$A$1:$B$31,2,0)*base!M110,0)</f>
        <v>0</v>
      </c>
      <c r="O110" s="38"/>
      <c r="P110" s="29"/>
      <c r="Q110" s="31">
        <f>IF(base!O110&lt;&gt;"",VLOOKUP(O110,de_para!$A$1:$B$31,2,0)*base!P110,0)</f>
        <v>0</v>
      </c>
      <c r="R110" s="38"/>
      <c r="S110" s="29"/>
      <c r="T110" s="31">
        <f>IF(base!R110&lt;&gt;"",VLOOKUP(R110,de_para!$A$1:$B$31,2,0)*base!S110,0)</f>
        <v>0</v>
      </c>
      <c r="U110" s="30">
        <f t="shared" si="2"/>
        <v>0</v>
      </c>
    </row>
    <row r="111" spans="1:21" x14ac:dyDescent="0.35">
      <c r="A111" s="29"/>
      <c r="B111" s="29"/>
      <c r="C111" s="29"/>
      <c r="D111" s="29"/>
      <c r="E111" s="29"/>
      <c r="F111" s="29"/>
      <c r="G111" s="29"/>
      <c r="H111" s="31">
        <f>IF(base!F111&lt;&gt;"",VLOOKUP(F111,de_para!$A$1:$B$31,2,0)*base!G111,0)</f>
        <v>0</v>
      </c>
      <c r="I111" s="38"/>
      <c r="J111" s="29"/>
      <c r="K111" s="31">
        <f>IF(base!I111&lt;&gt;"",VLOOKUP(I111,de_para!$A$1:$B$31,2,0)*base!J111,0)</f>
        <v>0</v>
      </c>
      <c r="L111" s="38"/>
      <c r="M111" s="29"/>
      <c r="N111" s="31">
        <f>IF(base!L111&lt;&gt;"",VLOOKUP(L111,de_para!$A$1:$B$31,2,0)*base!M111,0)</f>
        <v>0</v>
      </c>
      <c r="O111" s="38"/>
      <c r="P111" s="29"/>
      <c r="Q111" s="31">
        <f>IF(base!O111&lt;&gt;"",VLOOKUP(O111,de_para!$A$1:$B$31,2,0)*base!P111,0)</f>
        <v>0</v>
      </c>
      <c r="R111" s="38"/>
      <c r="S111" s="29"/>
      <c r="T111" s="31">
        <f>IF(base!R111&lt;&gt;"",VLOOKUP(R111,de_para!$A$1:$B$31,2,0)*base!S111,0)</f>
        <v>0</v>
      </c>
      <c r="U111" s="30">
        <f t="shared" si="2"/>
        <v>0</v>
      </c>
    </row>
    <row r="112" spans="1:21" x14ac:dyDescent="0.35">
      <c r="A112" s="29"/>
      <c r="B112" s="29"/>
      <c r="C112" s="29"/>
      <c r="D112" s="29"/>
      <c r="E112" s="29"/>
      <c r="F112" s="29"/>
      <c r="G112" s="29"/>
      <c r="H112" s="31">
        <f>IF(base!F112&lt;&gt;"",VLOOKUP(F112,de_para!$A$1:$B$31,2,0)*base!G112,0)</f>
        <v>0</v>
      </c>
      <c r="I112" s="38"/>
      <c r="J112" s="29"/>
      <c r="K112" s="31">
        <f>IF(base!I112&lt;&gt;"",VLOOKUP(I112,de_para!$A$1:$B$31,2,0)*base!J112,0)</f>
        <v>0</v>
      </c>
      <c r="L112" s="38"/>
      <c r="M112" s="29"/>
      <c r="N112" s="31">
        <f>IF(base!L112&lt;&gt;"",VLOOKUP(L112,de_para!$A$1:$B$31,2,0)*base!M112,0)</f>
        <v>0</v>
      </c>
      <c r="O112" s="38"/>
      <c r="P112" s="29"/>
      <c r="Q112" s="31">
        <f>IF(base!O112&lt;&gt;"",VLOOKUP(O112,de_para!$A$1:$B$31,2,0)*base!P112,0)</f>
        <v>0</v>
      </c>
      <c r="R112" s="38"/>
      <c r="S112" s="29"/>
      <c r="T112" s="31">
        <f>IF(base!R112&lt;&gt;"",VLOOKUP(R112,de_para!$A$1:$B$31,2,0)*base!S112,0)</f>
        <v>0</v>
      </c>
      <c r="U112" s="30">
        <f t="shared" si="2"/>
        <v>0</v>
      </c>
    </row>
    <row r="113" spans="1:21" x14ac:dyDescent="0.35">
      <c r="A113" s="29"/>
      <c r="B113" s="29"/>
      <c r="C113" s="29"/>
      <c r="D113" s="29"/>
      <c r="E113" s="29"/>
      <c r="F113" s="29"/>
      <c r="G113" s="29"/>
      <c r="H113" s="31">
        <f>IF(base!F113&lt;&gt;"",VLOOKUP(F113,de_para!$A$1:$B$31,2,0)*base!G113,0)</f>
        <v>0</v>
      </c>
      <c r="I113" s="38"/>
      <c r="J113" s="29"/>
      <c r="K113" s="31">
        <f>IF(base!I113&lt;&gt;"",VLOOKUP(I113,de_para!$A$1:$B$31,2,0)*base!J113,0)</f>
        <v>0</v>
      </c>
      <c r="L113" s="38"/>
      <c r="M113" s="29"/>
      <c r="N113" s="31">
        <f>IF(base!L113&lt;&gt;"",VLOOKUP(L113,de_para!$A$1:$B$31,2,0)*base!M113,0)</f>
        <v>0</v>
      </c>
      <c r="O113" s="38"/>
      <c r="P113" s="29"/>
      <c r="Q113" s="31">
        <f>IF(base!O113&lt;&gt;"",VLOOKUP(O113,de_para!$A$1:$B$31,2,0)*base!P113,0)</f>
        <v>0</v>
      </c>
      <c r="R113" s="38"/>
      <c r="S113" s="29"/>
      <c r="T113" s="31">
        <f>IF(base!R113&lt;&gt;"",VLOOKUP(R113,de_para!$A$1:$B$31,2,0)*base!S113,0)</f>
        <v>0</v>
      </c>
      <c r="U113" s="30">
        <f t="shared" si="2"/>
        <v>0</v>
      </c>
    </row>
    <row r="114" spans="1:21" x14ac:dyDescent="0.35">
      <c r="A114" s="29"/>
      <c r="B114" s="29"/>
      <c r="C114" s="29"/>
      <c r="D114" s="29"/>
      <c r="E114" s="29"/>
      <c r="F114" s="29"/>
      <c r="G114" s="29"/>
      <c r="H114" s="31">
        <f>IF(base!F114&lt;&gt;"",VLOOKUP(F114,de_para!$A$1:$B$31,2,0)*base!G114,0)</f>
        <v>0</v>
      </c>
      <c r="I114" s="38"/>
      <c r="J114" s="29"/>
      <c r="K114" s="31">
        <f>IF(base!I114&lt;&gt;"",VLOOKUP(I114,de_para!$A$1:$B$31,2,0)*base!J114,0)</f>
        <v>0</v>
      </c>
      <c r="L114" s="38"/>
      <c r="M114" s="29"/>
      <c r="N114" s="31">
        <f>IF(base!L114&lt;&gt;"",VLOOKUP(L114,de_para!$A$1:$B$31,2,0)*base!M114,0)</f>
        <v>0</v>
      </c>
      <c r="O114" s="38"/>
      <c r="P114" s="29"/>
      <c r="Q114" s="31">
        <f>IF(base!O114&lt;&gt;"",VLOOKUP(O114,de_para!$A$1:$B$31,2,0)*base!P114,0)</f>
        <v>0</v>
      </c>
      <c r="R114" s="38"/>
      <c r="S114" s="29"/>
      <c r="T114" s="31">
        <f>IF(base!R114&lt;&gt;"",VLOOKUP(R114,de_para!$A$1:$B$31,2,0)*base!S114,0)</f>
        <v>0</v>
      </c>
      <c r="U114" s="30">
        <f t="shared" si="2"/>
        <v>0</v>
      </c>
    </row>
    <row r="115" spans="1:21" x14ac:dyDescent="0.35">
      <c r="A115" s="29"/>
      <c r="B115" s="29"/>
      <c r="C115" s="29"/>
      <c r="D115" s="29"/>
      <c r="E115" s="29"/>
      <c r="F115" s="29"/>
      <c r="G115" s="29"/>
      <c r="H115" s="31">
        <f>IF(base!F115&lt;&gt;"",VLOOKUP(F115,de_para!$A$1:$B$31,2,0)*base!G115,0)</f>
        <v>0</v>
      </c>
      <c r="I115" s="38"/>
      <c r="J115" s="29"/>
      <c r="K115" s="31">
        <f>IF(base!I115&lt;&gt;"",VLOOKUP(I115,de_para!$A$1:$B$31,2,0)*base!J115,0)</f>
        <v>0</v>
      </c>
      <c r="L115" s="38"/>
      <c r="M115" s="29"/>
      <c r="N115" s="31">
        <f>IF(base!L115&lt;&gt;"",VLOOKUP(L115,de_para!$A$1:$B$31,2,0)*base!M115,0)</f>
        <v>0</v>
      </c>
      <c r="O115" s="38"/>
      <c r="P115" s="29"/>
      <c r="Q115" s="31">
        <f>IF(base!O115&lt;&gt;"",VLOOKUP(O115,de_para!$A$1:$B$31,2,0)*base!P115,0)</f>
        <v>0</v>
      </c>
      <c r="R115" s="38"/>
      <c r="S115" s="29"/>
      <c r="T115" s="31">
        <f>IF(base!R115&lt;&gt;"",VLOOKUP(R115,de_para!$A$1:$B$31,2,0)*base!S115,0)</f>
        <v>0</v>
      </c>
      <c r="U115" s="30">
        <f t="shared" si="2"/>
        <v>0</v>
      </c>
    </row>
    <row r="116" spans="1:21" x14ac:dyDescent="0.35">
      <c r="A116" s="29"/>
      <c r="B116" s="29"/>
      <c r="C116" s="29"/>
      <c r="D116" s="29"/>
      <c r="E116" s="29"/>
      <c r="F116" s="29"/>
      <c r="G116" s="29"/>
      <c r="H116" s="31">
        <f>IF(base!F116&lt;&gt;"",VLOOKUP(F116,de_para!$A$1:$B$31,2,0)*base!G116,0)</f>
        <v>0</v>
      </c>
      <c r="I116" s="38"/>
      <c r="J116" s="29"/>
      <c r="K116" s="31">
        <f>IF(base!I116&lt;&gt;"",VLOOKUP(I116,de_para!$A$1:$B$31,2,0)*base!J116,0)</f>
        <v>0</v>
      </c>
      <c r="L116" s="38"/>
      <c r="M116" s="29"/>
      <c r="N116" s="31">
        <f>IF(base!L116&lt;&gt;"",VLOOKUP(L116,de_para!$A$1:$B$31,2,0)*base!M116,0)</f>
        <v>0</v>
      </c>
      <c r="O116" s="38"/>
      <c r="P116" s="29"/>
      <c r="Q116" s="31">
        <f>IF(base!O116&lt;&gt;"",VLOOKUP(O116,de_para!$A$1:$B$31,2,0)*base!P116,0)</f>
        <v>0</v>
      </c>
      <c r="R116" s="38"/>
      <c r="S116" s="29"/>
      <c r="T116" s="31">
        <f>IF(base!R116&lt;&gt;"",VLOOKUP(R116,de_para!$A$1:$B$31,2,0)*base!S116,0)</f>
        <v>0</v>
      </c>
      <c r="U116" s="30">
        <f t="shared" si="2"/>
        <v>0</v>
      </c>
    </row>
    <row r="117" spans="1:21" x14ac:dyDescent="0.35">
      <c r="A117" s="29"/>
      <c r="B117" s="29"/>
      <c r="C117" s="29"/>
      <c r="D117" s="29"/>
      <c r="E117" s="29"/>
      <c r="F117" s="29"/>
      <c r="G117" s="29"/>
      <c r="H117" s="31">
        <f>IF(base!F117&lt;&gt;"",VLOOKUP(F117,de_para!$A$1:$B$31,2,0)*base!G117,0)</f>
        <v>0</v>
      </c>
      <c r="I117" s="38"/>
      <c r="J117" s="29"/>
      <c r="K117" s="31">
        <f>IF(base!I117&lt;&gt;"",VLOOKUP(I117,de_para!$A$1:$B$31,2,0)*base!J117,0)</f>
        <v>0</v>
      </c>
      <c r="L117" s="38"/>
      <c r="M117" s="29"/>
      <c r="N117" s="31">
        <f>IF(base!L117&lt;&gt;"",VLOOKUP(L117,de_para!$A$1:$B$31,2,0)*base!M117,0)</f>
        <v>0</v>
      </c>
      <c r="O117" s="38"/>
      <c r="P117" s="29"/>
      <c r="Q117" s="31">
        <f>IF(base!O117&lt;&gt;"",VLOOKUP(O117,de_para!$A$1:$B$31,2,0)*base!P117,0)</f>
        <v>0</v>
      </c>
      <c r="R117" s="38"/>
      <c r="S117" s="29"/>
      <c r="T117" s="31">
        <f>IF(base!R117&lt;&gt;"",VLOOKUP(R117,de_para!$A$1:$B$31,2,0)*base!S117,0)</f>
        <v>0</v>
      </c>
      <c r="U117" s="30">
        <f t="shared" si="2"/>
        <v>0</v>
      </c>
    </row>
    <row r="118" spans="1:21" x14ac:dyDescent="0.35">
      <c r="A118" s="29"/>
      <c r="B118" s="29"/>
      <c r="C118" s="29"/>
      <c r="D118" s="29"/>
      <c r="E118" s="29"/>
      <c r="F118" s="29"/>
      <c r="G118" s="29"/>
      <c r="H118" s="31">
        <f>IF(base!F118&lt;&gt;"",VLOOKUP(F118,de_para!$A$1:$B$31,2,0)*base!G118,0)</f>
        <v>0</v>
      </c>
      <c r="I118" s="38"/>
      <c r="J118" s="29"/>
      <c r="K118" s="31">
        <f>IF(base!I118&lt;&gt;"",VLOOKUP(I118,de_para!$A$1:$B$31,2,0)*base!J118,0)</f>
        <v>0</v>
      </c>
      <c r="L118" s="38"/>
      <c r="M118" s="29"/>
      <c r="N118" s="31">
        <f>IF(base!L118&lt;&gt;"",VLOOKUP(L118,de_para!$A$1:$B$31,2,0)*base!M118,0)</f>
        <v>0</v>
      </c>
      <c r="O118" s="38"/>
      <c r="P118" s="29"/>
      <c r="Q118" s="31">
        <f>IF(base!O118&lt;&gt;"",VLOOKUP(O118,de_para!$A$1:$B$31,2,0)*base!P118,0)</f>
        <v>0</v>
      </c>
      <c r="R118" s="38"/>
      <c r="S118" s="29"/>
      <c r="T118" s="31">
        <f>IF(base!R118&lt;&gt;"",VLOOKUP(R118,de_para!$A$1:$B$31,2,0)*base!S118,0)</f>
        <v>0</v>
      </c>
      <c r="U118" s="30">
        <f t="shared" si="2"/>
        <v>0</v>
      </c>
    </row>
    <row r="119" spans="1:21" x14ac:dyDescent="0.35">
      <c r="A119" s="29"/>
      <c r="B119" s="29"/>
      <c r="C119" s="29"/>
      <c r="D119" s="29"/>
      <c r="E119" s="29"/>
      <c r="F119" s="29"/>
      <c r="G119" s="29"/>
      <c r="H119" s="31">
        <f>IF(base!F119&lt;&gt;"",VLOOKUP(F119,de_para!$A$1:$B$31,2,0)*base!G119,0)</f>
        <v>0</v>
      </c>
      <c r="I119" s="38"/>
      <c r="J119" s="29"/>
      <c r="K119" s="31">
        <f>IF(base!I119&lt;&gt;"",VLOOKUP(I119,de_para!$A$1:$B$31,2,0)*base!J119,0)</f>
        <v>0</v>
      </c>
      <c r="L119" s="38"/>
      <c r="M119" s="29"/>
      <c r="N119" s="31">
        <f>IF(base!L119&lt;&gt;"",VLOOKUP(L119,de_para!$A$1:$B$31,2,0)*base!M119,0)</f>
        <v>0</v>
      </c>
      <c r="O119" s="38"/>
      <c r="P119" s="29"/>
      <c r="Q119" s="31">
        <f>IF(base!O119&lt;&gt;"",VLOOKUP(O119,de_para!$A$1:$B$31,2,0)*base!P119,0)</f>
        <v>0</v>
      </c>
      <c r="R119" s="38"/>
      <c r="S119" s="29"/>
      <c r="T119" s="31">
        <f>IF(base!R119&lt;&gt;"",VLOOKUP(R119,de_para!$A$1:$B$31,2,0)*base!S119,0)</f>
        <v>0</v>
      </c>
      <c r="U119" s="30">
        <f t="shared" ref="U119:U182" si="3">H119+K119+N119+Q119+T119</f>
        <v>0</v>
      </c>
    </row>
    <row r="120" spans="1:21" x14ac:dyDescent="0.35">
      <c r="A120" s="29"/>
      <c r="B120" s="29"/>
      <c r="C120" s="29"/>
      <c r="D120" s="29"/>
      <c r="E120" s="29"/>
      <c r="F120" s="29"/>
      <c r="G120" s="29"/>
      <c r="H120" s="31">
        <f>IF(base!F120&lt;&gt;"",VLOOKUP(F120,de_para!$A$1:$B$31,2,0)*base!G120,0)</f>
        <v>0</v>
      </c>
      <c r="I120" s="38"/>
      <c r="J120" s="29"/>
      <c r="K120" s="31">
        <f>IF(base!I120&lt;&gt;"",VLOOKUP(I120,de_para!$A$1:$B$31,2,0)*base!J120,0)</f>
        <v>0</v>
      </c>
      <c r="L120" s="38"/>
      <c r="M120" s="29"/>
      <c r="N120" s="31">
        <f>IF(base!L120&lt;&gt;"",VLOOKUP(L120,de_para!$A$1:$B$31,2,0)*base!M120,0)</f>
        <v>0</v>
      </c>
      <c r="O120" s="38"/>
      <c r="P120" s="29"/>
      <c r="Q120" s="31">
        <f>IF(base!O120&lt;&gt;"",VLOOKUP(O120,de_para!$A$1:$B$31,2,0)*base!P120,0)</f>
        <v>0</v>
      </c>
      <c r="R120" s="38"/>
      <c r="S120" s="29"/>
      <c r="T120" s="31">
        <f>IF(base!R120&lt;&gt;"",VLOOKUP(R120,de_para!$A$1:$B$31,2,0)*base!S120,0)</f>
        <v>0</v>
      </c>
      <c r="U120" s="30">
        <f t="shared" si="3"/>
        <v>0</v>
      </c>
    </row>
    <row r="121" spans="1:21" x14ac:dyDescent="0.35">
      <c r="A121" s="29"/>
      <c r="B121" s="29"/>
      <c r="C121" s="29"/>
      <c r="D121" s="29"/>
      <c r="E121" s="29"/>
      <c r="F121" s="29"/>
      <c r="G121" s="29"/>
      <c r="H121" s="31">
        <f>IF(base!F121&lt;&gt;"",VLOOKUP(F121,de_para!$A$1:$B$31,2,0)*base!G121,0)</f>
        <v>0</v>
      </c>
      <c r="I121" s="38"/>
      <c r="J121" s="29"/>
      <c r="K121" s="31">
        <f>IF(base!I121&lt;&gt;"",VLOOKUP(I121,de_para!$A$1:$B$31,2,0)*base!J121,0)</f>
        <v>0</v>
      </c>
      <c r="L121" s="38"/>
      <c r="M121" s="29"/>
      <c r="N121" s="31">
        <f>IF(base!L121&lt;&gt;"",VLOOKUP(L121,de_para!$A$1:$B$31,2,0)*base!M121,0)</f>
        <v>0</v>
      </c>
      <c r="O121" s="38"/>
      <c r="P121" s="29"/>
      <c r="Q121" s="31">
        <f>IF(base!O121&lt;&gt;"",VLOOKUP(O121,de_para!$A$1:$B$31,2,0)*base!P121,0)</f>
        <v>0</v>
      </c>
      <c r="R121" s="38"/>
      <c r="S121" s="29"/>
      <c r="T121" s="31">
        <f>IF(base!R121&lt;&gt;"",VLOOKUP(R121,de_para!$A$1:$B$31,2,0)*base!S121,0)</f>
        <v>0</v>
      </c>
      <c r="U121" s="30">
        <f t="shared" si="3"/>
        <v>0</v>
      </c>
    </row>
    <row r="122" spans="1:21" x14ac:dyDescent="0.35">
      <c r="A122" s="29"/>
      <c r="B122" s="29"/>
      <c r="C122" s="29"/>
      <c r="D122" s="29"/>
      <c r="E122" s="29"/>
      <c r="F122" s="29"/>
      <c r="G122" s="29"/>
      <c r="H122" s="31">
        <f>IF(base!F122&lt;&gt;"",VLOOKUP(F122,de_para!$A$1:$B$31,2,0)*base!G122,0)</f>
        <v>0</v>
      </c>
      <c r="I122" s="38"/>
      <c r="J122" s="29"/>
      <c r="K122" s="31">
        <f>IF(base!I122&lt;&gt;"",VLOOKUP(I122,de_para!$A$1:$B$31,2,0)*base!J122,0)</f>
        <v>0</v>
      </c>
      <c r="L122" s="38"/>
      <c r="M122" s="29"/>
      <c r="N122" s="31">
        <f>IF(base!L122&lt;&gt;"",VLOOKUP(L122,de_para!$A$1:$B$31,2,0)*base!M122,0)</f>
        <v>0</v>
      </c>
      <c r="O122" s="38"/>
      <c r="P122" s="29"/>
      <c r="Q122" s="31">
        <f>IF(base!O122&lt;&gt;"",VLOOKUP(O122,de_para!$A$1:$B$31,2,0)*base!P122,0)</f>
        <v>0</v>
      </c>
      <c r="R122" s="38"/>
      <c r="S122" s="29"/>
      <c r="T122" s="31">
        <f>IF(base!R122&lt;&gt;"",VLOOKUP(R122,de_para!$A$1:$B$31,2,0)*base!S122,0)</f>
        <v>0</v>
      </c>
      <c r="U122" s="30">
        <f t="shared" si="3"/>
        <v>0</v>
      </c>
    </row>
    <row r="123" spans="1:21" x14ac:dyDescent="0.35">
      <c r="A123" s="29"/>
      <c r="B123" s="29"/>
      <c r="C123" s="29"/>
      <c r="D123" s="29"/>
      <c r="E123" s="29"/>
      <c r="F123" s="29"/>
      <c r="G123" s="29"/>
      <c r="H123" s="31">
        <f>IF(base!F123&lt;&gt;"",VLOOKUP(F123,de_para!$A$1:$B$31,2,0)*base!G123,0)</f>
        <v>0</v>
      </c>
      <c r="I123" s="38"/>
      <c r="J123" s="29"/>
      <c r="K123" s="31">
        <f>IF(base!I123&lt;&gt;"",VLOOKUP(I123,de_para!$A$1:$B$31,2,0)*base!J123,0)</f>
        <v>0</v>
      </c>
      <c r="L123" s="38"/>
      <c r="M123" s="29"/>
      <c r="N123" s="31">
        <f>IF(base!L123&lt;&gt;"",VLOOKUP(L123,de_para!$A$1:$B$31,2,0)*base!M123,0)</f>
        <v>0</v>
      </c>
      <c r="O123" s="38"/>
      <c r="P123" s="29"/>
      <c r="Q123" s="31">
        <f>IF(base!O123&lt;&gt;"",VLOOKUP(O123,de_para!$A$1:$B$31,2,0)*base!P123,0)</f>
        <v>0</v>
      </c>
      <c r="R123" s="38"/>
      <c r="S123" s="29"/>
      <c r="T123" s="31">
        <f>IF(base!R123&lt;&gt;"",VLOOKUP(R123,de_para!$A$1:$B$31,2,0)*base!S123,0)</f>
        <v>0</v>
      </c>
      <c r="U123" s="30">
        <f t="shared" si="3"/>
        <v>0</v>
      </c>
    </row>
    <row r="124" spans="1:21" x14ac:dyDescent="0.35">
      <c r="A124" s="29"/>
      <c r="B124" s="29"/>
      <c r="C124" s="29"/>
      <c r="D124" s="29"/>
      <c r="E124" s="29"/>
      <c r="F124" s="29"/>
      <c r="G124" s="29"/>
      <c r="H124" s="31">
        <f>IF(base!F124&lt;&gt;"",VLOOKUP(F124,de_para!$A$1:$B$31,2,0)*base!G124,0)</f>
        <v>0</v>
      </c>
      <c r="I124" s="38"/>
      <c r="J124" s="29"/>
      <c r="K124" s="31">
        <f>IF(base!I124&lt;&gt;"",VLOOKUP(I124,de_para!$A$1:$B$31,2,0)*base!J124,0)</f>
        <v>0</v>
      </c>
      <c r="L124" s="38"/>
      <c r="M124" s="29"/>
      <c r="N124" s="31">
        <f>IF(base!L124&lt;&gt;"",VLOOKUP(L124,de_para!$A$1:$B$31,2,0)*base!M124,0)</f>
        <v>0</v>
      </c>
      <c r="O124" s="38"/>
      <c r="P124" s="29"/>
      <c r="Q124" s="31">
        <f>IF(base!O124&lt;&gt;"",VLOOKUP(O124,de_para!$A$1:$B$31,2,0)*base!P124,0)</f>
        <v>0</v>
      </c>
      <c r="R124" s="38"/>
      <c r="S124" s="29"/>
      <c r="T124" s="31">
        <f>IF(base!R124&lt;&gt;"",VLOOKUP(R124,de_para!$A$1:$B$31,2,0)*base!S124,0)</f>
        <v>0</v>
      </c>
      <c r="U124" s="30">
        <f t="shared" si="3"/>
        <v>0</v>
      </c>
    </row>
    <row r="125" spans="1:21" x14ac:dyDescent="0.35">
      <c r="A125" s="29"/>
      <c r="B125" s="29"/>
      <c r="C125" s="29"/>
      <c r="D125" s="29"/>
      <c r="E125" s="29"/>
      <c r="F125" s="29"/>
      <c r="G125" s="29"/>
      <c r="H125" s="31">
        <f>IF(base!F125&lt;&gt;"",VLOOKUP(F125,de_para!$A$1:$B$31,2,0)*base!G125,0)</f>
        <v>0</v>
      </c>
      <c r="I125" s="38"/>
      <c r="J125" s="29"/>
      <c r="K125" s="31">
        <f>IF(base!I125&lt;&gt;"",VLOOKUP(I125,de_para!$A$1:$B$31,2,0)*base!J125,0)</f>
        <v>0</v>
      </c>
      <c r="L125" s="38"/>
      <c r="M125" s="29"/>
      <c r="N125" s="31">
        <f>IF(base!L125&lt;&gt;"",VLOOKUP(L125,de_para!$A$1:$B$31,2,0)*base!M125,0)</f>
        <v>0</v>
      </c>
      <c r="O125" s="38"/>
      <c r="P125" s="29"/>
      <c r="Q125" s="31">
        <f>IF(base!O125&lt;&gt;"",VLOOKUP(O125,de_para!$A$1:$B$31,2,0)*base!P125,0)</f>
        <v>0</v>
      </c>
      <c r="R125" s="38"/>
      <c r="S125" s="29"/>
      <c r="T125" s="31">
        <f>IF(base!R125&lt;&gt;"",VLOOKUP(R125,de_para!$A$1:$B$31,2,0)*base!S125,0)</f>
        <v>0</v>
      </c>
      <c r="U125" s="30">
        <f t="shared" si="3"/>
        <v>0</v>
      </c>
    </row>
    <row r="126" spans="1:21" x14ac:dyDescent="0.35">
      <c r="A126" s="29"/>
      <c r="B126" s="29"/>
      <c r="C126" s="29"/>
      <c r="D126" s="29"/>
      <c r="E126" s="29"/>
      <c r="F126" s="29"/>
      <c r="G126" s="29"/>
      <c r="H126" s="31">
        <f>IF(base!F126&lt;&gt;"",VLOOKUP(F126,de_para!$A$1:$B$31,2,0)*base!G126,0)</f>
        <v>0</v>
      </c>
      <c r="I126" s="38"/>
      <c r="J126" s="29"/>
      <c r="K126" s="31">
        <f>IF(base!I126&lt;&gt;"",VLOOKUP(I126,de_para!$A$1:$B$31,2,0)*base!J126,0)</f>
        <v>0</v>
      </c>
      <c r="L126" s="38"/>
      <c r="M126" s="29"/>
      <c r="N126" s="31">
        <f>IF(base!L126&lt;&gt;"",VLOOKUP(L126,de_para!$A$1:$B$31,2,0)*base!M126,0)</f>
        <v>0</v>
      </c>
      <c r="O126" s="38"/>
      <c r="P126" s="29"/>
      <c r="Q126" s="31">
        <f>IF(base!O126&lt;&gt;"",VLOOKUP(O126,de_para!$A$1:$B$31,2,0)*base!P126,0)</f>
        <v>0</v>
      </c>
      <c r="R126" s="38"/>
      <c r="S126" s="29"/>
      <c r="T126" s="31">
        <f>IF(base!R126&lt;&gt;"",VLOOKUP(R126,de_para!$A$1:$B$31,2,0)*base!S126,0)</f>
        <v>0</v>
      </c>
      <c r="U126" s="30">
        <f t="shared" si="3"/>
        <v>0</v>
      </c>
    </row>
    <row r="127" spans="1:21" x14ac:dyDescent="0.35">
      <c r="A127" s="29"/>
      <c r="B127" s="29"/>
      <c r="C127" s="29"/>
      <c r="D127" s="29"/>
      <c r="E127" s="29"/>
      <c r="F127" s="29"/>
      <c r="G127" s="29"/>
      <c r="H127" s="31">
        <f>IF(base!F127&lt;&gt;"",VLOOKUP(F127,de_para!$A$1:$B$31,2,0)*base!G127,0)</f>
        <v>0</v>
      </c>
      <c r="I127" s="38"/>
      <c r="J127" s="29"/>
      <c r="K127" s="31">
        <f>IF(base!I127&lt;&gt;"",VLOOKUP(I127,de_para!$A$1:$B$31,2,0)*base!J127,0)</f>
        <v>0</v>
      </c>
      <c r="L127" s="38"/>
      <c r="M127" s="29"/>
      <c r="N127" s="31">
        <f>IF(base!L127&lt;&gt;"",VLOOKUP(L127,de_para!$A$1:$B$31,2,0)*base!M127,0)</f>
        <v>0</v>
      </c>
      <c r="O127" s="38"/>
      <c r="P127" s="29"/>
      <c r="Q127" s="31">
        <f>IF(base!O127&lt;&gt;"",VLOOKUP(O127,de_para!$A$1:$B$31,2,0)*base!P127,0)</f>
        <v>0</v>
      </c>
      <c r="R127" s="38"/>
      <c r="S127" s="29"/>
      <c r="T127" s="31">
        <f>IF(base!R127&lt;&gt;"",VLOOKUP(R127,de_para!$A$1:$B$31,2,0)*base!S127,0)</f>
        <v>0</v>
      </c>
      <c r="U127" s="30">
        <f t="shared" si="3"/>
        <v>0</v>
      </c>
    </row>
    <row r="128" spans="1:21" x14ac:dyDescent="0.35">
      <c r="A128" s="29"/>
      <c r="B128" s="29"/>
      <c r="C128" s="29"/>
      <c r="D128" s="29"/>
      <c r="E128" s="29"/>
      <c r="F128" s="29"/>
      <c r="G128" s="29"/>
      <c r="H128" s="31">
        <f>IF(base!F128&lt;&gt;"",VLOOKUP(F128,de_para!$A$1:$B$31,2,0)*base!G128,0)</f>
        <v>0</v>
      </c>
      <c r="I128" s="38"/>
      <c r="J128" s="29"/>
      <c r="K128" s="31">
        <f>IF(base!I128&lt;&gt;"",VLOOKUP(I128,de_para!$A$1:$B$31,2,0)*base!J128,0)</f>
        <v>0</v>
      </c>
      <c r="L128" s="38"/>
      <c r="M128" s="29"/>
      <c r="N128" s="31">
        <f>IF(base!L128&lt;&gt;"",VLOOKUP(L128,de_para!$A$1:$B$31,2,0)*base!M128,0)</f>
        <v>0</v>
      </c>
      <c r="O128" s="38"/>
      <c r="P128" s="29"/>
      <c r="Q128" s="31">
        <f>IF(base!O128&lt;&gt;"",VLOOKUP(O128,de_para!$A$1:$B$31,2,0)*base!P128,0)</f>
        <v>0</v>
      </c>
      <c r="R128" s="38"/>
      <c r="S128" s="29"/>
      <c r="T128" s="31">
        <f>IF(base!R128&lt;&gt;"",VLOOKUP(R128,de_para!$A$1:$B$31,2,0)*base!S128,0)</f>
        <v>0</v>
      </c>
      <c r="U128" s="30">
        <f t="shared" si="3"/>
        <v>0</v>
      </c>
    </row>
    <row r="129" spans="1:21" x14ac:dyDescent="0.35">
      <c r="A129" s="29"/>
      <c r="B129" s="29"/>
      <c r="C129" s="29"/>
      <c r="D129" s="29"/>
      <c r="E129" s="29"/>
      <c r="F129" s="29"/>
      <c r="G129" s="29"/>
      <c r="H129" s="31">
        <f>IF(base!F129&lt;&gt;"",VLOOKUP(F129,de_para!$A$1:$B$31,2,0)*base!G129,0)</f>
        <v>0</v>
      </c>
      <c r="I129" s="38"/>
      <c r="J129" s="29"/>
      <c r="K129" s="31">
        <f>IF(base!I129&lt;&gt;"",VLOOKUP(I129,de_para!$A$1:$B$31,2,0)*base!J129,0)</f>
        <v>0</v>
      </c>
      <c r="L129" s="38"/>
      <c r="M129" s="29"/>
      <c r="N129" s="31">
        <f>IF(base!L129&lt;&gt;"",VLOOKUP(L129,de_para!$A$1:$B$31,2,0)*base!M129,0)</f>
        <v>0</v>
      </c>
      <c r="O129" s="38"/>
      <c r="P129" s="29"/>
      <c r="Q129" s="31">
        <f>IF(base!O129&lt;&gt;"",VLOOKUP(O129,de_para!$A$1:$B$31,2,0)*base!P129,0)</f>
        <v>0</v>
      </c>
      <c r="R129" s="38"/>
      <c r="S129" s="29"/>
      <c r="T129" s="31">
        <f>IF(base!R129&lt;&gt;"",VLOOKUP(R129,de_para!$A$1:$B$31,2,0)*base!S129,0)</f>
        <v>0</v>
      </c>
      <c r="U129" s="30">
        <f t="shared" si="3"/>
        <v>0</v>
      </c>
    </row>
    <row r="130" spans="1:21" x14ac:dyDescent="0.35">
      <c r="A130" s="29"/>
      <c r="B130" s="29"/>
      <c r="C130" s="29"/>
      <c r="D130" s="29"/>
      <c r="E130" s="29"/>
      <c r="F130" s="29"/>
      <c r="G130" s="29"/>
      <c r="H130" s="31">
        <f>IF(base!F130&lt;&gt;"",VLOOKUP(F130,de_para!$A$1:$B$31,2,0)*base!G130,0)</f>
        <v>0</v>
      </c>
      <c r="I130" s="38"/>
      <c r="J130" s="29"/>
      <c r="K130" s="31">
        <f>IF(base!I130&lt;&gt;"",VLOOKUP(I130,de_para!$A$1:$B$31,2,0)*base!J130,0)</f>
        <v>0</v>
      </c>
      <c r="L130" s="38"/>
      <c r="M130" s="29"/>
      <c r="N130" s="31">
        <f>IF(base!L130&lt;&gt;"",VLOOKUP(L130,de_para!$A$1:$B$31,2,0)*base!M130,0)</f>
        <v>0</v>
      </c>
      <c r="O130" s="38"/>
      <c r="P130" s="29"/>
      <c r="Q130" s="31">
        <f>IF(base!O130&lt;&gt;"",VLOOKUP(O130,de_para!$A$1:$B$31,2,0)*base!P130,0)</f>
        <v>0</v>
      </c>
      <c r="R130" s="38"/>
      <c r="S130" s="29"/>
      <c r="T130" s="31">
        <f>IF(base!R130&lt;&gt;"",VLOOKUP(R130,de_para!$A$1:$B$31,2,0)*base!S130,0)</f>
        <v>0</v>
      </c>
      <c r="U130" s="30">
        <f t="shared" si="3"/>
        <v>0</v>
      </c>
    </row>
    <row r="131" spans="1:21" x14ac:dyDescent="0.35">
      <c r="A131" s="29"/>
      <c r="B131" s="29"/>
      <c r="C131" s="29"/>
      <c r="D131" s="29"/>
      <c r="E131" s="29"/>
      <c r="F131" s="29"/>
      <c r="G131" s="29"/>
      <c r="H131" s="31">
        <f>IF(base!F131&lt;&gt;"",VLOOKUP(F131,de_para!$A$1:$B$31,2,0)*base!G131,0)</f>
        <v>0</v>
      </c>
      <c r="I131" s="38"/>
      <c r="J131" s="29"/>
      <c r="K131" s="31">
        <f>IF(base!I131&lt;&gt;"",VLOOKUP(I131,de_para!$A$1:$B$31,2,0)*base!J131,0)</f>
        <v>0</v>
      </c>
      <c r="L131" s="38"/>
      <c r="M131" s="29"/>
      <c r="N131" s="31">
        <f>IF(base!L131&lt;&gt;"",VLOOKUP(L131,de_para!$A$1:$B$31,2,0)*base!M131,0)</f>
        <v>0</v>
      </c>
      <c r="O131" s="38"/>
      <c r="P131" s="29"/>
      <c r="Q131" s="31">
        <f>IF(base!O131&lt;&gt;"",VLOOKUP(O131,de_para!$A$1:$B$31,2,0)*base!P131,0)</f>
        <v>0</v>
      </c>
      <c r="R131" s="38"/>
      <c r="S131" s="29"/>
      <c r="T131" s="31">
        <f>IF(base!R131&lt;&gt;"",VLOOKUP(R131,de_para!$A$1:$B$31,2,0)*base!S131,0)</f>
        <v>0</v>
      </c>
      <c r="U131" s="30">
        <f t="shared" si="3"/>
        <v>0</v>
      </c>
    </row>
    <row r="132" spans="1:21" x14ac:dyDescent="0.35">
      <c r="A132" s="29"/>
      <c r="B132" s="29"/>
      <c r="C132" s="29"/>
      <c r="D132" s="29"/>
      <c r="E132" s="29"/>
      <c r="F132" s="29"/>
      <c r="G132" s="29"/>
      <c r="H132" s="31">
        <f>IF(base!F132&lt;&gt;"",VLOOKUP(F132,de_para!$A$1:$B$31,2,0)*base!G132,0)</f>
        <v>0</v>
      </c>
      <c r="I132" s="38"/>
      <c r="J132" s="29"/>
      <c r="K132" s="31">
        <f>IF(base!I132&lt;&gt;"",VLOOKUP(I132,de_para!$A$1:$B$31,2,0)*base!J132,0)</f>
        <v>0</v>
      </c>
      <c r="L132" s="38"/>
      <c r="M132" s="29"/>
      <c r="N132" s="31">
        <f>IF(base!L132&lt;&gt;"",VLOOKUP(L132,de_para!$A$1:$B$31,2,0)*base!M132,0)</f>
        <v>0</v>
      </c>
      <c r="O132" s="38"/>
      <c r="P132" s="29"/>
      <c r="Q132" s="31">
        <f>IF(base!O132&lt;&gt;"",VLOOKUP(O132,de_para!$A$1:$B$31,2,0)*base!P132,0)</f>
        <v>0</v>
      </c>
      <c r="R132" s="38"/>
      <c r="S132" s="29"/>
      <c r="T132" s="31">
        <f>IF(base!R132&lt;&gt;"",VLOOKUP(R132,de_para!$A$1:$B$31,2,0)*base!S132,0)</f>
        <v>0</v>
      </c>
      <c r="U132" s="30">
        <f t="shared" si="3"/>
        <v>0</v>
      </c>
    </row>
    <row r="133" spans="1:21" x14ac:dyDescent="0.35">
      <c r="A133" s="29"/>
      <c r="B133" s="29"/>
      <c r="C133" s="29"/>
      <c r="D133" s="29"/>
      <c r="E133" s="29"/>
      <c r="F133" s="29"/>
      <c r="G133" s="29"/>
      <c r="H133" s="31">
        <f>IF(base!F133&lt;&gt;"",VLOOKUP(F133,de_para!$A$1:$B$31,2,0)*base!G133,0)</f>
        <v>0</v>
      </c>
      <c r="I133" s="38"/>
      <c r="J133" s="29"/>
      <c r="K133" s="31">
        <f>IF(base!I133&lt;&gt;"",VLOOKUP(I133,de_para!$A$1:$B$31,2,0)*base!J133,0)</f>
        <v>0</v>
      </c>
      <c r="L133" s="38"/>
      <c r="M133" s="29"/>
      <c r="N133" s="31">
        <f>IF(base!L133&lt;&gt;"",VLOOKUP(L133,de_para!$A$1:$B$31,2,0)*base!M133,0)</f>
        <v>0</v>
      </c>
      <c r="O133" s="38"/>
      <c r="P133" s="29"/>
      <c r="Q133" s="31">
        <f>IF(base!O133&lt;&gt;"",VLOOKUP(O133,de_para!$A$1:$B$31,2,0)*base!P133,0)</f>
        <v>0</v>
      </c>
      <c r="R133" s="38"/>
      <c r="S133" s="29"/>
      <c r="T133" s="31">
        <f>IF(base!R133&lt;&gt;"",VLOOKUP(R133,de_para!$A$1:$B$31,2,0)*base!S133,0)</f>
        <v>0</v>
      </c>
      <c r="U133" s="30">
        <f t="shared" si="3"/>
        <v>0</v>
      </c>
    </row>
    <row r="134" spans="1:21" x14ac:dyDescent="0.35">
      <c r="A134" s="29"/>
      <c r="B134" s="29"/>
      <c r="C134" s="29"/>
      <c r="D134" s="29"/>
      <c r="E134" s="29"/>
      <c r="F134" s="29"/>
      <c r="G134" s="29"/>
      <c r="H134" s="31">
        <f>IF(base!F134&lt;&gt;"",VLOOKUP(F134,de_para!$A$1:$B$31,2,0)*base!G134,0)</f>
        <v>0</v>
      </c>
      <c r="I134" s="38"/>
      <c r="J134" s="29"/>
      <c r="K134" s="31">
        <f>IF(base!I134&lt;&gt;"",VLOOKUP(I134,de_para!$A$1:$B$31,2,0)*base!J134,0)</f>
        <v>0</v>
      </c>
      <c r="L134" s="38"/>
      <c r="M134" s="29"/>
      <c r="N134" s="31">
        <f>IF(base!L134&lt;&gt;"",VLOOKUP(L134,de_para!$A$1:$B$31,2,0)*base!M134,0)</f>
        <v>0</v>
      </c>
      <c r="O134" s="38"/>
      <c r="P134" s="29"/>
      <c r="Q134" s="31">
        <f>IF(base!O134&lt;&gt;"",VLOOKUP(O134,de_para!$A$1:$B$31,2,0)*base!P134,0)</f>
        <v>0</v>
      </c>
      <c r="R134" s="38"/>
      <c r="S134" s="29"/>
      <c r="T134" s="31">
        <f>IF(base!R134&lt;&gt;"",VLOOKUP(R134,de_para!$A$1:$B$31,2,0)*base!S134,0)</f>
        <v>0</v>
      </c>
      <c r="U134" s="30">
        <f t="shared" si="3"/>
        <v>0</v>
      </c>
    </row>
    <row r="135" spans="1:21" x14ac:dyDescent="0.35">
      <c r="A135" s="29"/>
      <c r="B135" s="29"/>
      <c r="C135" s="29"/>
      <c r="D135" s="29"/>
      <c r="E135" s="29"/>
      <c r="F135" s="29"/>
      <c r="G135" s="29"/>
      <c r="H135" s="31">
        <f>IF(base!F135&lt;&gt;"",VLOOKUP(F135,de_para!$A$1:$B$31,2,0)*base!G135,0)</f>
        <v>0</v>
      </c>
      <c r="I135" s="38"/>
      <c r="J135" s="29"/>
      <c r="K135" s="31">
        <f>IF(base!I135&lt;&gt;"",VLOOKUP(I135,de_para!$A$1:$B$31,2,0)*base!J135,0)</f>
        <v>0</v>
      </c>
      <c r="L135" s="38"/>
      <c r="M135" s="29"/>
      <c r="N135" s="31">
        <f>IF(base!L135&lt;&gt;"",VLOOKUP(L135,de_para!$A$1:$B$31,2,0)*base!M135,0)</f>
        <v>0</v>
      </c>
      <c r="O135" s="38"/>
      <c r="P135" s="29"/>
      <c r="Q135" s="31">
        <f>IF(base!O135&lt;&gt;"",VLOOKUP(O135,de_para!$A$1:$B$31,2,0)*base!P135,0)</f>
        <v>0</v>
      </c>
      <c r="R135" s="38"/>
      <c r="S135" s="29"/>
      <c r="T135" s="31">
        <f>IF(base!R135&lt;&gt;"",VLOOKUP(R135,de_para!$A$1:$B$31,2,0)*base!S135,0)</f>
        <v>0</v>
      </c>
      <c r="U135" s="30">
        <f t="shared" si="3"/>
        <v>0</v>
      </c>
    </row>
    <row r="136" spans="1:21" x14ac:dyDescent="0.35">
      <c r="A136" s="29"/>
      <c r="B136" s="29"/>
      <c r="C136" s="29"/>
      <c r="D136" s="29"/>
      <c r="E136" s="29"/>
      <c r="F136" s="29"/>
      <c r="G136" s="29"/>
      <c r="H136" s="31">
        <f>IF(base!F136&lt;&gt;"",VLOOKUP(F136,de_para!$A$1:$B$31,2,0)*base!G136,0)</f>
        <v>0</v>
      </c>
      <c r="I136" s="38"/>
      <c r="J136" s="29"/>
      <c r="K136" s="31">
        <f>IF(base!I136&lt;&gt;"",VLOOKUP(I136,de_para!$A$1:$B$31,2,0)*base!J136,0)</f>
        <v>0</v>
      </c>
      <c r="L136" s="38"/>
      <c r="M136" s="29"/>
      <c r="N136" s="31">
        <f>IF(base!L136&lt;&gt;"",VLOOKUP(L136,de_para!$A$1:$B$31,2,0)*base!M136,0)</f>
        <v>0</v>
      </c>
      <c r="O136" s="38"/>
      <c r="P136" s="29"/>
      <c r="Q136" s="31">
        <f>IF(base!O136&lt;&gt;"",VLOOKUP(O136,de_para!$A$1:$B$31,2,0)*base!P136,0)</f>
        <v>0</v>
      </c>
      <c r="R136" s="38"/>
      <c r="S136" s="29"/>
      <c r="T136" s="31">
        <f>IF(base!R136&lt;&gt;"",VLOOKUP(R136,de_para!$A$1:$B$31,2,0)*base!S136,0)</f>
        <v>0</v>
      </c>
      <c r="U136" s="30">
        <f t="shared" si="3"/>
        <v>0</v>
      </c>
    </row>
    <row r="137" spans="1:21" x14ac:dyDescent="0.35">
      <c r="A137" s="29"/>
      <c r="B137" s="29"/>
      <c r="C137" s="29"/>
      <c r="D137" s="29"/>
      <c r="E137" s="29"/>
      <c r="F137" s="29"/>
      <c r="G137" s="29"/>
      <c r="H137" s="31">
        <f>IF(base!F137&lt;&gt;"",VLOOKUP(F137,de_para!$A$1:$B$31,2,0)*base!G137,0)</f>
        <v>0</v>
      </c>
      <c r="I137" s="38"/>
      <c r="J137" s="29"/>
      <c r="K137" s="31">
        <f>IF(base!I137&lt;&gt;"",VLOOKUP(I137,de_para!$A$1:$B$31,2,0)*base!J137,0)</f>
        <v>0</v>
      </c>
      <c r="L137" s="38"/>
      <c r="M137" s="29"/>
      <c r="N137" s="31">
        <f>IF(base!L137&lt;&gt;"",VLOOKUP(L137,de_para!$A$1:$B$31,2,0)*base!M137,0)</f>
        <v>0</v>
      </c>
      <c r="O137" s="38"/>
      <c r="P137" s="29"/>
      <c r="Q137" s="31">
        <f>IF(base!O137&lt;&gt;"",VLOOKUP(O137,de_para!$A$1:$B$31,2,0)*base!P137,0)</f>
        <v>0</v>
      </c>
      <c r="R137" s="38"/>
      <c r="S137" s="29"/>
      <c r="T137" s="31">
        <f>IF(base!R137&lt;&gt;"",VLOOKUP(R137,de_para!$A$1:$B$31,2,0)*base!S137,0)</f>
        <v>0</v>
      </c>
      <c r="U137" s="30">
        <f t="shared" si="3"/>
        <v>0</v>
      </c>
    </row>
    <row r="138" spans="1:21" x14ac:dyDescent="0.35">
      <c r="A138" s="29"/>
      <c r="B138" s="29"/>
      <c r="C138" s="29"/>
      <c r="D138" s="29"/>
      <c r="E138" s="29"/>
      <c r="F138" s="29"/>
      <c r="G138" s="29"/>
      <c r="H138" s="31">
        <f>IF(base!F138&lt;&gt;"",VLOOKUP(F138,de_para!$A$1:$B$31,2,0)*base!G138,0)</f>
        <v>0</v>
      </c>
      <c r="I138" s="38"/>
      <c r="J138" s="29"/>
      <c r="K138" s="31">
        <f>IF(base!I138&lt;&gt;"",VLOOKUP(I138,de_para!$A$1:$B$31,2,0)*base!J138,0)</f>
        <v>0</v>
      </c>
      <c r="L138" s="38"/>
      <c r="M138" s="29"/>
      <c r="N138" s="31">
        <f>IF(base!L138&lt;&gt;"",VLOOKUP(L138,de_para!$A$1:$B$31,2,0)*base!M138,0)</f>
        <v>0</v>
      </c>
      <c r="O138" s="38"/>
      <c r="P138" s="29"/>
      <c r="Q138" s="31">
        <f>IF(base!O138&lt;&gt;"",VLOOKUP(O138,de_para!$A$1:$B$31,2,0)*base!P138,0)</f>
        <v>0</v>
      </c>
      <c r="R138" s="38"/>
      <c r="S138" s="29"/>
      <c r="T138" s="31">
        <f>IF(base!R138&lt;&gt;"",VLOOKUP(R138,de_para!$A$1:$B$31,2,0)*base!S138,0)</f>
        <v>0</v>
      </c>
      <c r="U138" s="30">
        <f t="shared" si="3"/>
        <v>0</v>
      </c>
    </row>
    <row r="139" spans="1:21" x14ac:dyDescent="0.35">
      <c r="A139" s="29"/>
      <c r="B139" s="29"/>
      <c r="C139" s="29"/>
      <c r="D139" s="29"/>
      <c r="E139" s="29"/>
      <c r="F139" s="29"/>
      <c r="G139" s="29"/>
      <c r="H139" s="31">
        <f>IF(base!F139&lt;&gt;"",VLOOKUP(F139,de_para!$A$1:$B$31,2,0)*base!G139,0)</f>
        <v>0</v>
      </c>
      <c r="I139" s="38"/>
      <c r="J139" s="29"/>
      <c r="K139" s="31">
        <f>IF(base!I139&lt;&gt;"",VLOOKUP(I139,de_para!$A$1:$B$31,2,0)*base!J139,0)</f>
        <v>0</v>
      </c>
      <c r="L139" s="38"/>
      <c r="M139" s="29"/>
      <c r="N139" s="31">
        <f>IF(base!L139&lt;&gt;"",VLOOKUP(L139,de_para!$A$1:$B$31,2,0)*base!M139,0)</f>
        <v>0</v>
      </c>
      <c r="O139" s="38"/>
      <c r="P139" s="29"/>
      <c r="Q139" s="31">
        <f>IF(base!O139&lt;&gt;"",VLOOKUP(O139,de_para!$A$1:$B$31,2,0)*base!P139,0)</f>
        <v>0</v>
      </c>
      <c r="R139" s="38"/>
      <c r="S139" s="29"/>
      <c r="T139" s="31">
        <f>IF(base!R139&lt;&gt;"",VLOOKUP(R139,de_para!$A$1:$B$31,2,0)*base!S139,0)</f>
        <v>0</v>
      </c>
      <c r="U139" s="30">
        <f t="shared" si="3"/>
        <v>0</v>
      </c>
    </row>
    <row r="140" spans="1:21" x14ac:dyDescent="0.35">
      <c r="A140" s="29"/>
      <c r="B140" s="29"/>
      <c r="C140" s="29"/>
      <c r="D140" s="29"/>
      <c r="E140" s="29"/>
      <c r="F140" s="29"/>
      <c r="G140" s="29"/>
      <c r="H140" s="31">
        <f>IF(base!F140&lt;&gt;"",VLOOKUP(F140,de_para!$A$1:$B$31,2,0)*base!G140,0)</f>
        <v>0</v>
      </c>
      <c r="I140" s="38"/>
      <c r="J140" s="29"/>
      <c r="K140" s="31">
        <f>IF(base!I140&lt;&gt;"",VLOOKUP(I140,de_para!$A$1:$B$31,2,0)*base!J140,0)</f>
        <v>0</v>
      </c>
      <c r="L140" s="38"/>
      <c r="M140" s="29"/>
      <c r="N140" s="31">
        <f>IF(base!L140&lt;&gt;"",VLOOKUP(L140,de_para!$A$1:$B$31,2,0)*base!M140,0)</f>
        <v>0</v>
      </c>
      <c r="O140" s="38"/>
      <c r="P140" s="29"/>
      <c r="Q140" s="31">
        <f>IF(base!O140&lt;&gt;"",VLOOKUP(O140,de_para!$A$1:$B$31,2,0)*base!P140,0)</f>
        <v>0</v>
      </c>
      <c r="R140" s="38"/>
      <c r="S140" s="29"/>
      <c r="T140" s="31">
        <f>IF(base!R140&lt;&gt;"",VLOOKUP(R140,de_para!$A$1:$B$31,2,0)*base!S140,0)</f>
        <v>0</v>
      </c>
      <c r="U140" s="30">
        <f t="shared" si="3"/>
        <v>0</v>
      </c>
    </row>
    <row r="141" spans="1:21" x14ac:dyDescent="0.35">
      <c r="A141" s="29"/>
      <c r="B141" s="29"/>
      <c r="C141" s="29"/>
      <c r="D141" s="29"/>
      <c r="E141" s="29"/>
      <c r="F141" s="29"/>
      <c r="G141" s="29"/>
      <c r="H141" s="31">
        <f>IF(base!F141&lt;&gt;"",VLOOKUP(F141,de_para!$A$1:$B$31,2,0)*base!G141,0)</f>
        <v>0</v>
      </c>
      <c r="I141" s="38"/>
      <c r="J141" s="29"/>
      <c r="K141" s="31">
        <f>IF(base!I141&lt;&gt;"",VLOOKUP(I141,de_para!$A$1:$B$31,2,0)*base!J141,0)</f>
        <v>0</v>
      </c>
      <c r="L141" s="38"/>
      <c r="M141" s="29"/>
      <c r="N141" s="31">
        <f>IF(base!L141&lt;&gt;"",VLOOKUP(L141,de_para!$A$1:$B$31,2,0)*base!M141,0)</f>
        <v>0</v>
      </c>
      <c r="O141" s="38"/>
      <c r="P141" s="29"/>
      <c r="Q141" s="31">
        <f>IF(base!O141&lt;&gt;"",VLOOKUP(O141,de_para!$A$1:$B$31,2,0)*base!P141,0)</f>
        <v>0</v>
      </c>
      <c r="R141" s="38"/>
      <c r="S141" s="29"/>
      <c r="T141" s="31">
        <f>IF(base!R141&lt;&gt;"",VLOOKUP(R141,de_para!$A$1:$B$31,2,0)*base!S141,0)</f>
        <v>0</v>
      </c>
      <c r="U141" s="30">
        <f t="shared" si="3"/>
        <v>0</v>
      </c>
    </row>
    <row r="142" spans="1:21" x14ac:dyDescent="0.35">
      <c r="A142" s="29"/>
      <c r="B142" s="29"/>
      <c r="C142" s="29"/>
      <c r="D142" s="29"/>
      <c r="E142" s="29"/>
      <c r="F142" s="29"/>
      <c r="G142" s="29"/>
      <c r="H142" s="31">
        <f>IF(base!F142&lt;&gt;"",VLOOKUP(F142,de_para!$A$1:$B$31,2,0)*base!G142,0)</f>
        <v>0</v>
      </c>
      <c r="I142" s="38"/>
      <c r="J142" s="29"/>
      <c r="K142" s="31">
        <f>IF(base!I142&lt;&gt;"",VLOOKUP(I142,de_para!$A$1:$B$31,2,0)*base!J142,0)</f>
        <v>0</v>
      </c>
      <c r="L142" s="38"/>
      <c r="M142" s="29"/>
      <c r="N142" s="31">
        <f>IF(base!L142&lt;&gt;"",VLOOKUP(L142,de_para!$A$1:$B$31,2,0)*base!M142,0)</f>
        <v>0</v>
      </c>
      <c r="O142" s="38"/>
      <c r="P142" s="29"/>
      <c r="Q142" s="31">
        <f>IF(base!O142&lt;&gt;"",VLOOKUP(O142,de_para!$A$1:$B$31,2,0)*base!P142,0)</f>
        <v>0</v>
      </c>
      <c r="R142" s="38"/>
      <c r="S142" s="29"/>
      <c r="T142" s="31">
        <f>IF(base!R142&lt;&gt;"",VLOOKUP(R142,de_para!$A$1:$B$31,2,0)*base!S142,0)</f>
        <v>0</v>
      </c>
      <c r="U142" s="30">
        <f t="shared" si="3"/>
        <v>0</v>
      </c>
    </row>
    <row r="143" spans="1:21" x14ac:dyDescent="0.35">
      <c r="A143" s="29"/>
      <c r="B143" s="29"/>
      <c r="C143" s="29"/>
      <c r="D143" s="29"/>
      <c r="E143" s="29"/>
      <c r="F143" s="29"/>
      <c r="G143" s="29"/>
      <c r="H143" s="31">
        <f>IF(base!F143&lt;&gt;"",VLOOKUP(F143,de_para!$A$1:$B$31,2,0)*base!G143,0)</f>
        <v>0</v>
      </c>
      <c r="I143" s="38"/>
      <c r="J143" s="29"/>
      <c r="K143" s="31">
        <f>IF(base!I143&lt;&gt;"",VLOOKUP(I143,de_para!$A$1:$B$31,2,0)*base!J143,0)</f>
        <v>0</v>
      </c>
      <c r="L143" s="38"/>
      <c r="M143" s="29"/>
      <c r="N143" s="31">
        <f>IF(base!L143&lt;&gt;"",VLOOKUP(L143,de_para!$A$1:$B$31,2,0)*base!M143,0)</f>
        <v>0</v>
      </c>
      <c r="O143" s="38"/>
      <c r="P143" s="29"/>
      <c r="Q143" s="31">
        <f>IF(base!O143&lt;&gt;"",VLOOKUP(O143,de_para!$A$1:$B$31,2,0)*base!P143,0)</f>
        <v>0</v>
      </c>
      <c r="R143" s="38"/>
      <c r="S143" s="29"/>
      <c r="T143" s="31">
        <f>IF(base!R143&lt;&gt;"",VLOOKUP(R143,de_para!$A$1:$B$31,2,0)*base!S143,0)</f>
        <v>0</v>
      </c>
      <c r="U143" s="30">
        <f t="shared" si="3"/>
        <v>0</v>
      </c>
    </row>
    <row r="144" spans="1:21" x14ac:dyDescent="0.35">
      <c r="A144" s="29"/>
      <c r="B144" s="29"/>
      <c r="C144" s="29"/>
      <c r="D144" s="29"/>
      <c r="E144" s="29"/>
      <c r="F144" s="29"/>
      <c r="G144" s="29"/>
      <c r="H144" s="31">
        <f>IF(base!F144&lt;&gt;"",VLOOKUP(F144,de_para!$A$1:$B$31,2,0)*base!G144,0)</f>
        <v>0</v>
      </c>
      <c r="I144" s="38"/>
      <c r="J144" s="29"/>
      <c r="K144" s="31">
        <f>IF(base!I144&lt;&gt;"",VLOOKUP(I144,de_para!$A$1:$B$31,2,0)*base!J144,0)</f>
        <v>0</v>
      </c>
      <c r="L144" s="38"/>
      <c r="M144" s="29"/>
      <c r="N144" s="31">
        <f>IF(base!L144&lt;&gt;"",VLOOKUP(L144,de_para!$A$1:$B$31,2,0)*base!M144,0)</f>
        <v>0</v>
      </c>
      <c r="O144" s="38"/>
      <c r="P144" s="29"/>
      <c r="Q144" s="31">
        <f>IF(base!O144&lt;&gt;"",VLOOKUP(O144,de_para!$A$1:$B$31,2,0)*base!P144,0)</f>
        <v>0</v>
      </c>
      <c r="R144" s="38"/>
      <c r="S144" s="29"/>
      <c r="T144" s="31">
        <f>IF(base!R144&lt;&gt;"",VLOOKUP(R144,de_para!$A$1:$B$31,2,0)*base!S144,0)</f>
        <v>0</v>
      </c>
      <c r="U144" s="30">
        <f t="shared" si="3"/>
        <v>0</v>
      </c>
    </row>
    <row r="145" spans="1:21" x14ac:dyDescent="0.35">
      <c r="A145" s="29"/>
      <c r="B145" s="29"/>
      <c r="C145" s="29"/>
      <c r="D145" s="29"/>
      <c r="E145" s="29"/>
      <c r="F145" s="29"/>
      <c r="G145" s="29"/>
      <c r="H145" s="31">
        <f>IF(base!F145&lt;&gt;"",VLOOKUP(F145,de_para!$A$1:$B$31,2,0)*base!G145,0)</f>
        <v>0</v>
      </c>
      <c r="I145" s="38"/>
      <c r="J145" s="29"/>
      <c r="K145" s="31">
        <f>IF(base!I145&lt;&gt;"",VLOOKUP(I145,de_para!$A$1:$B$31,2,0)*base!J145,0)</f>
        <v>0</v>
      </c>
      <c r="L145" s="38"/>
      <c r="M145" s="29"/>
      <c r="N145" s="31">
        <f>IF(base!L145&lt;&gt;"",VLOOKUP(L145,de_para!$A$1:$B$31,2,0)*base!M145,0)</f>
        <v>0</v>
      </c>
      <c r="O145" s="38"/>
      <c r="P145" s="29"/>
      <c r="Q145" s="31">
        <f>IF(base!O145&lt;&gt;"",VLOOKUP(O145,de_para!$A$1:$B$31,2,0)*base!P145,0)</f>
        <v>0</v>
      </c>
      <c r="R145" s="38"/>
      <c r="S145" s="29"/>
      <c r="T145" s="31">
        <f>IF(base!R145&lt;&gt;"",VLOOKUP(R145,de_para!$A$1:$B$31,2,0)*base!S145,0)</f>
        <v>0</v>
      </c>
      <c r="U145" s="30">
        <f t="shared" si="3"/>
        <v>0</v>
      </c>
    </row>
    <row r="146" spans="1:21" x14ac:dyDescent="0.35">
      <c r="A146" s="29"/>
      <c r="B146" s="29"/>
      <c r="C146" s="29"/>
      <c r="D146" s="29"/>
      <c r="E146" s="29"/>
      <c r="F146" s="29"/>
      <c r="G146" s="29"/>
      <c r="H146" s="31">
        <f>IF(base!F146&lt;&gt;"",VLOOKUP(F146,de_para!$A$1:$B$31,2,0)*base!G146,0)</f>
        <v>0</v>
      </c>
      <c r="I146" s="38"/>
      <c r="J146" s="29"/>
      <c r="K146" s="31">
        <f>IF(base!I146&lt;&gt;"",VLOOKUP(I146,de_para!$A$1:$B$31,2,0)*base!J146,0)</f>
        <v>0</v>
      </c>
      <c r="L146" s="38"/>
      <c r="M146" s="29"/>
      <c r="N146" s="31">
        <f>IF(base!L146&lt;&gt;"",VLOOKUP(L146,de_para!$A$1:$B$31,2,0)*base!M146,0)</f>
        <v>0</v>
      </c>
      <c r="O146" s="38"/>
      <c r="P146" s="29"/>
      <c r="Q146" s="31">
        <f>IF(base!O146&lt;&gt;"",VLOOKUP(O146,de_para!$A$1:$B$31,2,0)*base!P146,0)</f>
        <v>0</v>
      </c>
      <c r="R146" s="38"/>
      <c r="S146" s="29"/>
      <c r="T146" s="31">
        <f>IF(base!R146&lt;&gt;"",VLOOKUP(R146,de_para!$A$1:$B$31,2,0)*base!S146,0)</f>
        <v>0</v>
      </c>
      <c r="U146" s="30">
        <f t="shared" si="3"/>
        <v>0</v>
      </c>
    </row>
    <row r="147" spans="1:21" x14ac:dyDescent="0.35">
      <c r="A147" s="29"/>
      <c r="B147" s="29"/>
      <c r="C147" s="29"/>
      <c r="D147" s="29"/>
      <c r="E147" s="29"/>
      <c r="F147" s="29"/>
      <c r="G147" s="29"/>
      <c r="H147" s="31">
        <f>IF(base!F147&lt;&gt;"",VLOOKUP(F147,de_para!$A$1:$B$31,2,0)*base!G147,0)</f>
        <v>0</v>
      </c>
      <c r="I147" s="38"/>
      <c r="J147" s="29"/>
      <c r="K147" s="31">
        <f>IF(base!I147&lt;&gt;"",VLOOKUP(I147,de_para!$A$1:$B$31,2,0)*base!J147,0)</f>
        <v>0</v>
      </c>
      <c r="L147" s="38"/>
      <c r="M147" s="29"/>
      <c r="N147" s="31">
        <f>IF(base!L147&lt;&gt;"",VLOOKUP(L147,de_para!$A$1:$B$31,2,0)*base!M147,0)</f>
        <v>0</v>
      </c>
      <c r="O147" s="38"/>
      <c r="P147" s="29"/>
      <c r="Q147" s="31">
        <f>IF(base!O147&lt;&gt;"",VLOOKUP(O147,de_para!$A$1:$B$31,2,0)*base!P147,0)</f>
        <v>0</v>
      </c>
      <c r="R147" s="38"/>
      <c r="S147" s="29"/>
      <c r="T147" s="31">
        <f>IF(base!R147&lt;&gt;"",VLOOKUP(R147,de_para!$A$1:$B$31,2,0)*base!S147,0)</f>
        <v>0</v>
      </c>
      <c r="U147" s="30">
        <f t="shared" si="3"/>
        <v>0</v>
      </c>
    </row>
    <row r="148" spans="1:21" x14ac:dyDescent="0.35">
      <c r="A148" s="29"/>
      <c r="B148" s="29"/>
      <c r="C148" s="29"/>
      <c r="D148" s="29"/>
      <c r="E148" s="29"/>
      <c r="F148" s="29"/>
      <c r="G148" s="29"/>
      <c r="H148" s="31">
        <f>IF(base!F148&lt;&gt;"",VLOOKUP(F148,de_para!$A$1:$B$31,2,0)*base!G148,0)</f>
        <v>0</v>
      </c>
      <c r="I148" s="38"/>
      <c r="J148" s="29"/>
      <c r="K148" s="31">
        <f>IF(base!I148&lt;&gt;"",VLOOKUP(I148,de_para!$A$1:$B$31,2,0)*base!J148,0)</f>
        <v>0</v>
      </c>
      <c r="L148" s="38"/>
      <c r="M148" s="29"/>
      <c r="N148" s="31">
        <f>IF(base!L148&lt;&gt;"",VLOOKUP(L148,de_para!$A$1:$B$31,2,0)*base!M148,0)</f>
        <v>0</v>
      </c>
      <c r="O148" s="38"/>
      <c r="P148" s="29"/>
      <c r="Q148" s="31">
        <f>IF(base!O148&lt;&gt;"",VLOOKUP(O148,de_para!$A$1:$B$31,2,0)*base!P148,0)</f>
        <v>0</v>
      </c>
      <c r="R148" s="38"/>
      <c r="S148" s="29"/>
      <c r="T148" s="31">
        <f>IF(base!R148&lt;&gt;"",VLOOKUP(R148,de_para!$A$1:$B$31,2,0)*base!S148,0)</f>
        <v>0</v>
      </c>
      <c r="U148" s="30">
        <f t="shared" si="3"/>
        <v>0</v>
      </c>
    </row>
    <row r="149" spans="1:21" x14ac:dyDescent="0.35">
      <c r="A149" s="29"/>
      <c r="B149" s="29"/>
      <c r="C149" s="29"/>
      <c r="D149" s="29"/>
      <c r="E149" s="29"/>
      <c r="F149" s="29"/>
      <c r="G149" s="29"/>
      <c r="H149" s="31">
        <f>IF(base!F149&lt;&gt;"",VLOOKUP(F149,de_para!$A$1:$B$31,2,0)*base!G149,0)</f>
        <v>0</v>
      </c>
      <c r="I149" s="38"/>
      <c r="J149" s="29"/>
      <c r="K149" s="31">
        <f>IF(base!I149&lt;&gt;"",VLOOKUP(I149,de_para!$A$1:$B$31,2,0)*base!J149,0)</f>
        <v>0</v>
      </c>
      <c r="L149" s="38"/>
      <c r="M149" s="29"/>
      <c r="N149" s="31">
        <f>IF(base!L149&lt;&gt;"",VLOOKUP(L149,de_para!$A$1:$B$31,2,0)*base!M149,0)</f>
        <v>0</v>
      </c>
      <c r="O149" s="38"/>
      <c r="P149" s="29"/>
      <c r="Q149" s="31">
        <f>IF(base!O149&lt;&gt;"",VLOOKUP(O149,de_para!$A$1:$B$31,2,0)*base!P149,0)</f>
        <v>0</v>
      </c>
      <c r="R149" s="38"/>
      <c r="S149" s="29"/>
      <c r="T149" s="31">
        <f>IF(base!R149&lt;&gt;"",VLOOKUP(R149,de_para!$A$1:$B$31,2,0)*base!S149,0)</f>
        <v>0</v>
      </c>
      <c r="U149" s="30">
        <f t="shared" si="3"/>
        <v>0</v>
      </c>
    </row>
    <row r="150" spans="1:21" x14ac:dyDescent="0.35">
      <c r="A150" s="29"/>
      <c r="B150" s="29"/>
      <c r="C150" s="29"/>
      <c r="D150" s="29"/>
      <c r="E150" s="29"/>
      <c r="F150" s="29"/>
      <c r="G150" s="29"/>
      <c r="H150" s="31">
        <f>IF(base!F150&lt;&gt;"",VLOOKUP(F150,de_para!$A$1:$B$31,2,0)*base!G150,0)</f>
        <v>0</v>
      </c>
      <c r="I150" s="38"/>
      <c r="J150" s="29"/>
      <c r="K150" s="31">
        <f>IF(base!I150&lt;&gt;"",VLOOKUP(I150,de_para!$A$1:$B$31,2,0)*base!J150,0)</f>
        <v>0</v>
      </c>
      <c r="L150" s="38"/>
      <c r="M150" s="29"/>
      <c r="N150" s="31">
        <f>IF(base!L150&lt;&gt;"",VLOOKUP(L150,de_para!$A$1:$B$31,2,0)*base!M150,0)</f>
        <v>0</v>
      </c>
      <c r="O150" s="38"/>
      <c r="P150" s="29"/>
      <c r="Q150" s="31">
        <f>IF(base!O150&lt;&gt;"",VLOOKUP(O150,de_para!$A$1:$B$31,2,0)*base!P150,0)</f>
        <v>0</v>
      </c>
      <c r="R150" s="38"/>
      <c r="S150" s="29"/>
      <c r="T150" s="31">
        <f>IF(base!R150&lt;&gt;"",VLOOKUP(R150,de_para!$A$1:$B$31,2,0)*base!S150,0)</f>
        <v>0</v>
      </c>
      <c r="U150" s="30">
        <f t="shared" si="3"/>
        <v>0</v>
      </c>
    </row>
    <row r="151" spans="1:21" x14ac:dyDescent="0.35">
      <c r="A151" s="29"/>
      <c r="B151" s="29"/>
      <c r="C151" s="29"/>
      <c r="D151" s="29"/>
      <c r="E151" s="29"/>
      <c r="F151" s="29"/>
      <c r="G151" s="29"/>
      <c r="H151" s="31">
        <f>IF(base!F151&lt;&gt;"",VLOOKUP(F151,de_para!$A$1:$B$31,2,0)*base!G151,0)</f>
        <v>0</v>
      </c>
      <c r="I151" s="38"/>
      <c r="J151" s="29"/>
      <c r="K151" s="31">
        <f>IF(base!I151&lt;&gt;"",VLOOKUP(I151,de_para!$A$1:$B$31,2,0)*base!J151,0)</f>
        <v>0</v>
      </c>
      <c r="L151" s="38"/>
      <c r="M151" s="29"/>
      <c r="N151" s="31">
        <f>IF(base!L151&lt;&gt;"",VLOOKUP(L151,de_para!$A$1:$B$31,2,0)*base!M151,0)</f>
        <v>0</v>
      </c>
      <c r="O151" s="38"/>
      <c r="P151" s="29"/>
      <c r="Q151" s="31">
        <f>IF(base!O151&lt;&gt;"",VLOOKUP(O151,de_para!$A$1:$B$31,2,0)*base!P151,0)</f>
        <v>0</v>
      </c>
      <c r="R151" s="38"/>
      <c r="S151" s="29"/>
      <c r="T151" s="31">
        <f>IF(base!R151&lt;&gt;"",VLOOKUP(R151,de_para!$A$1:$B$31,2,0)*base!S151,0)</f>
        <v>0</v>
      </c>
      <c r="U151" s="30">
        <f t="shared" si="3"/>
        <v>0</v>
      </c>
    </row>
    <row r="152" spans="1:21" x14ac:dyDescent="0.35">
      <c r="A152" s="29"/>
      <c r="B152" s="29"/>
      <c r="C152" s="29"/>
      <c r="D152" s="29"/>
      <c r="E152" s="29"/>
      <c r="F152" s="29"/>
      <c r="G152" s="29"/>
      <c r="H152" s="31">
        <f>IF(base!F152&lt;&gt;"",VLOOKUP(F152,de_para!$A$1:$B$31,2,0)*base!G152,0)</f>
        <v>0</v>
      </c>
      <c r="I152" s="38"/>
      <c r="J152" s="29"/>
      <c r="K152" s="31">
        <f>IF(base!I152&lt;&gt;"",VLOOKUP(I152,de_para!$A$1:$B$31,2,0)*base!J152,0)</f>
        <v>0</v>
      </c>
      <c r="L152" s="38"/>
      <c r="M152" s="29"/>
      <c r="N152" s="31">
        <f>IF(base!L152&lt;&gt;"",VLOOKUP(L152,de_para!$A$1:$B$31,2,0)*base!M152,0)</f>
        <v>0</v>
      </c>
      <c r="O152" s="38"/>
      <c r="P152" s="29"/>
      <c r="Q152" s="31">
        <f>IF(base!O152&lt;&gt;"",VLOOKUP(O152,de_para!$A$1:$B$31,2,0)*base!P152,0)</f>
        <v>0</v>
      </c>
      <c r="R152" s="38"/>
      <c r="S152" s="29"/>
      <c r="T152" s="31">
        <f>IF(base!R152&lt;&gt;"",VLOOKUP(R152,de_para!$A$1:$B$31,2,0)*base!S152,0)</f>
        <v>0</v>
      </c>
      <c r="U152" s="30">
        <f t="shared" si="3"/>
        <v>0</v>
      </c>
    </row>
    <row r="153" spans="1:21" x14ac:dyDescent="0.35">
      <c r="A153" s="29"/>
      <c r="B153" s="29"/>
      <c r="C153" s="29"/>
      <c r="D153" s="29"/>
      <c r="E153" s="29"/>
      <c r="F153" s="29"/>
      <c r="G153" s="29"/>
      <c r="H153" s="31">
        <f>IF(base!F153&lt;&gt;"",VLOOKUP(F153,de_para!$A$1:$B$31,2,0)*base!G153,0)</f>
        <v>0</v>
      </c>
      <c r="I153" s="38"/>
      <c r="J153" s="29"/>
      <c r="K153" s="31">
        <f>IF(base!I153&lt;&gt;"",VLOOKUP(I153,de_para!$A$1:$B$31,2,0)*base!J153,0)</f>
        <v>0</v>
      </c>
      <c r="L153" s="38"/>
      <c r="M153" s="29"/>
      <c r="N153" s="31">
        <f>IF(base!L153&lt;&gt;"",VLOOKUP(L153,de_para!$A$1:$B$31,2,0)*base!M153,0)</f>
        <v>0</v>
      </c>
      <c r="O153" s="38"/>
      <c r="P153" s="29"/>
      <c r="Q153" s="31">
        <f>IF(base!O153&lt;&gt;"",VLOOKUP(O153,de_para!$A$1:$B$31,2,0)*base!P153,0)</f>
        <v>0</v>
      </c>
      <c r="R153" s="38"/>
      <c r="S153" s="29"/>
      <c r="T153" s="31">
        <f>IF(base!R153&lt;&gt;"",VLOOKUP(R153,de_para!$A$1:$B$31,2,0)*base!S153,0)</f>
        <v>0</v>
      </c>
      <c r="U153" s="30">
        <f t="shared" si="3"/>
        <v>0</v>
      </c>
    </row>
    <row r="154" spans="1:21" x14ac:dyDescent="0.35">
      <c r="A154" s="29"/>
      <c r="B154" s="29"/>
      <c r="C154" s="29"/>
      <c r="D154" s="29"/>
      <c r="E154" s="29"/>
      <c r="F154" s="29"/>
      <c r="G154" s="29"/>
      <c r="H154" s="31">
        <f>IF(base!F154&lt;&gt;"",VLOOKUP(F154,de_para!$A$1:$B$31,2,0)*base!G154,0)</f>
        <v>0</v>
      </c>
      <c r="I154" s="38"/>
      <c r="J154" s="29"/>
      <c r="K154" s="31">
        <f>IF(base!I154&lt;&gt;"",VLOOKUP(I154,de_para!$A$1:$B$31,2,0)*base!J154,0)</f>
        <v>0</v>
      </c>
      <c r="L154" s="38"/>
      <c r="M154" s="29"/>
      <c r="N154" s="31">
        <f>IF(base!L154&lt;&gt;"",VLOOKUP(L154,de_para!$A$1:$B$31,2,0)*base!M154,0)</f>
        <v>0</v>
      </c>
      <c r="O154" s="38"/>
      <c r="P154" s="29"/>
      <c r="Q154" s="31">
        <f>IF(base!O154&lt;&gt;"",VLOOKUP(O154,de_para!$A$1:$B$31,2,0)*base!P154,0)</f>
        <v>0</v>
      </c>
      <c r="R154" s="38"/>
      <c r="S154" s="29"/>
      <c r="T154" s="31">
        <f>IF(base!R154&lt;&gt;"",VLOOKUP(R154,de_para!$A$1:$B$31,2,0)*base!S154,0)</f>
        <v>0</v>
      </c>
      <c r="U154" s="30">
        <f t="shared" si="3"/>
        <v>0</v>
      </c>
    </row>
    <row r="155" spans="1:21" x14ac:dyDescent="0.35">
      <c r="A155" s="29"/>
      <c r="B155" s="29"/>
      <c r="C155" s="29"/>
      <c r="D155" s="29"/>
      <c r="E155" s="29"/>
      <c r="F155" s="29"/>
      <c r="G155" s="29"/>
      <c r="H155" s="31">
        <f>IF(base!F155&lt;&gt;"",VLOOKUP(F155,de_para!$A$1:$B$31,2,0)*base!G155,0)</f>
        <v>0</v>
      </c>
      <c r="I155" s="38"/>
      <c r="J155" s="29"/>
      <c r="K155" s="31">
        <f>IF(base!I155&lt;&gt;"",VLOOKUP(I155,de_para!$A$1:$B$31,2,0)*base!J155,0)</f>
        <v>0</v>
      </c>
      <c r="L155" s="38"/>
      <c r="M155" s="29"/>
      <c r="N155" s="31">
        <f>IF(base!L155&lt;&gt;"",VLOOKUP(L155,de_para!$A$1:$B$31,2,0)*base!M155,0)</f>
        <v>0</v>
      </c>
      <c r="O155" s="38"/>
      <c r="P155" s="29"/>
      <c r="Q155" s="31">
        <f>IF(base!O155&lt;&gt;"",VLOOKUP(O155,de_para!$A$1:$B$31,2,0)*base!P155,0)</f>
        <v>0</v>
      </c>
      <c r="R155" s="38"/>
      <c r="S155" s="29"/>
      <c r="T155" s="31">
        <f>IF(base!R155&lt;&gt;"",VLOOKUP(R155,de_para!$A$1:$B$31,2,0)*base!S155,0)</f>
        <v>0</v>
      </c>
      <c r="U155" s="30">
        <f t="shared" si="3"/>
        <v>0</v>
      </c>
    </row>
    <row r="156" spans="1:21" x14ac:dyDescent="0.35">
      <c r="A156" s="29"/>
      <c r="B156" s="29"/>
      <c r="C156" s="29"/>
      <c r="D156" s="29"/>
      <c r="E156" s="29"/>
      <c r="F156" s="29"/>
      <c r="G156" s="29"/>
      <c r="H156" s="31">
        <f>IF(base!F156&lt;&gt;"",VLOOKUP(F156,de_para!$A$1:$B$31,2,0)*base!G156,0)</f>
        <v>0</v>
      </c>
      <c r="I156" s="38"/>
      <c r="J156" s="29"/>
      <c r="K156" s="31">
        <f>IF(base!I156&lt;&gt;"",VLOOKUP(I156,de_para!$A$1:$B$31,2,0)*base!J156,0)</f>
        <v>0</v>
      </c>
      <c r="L156" s="38"/>
      <c r="M156" s="29"/>
      <c r="N156" s="31">
        <f>IF(base!L156&lt;&gt;"",VLOOKUP(L156,de_para!$A$1:$B$31,2,0)*base!M156,0)</f>
        <v>0</v>
      </c>
      <c r="O156" s="38"/>
      <c r="P156" s="29"/>
      <c r="Q156" s="31">
        <f>IF(base!O156&lt;&gt;"",VLOOKUP(O156,de_para!$A$1:$B$31,2,0)*base!P156,0)</f>
        <v>0</v>
      </c>
      <c r="R156" s="38"/>
      <c r="S156" s="29"/>
      <c r="T156" s="31">
        <f>IF(base!R156&lt;&gt;"",VLOOKUP(R156,de_para!$A$1:$B$31,2,0)*base!S156,0)</f>
        <v>0</v>
      </c>
      <c r="U156" s="30">
        <f t="shared" si="3"/>
        <v>0</v>
      </c>
    </row>
    <row r="157" spans="1:21" x14ac:dyDescent="0.35">
      <c r="A157" s="29"/>
      <c r="B157" s="29"/>
      <c r="C157" s="29"/>
      <c r="D157" s="29"/>
      <c r="E157" s="29"/>
      <c r="F157" s="29"/>
      <c r="G157" s="29"/>
      <c r="H157" s="31">
        <f>IF(base!F157&lt;&gt;"",VLOOKUP(F157,de_para!$A$1:$B$31,2,0)*base!G157,0)</f>
        <v>0</v>
      </c>
      <c r="I157" s="38"/>
      <c r="J157" s="29"/>
      <c r="K157" s="31">
        <f>IF(base!I157&lt;&gt;"",VLOOKUP(I157,de_para!$A$1:$B$31,2,0)*base!J157,0)</f>
        <v>0</v>
      </c>
      <c r="L157" s="38"/>
      <c r="M157" s="29"/>
      <c r="N157" s="31">
        <f>IF(base!L157&lt;&gt;"",VLOOKUP(L157,de_para!$A$1:$B$31,2,0)*base!M157,0)</f>
        <v>0</v>
      </c>
      <c r="O157" s="38"/>
      <c r="P157" s="29"/>
      <c r="Q157" s="31">
        <f>IF(base!O157&lt;&gt;"",VLOOKUP(O157,de_para!$A$1:$B$31,2,0)*base!P157,0)</f>
        <v>0</v>
      </c>
      <c r="R157" s="38"/>
      <c r="S157" s="29"/>
      <c r="T157" s="31">
        <f>IF(base!R157&lt;&gt;"",VLOOKUP(R157,de_para!$A$1:$B$31,2,0)*base!S157,0)</f>
        <v>0</v>
      </c>
      <c r="U157" s="30">
        <f t="shared" si="3"/>
        <v>0</v>
      </c>
    </row>
    <row r="158" spans="1:21" x14ac:dyDescent="0.35">
      <c r="A158" s="29"/>
      <c r="B158" s="29"/>
      <c r="C158" s="29"/>
      <c r="D158" s="29"/>
      <c r="E158" s="29"/>
      <c r="F158" s="29"/>
      <c r="G158" s="29"/>
      <c r="H158" s="31">
        <f>IF(base!F158&lt;&gt;"",VLOOKUP(F158,de_para!$A$1:$B$31,2,0)*base!G158,0)</f>
        <v>0</v>
      </c>
      <c r="I158" s="38"/>
      <c r="J158" s="29"/>
      <c r="K158" s="31">
        <f>IF(base!I158&lt;&gt;"",VLOOKUP(I158,de_para!$A$1:$B$31,2,0)*base!J158,0)</f>
        <v>0</v>
      </c>
      <c r="L158" s="38"/>
      <c r="M158" s="29"/>
      <c r="N158" s="31">
        <f>IF(base!L158&lt;&gt;"",VLOOKUP(L158,de_para!$A$1:$B$31,2,0)*base!M158,0)</f>
        <v>0</v>
      </c>
      <c r="O158" s="38"/>
      <c r="P158" s="29"/>
      <c r="Q158" s="31">
        <f>IF(base!O158&lt;&gt;"",VLOOKUP(O158,de_para!$A$1:$B$31,2,0)*base!P158,0)</f>
        <v>0</v>
      </c>
      <c r="R158" s="38"/>
      <c r="S158" s="29"/>
      <c r="T158" s="31">
        <f>IF(base!R158&lt;&gt;"",VLOOKUP(R158,de_para!$A$1:$B$31,2,0)*base!S158,0)</f>
        <v>0</v>
      </c>
      <c r="U158" s="30">
        <f t="shared" si="3"/>
        <v>0</v>
      </c>
    </row>
    <row r="159" spans="1:21" x14ac:dyDescent="0.35">
      <c r="A159" s="29"/>
      <c r="B159" s="29"/>
      <c r="C159" s="29"/>
      <c r="D159" s="29"/>
      <c r="E159" s="29"/>
      <c r="F159" s="29"/>
      <c r="G159" s="29"/>
      <c r="H159" s="31">
        <f>IF(base!F159&lt;&gt;"",VLOOKUP(F159,de_para!$A$1:$B$31,2,0)*base!G159,0)</f>
        <v>0</v>
      </c>
      <c r="I159" s="38"/>
      <c r="J159" s="29"/>
      <c r="K159" s="31">
        <f>IF(base!I159&lt;&gt;"",VLOOKUP(I159,de_para!$A$1:$B$31,2,0)*base!J159,0)</f>
        <v>0</v>
      </c>
      <c r="L159" s="38"/>
      <c r="M159" s="29"/>
      <c r="N159" s="31">
        <f>IF(base!L159&lt;&gt;"",VLOOKUP(L159,de_para!$A$1:$B$31,2,0)*base!M159,0)</f>
        <v>0</v>
      </c>
      <c r="O159" s="38"/>
      <c r="P159" s="29"/>
      <c r="Q159" s="31">
        <f>IF(base!O159&lt;&gt;"",VLOOKUP(O159,de_para!$A$1:$B$31,2,0)*base!P159,0)</f>
        <v>0</v>
      </c>
      <c r="R159" s="38"/>
      <c r="S159" s="29"/>
      <c r="T159" s="31">
        <f>IF(base!R159&lt;&gt;"",VLOOKUP(R159,de_para!$A$1:$B$31,2,0)*base!S159,0)</f>
        <v>0</v>
      </c>
      <c r="U159" s="30">
        <f t="shared" si="3"/>
        <v>0</v>
      </c>
    </row>
    <row r="160" spans="1:21" x14ac:dyDescent="0.35">
      <c r="A160" s="29"/>
      <c r="B160" s="29"/>
      <c r="C160" s="29"/>
      <c r="D160" s="29"/>
      <c r="E160" s="29"/>
      <c r="F160" s="29"/>
      <c r="G160" s="29"/>
      <c r="H160" s="31">
        <f>IF(base!F160&lt;&gt;"",VLOOKUP(F160,de_para!$A$1:$B$31,2,0)*base!G160,0)</f>
        <v>0</v>
      </c>
      <c r="I160" s="38"/>
      <c r="J160" s="29"/>
      <c r="K160" s="31">
        <f>IF(base!I160&lt;&gt;"",VLOOKUP(I160,de_para!$A$1:$B$31,2,0)*base!J160,0)</f>
        <v>0</v>
      </c>
      <c r="L160" s="38"/>
      <c r="M160" s="29"/>
      <c r="N160" s="31">
        <f>IF(base!L160&lt;&gt;"",VLOOKUP(L160,de_para!$A$1:$B$31,2,0)*base!M160,0)</f>
        <v>0</v>
      </c>
      <c r="O160" s="38"/>
      <c r="P160" s="29"/>
      <c r="Q160" s="31">
        <f>IF(base!O160&lt;&gt;"",VLOOKUP(O160,de_para!$A$1:$B$31,2,0)*base!P160,0)</f>
        <v>0</v>
      </c>
      <c r="R160" s="38"/>
      <c r="S160" s="29"/>
      <c r="T160" s="31">
        <f>IF(base!R160&lt;&gt;"",VLOOKUP(R160,de_para!$A$1:$B$31,2,0)*base!S160,0)</f>
        <v>0</v>
      </c>
      <c r="U160" s="30">
        <f t="shared" si="3"/>
        <v>0</v>
      </c>
    </row>
    <row r="161" spans="1:21" x14ac:dyDescent="0.35">
      <c r="A161" s="29"/>
      <c r="B161" s="29"/>
      <c r="C161" s="29"/>
      <c r="D161" s="29"/>
      <c r="E161" s="29"/>
      <c r="F161" s="29"/>
      <c r="G161" s="29"/>
      <c r="H161" s="31">
        <f>IF(base!F161&lt;&gt;"",VLOOKUP(F161,de_para!$A$1:$B$31,2,0)*base!G161,0)</f>
        <v>0</v>
      </c>
      <c r="I161" s="38"/>
      <c r="J161" s="29"/>
      <c r="K161" s="31">
        <f>IF(base!I161&lt;&gt;"",VLOOKUP(I161,de_para!$A$1:$B$31,2,0)*base!J161,0)</f>
        <v>0</v>
      </c>
      <c r="L161" s="38"/>
      <c r="M161" s="29"/>
      <c r="N161" s="31">
        <f>IF(base!L161&lt;&gt;"",VLOOKUP(L161,de_para!$A$1:$B$31,2,0)*base!M161,0)</f>
        <v>0</v>
      </c>
      <c r="O161" s="38"/>
      <c r="P161" s="29"/>
      <c r="Q161" s="31">
        <f>IF(base!O161&lt;&gt;"",VLOOKUP(O161,de_para!$A$1:$B$31,2,0)*base!P161,0)</f>
        <v>0</v>
      </c>
      <c r="R161" s="38"/>
      <c r="S161" s="29"/>
      <c r="T161" s="31">
        <f>IF(base!R161&lt;&gt;"",VLOOKUP(R161,de_para!$A$1:$B$31,2,0)*base!S161,0)</f>
        <v>0</v>
      </c>
      <c r="U161" s="30">
        <f t="shared" si="3"/>
        <v>0</v>
      </c>
    </row>
    <row r="162" spans="1:21" x14ac:dyDescent="0.35">
      <c r="A162" s="29"/>
      <c r="B162" s="29"/>
      <c r="C162" s="29"/>
      <c r="D162" s="29"/>
      <c r="E162" s="29"/>
      <c r="F162" s="29"/>
      <c r="G162" s="29"/>
      <c r="H162" s="31">
        <f>IF(base!F162&lt;&gt;"",VLOOKUP(F162,de_para!$A$1:$B$31,2,0)*base!G162,0)</f>
        <v>0</v>
      </c>
      <c r="I162" s="38"/>
      <c r="J162" s="29"/>
      <c r="K162" s="31">
        <f>IF(base!I162&lt;&gt;"",VLOOKUP(I162,de_para!$A$1:$B$31,2,0)*base!J162,0)</f>
        <v>0</v>
      </c>
      <c r="L162" s="38"/>
      <c r="M162" s="29"/>
      <c r="N162" s="31">
        <f>IF(base!L162&lt;&gt;"",VLOOKUP(L162,de_para!$A$1:$B$31,2,0)*base!M162,0)</f>
        <v>0</v>
      </c>
      <c r="O162" s="38"/>
      <c r="P162" s="29"/>
      <c r="Q162" s="31">
        <f>IF(base!O162&lt;&gt;"",VLOOKUP(O162,de_para!$A$1:$B$31,2,0)*base!P162,0)</f>
        <v>0</v>
      </c>
      <c r="R162" s="38"/>
      <c r="S162" s="29"/>
      <c r="T162" s="31">
        <f>IF(base!R162&lt;&gt;"",VLOOKUP(R162,de_para!$A$1:$B$31,2,0)*base!S162,0)</f>
        <v>0</v>
      </c>
      <c r="U162" s="30">
        <f t="shared" si="3"/>
        <v>0</v>
      </c>
    </row>
    <row r="163" spans="1:21" x14ac:dyDescent="0.35">
      <c r="A163" s="29"/>
      <c r="B163" s="29"/>
      <c r="C163" s="29"/>
      <c r="D163" s="29"/>
      <c r="E163" s="29"/>
      <c r="F163" s="29"/>
      <c r="G163" s="29"/>
      <c r="H163" s="31">
        <f>IF(base!F163&lt;&gt;"",VLOOKUP(F163,de_para!$A$1:$B$31,2,0)*base!G163,0)</f>
        <v>0</v>
      </c>
      <c r="I163" s="38"/>
      <c r="J163" s="29"/>
      <c r="K163" s="31">
        <f>IF(base!I163&lt;&gt;"",VLOOKUP(I163,de_para!$A$1:$B$31,2,0)*base!J163,0)</f>
        <v>0</v>
      </c>
      <c r="L163" s="38"/>
      <c r="M163" s="29"/>
      <c r="N163" s="31">
        <f>IF(base!L163&lt;&gt;"",VLOOKUP(L163,de_para!$A$1:$B$31,2,0)*base!M163,0)</f>
        <v>0</v>
      </c>
      <c r="O163" s="38"/>
      <c r="P163" s="29"/>
      <c r="Q163" s="31">
        <f>IF(base!O163&lt;&gt;"",VLOOKUP(O163,de_para!$A$1:$B$31,2,0)*base!P163,0)</f>
        <v>0</v>
      </c>
      <c r="R163" s="38"/>
      <c r="S163" s="29"/>
      <c r="T163" s="31">
        <f>IF(base!R163&lt;&gt;"",VLOOKUP(R163,de_para!$A$1:$B$31,2,0)*base!S163,0)</f>
        <v>0</v>
      </c>
      <c r="U163" s="30">
        <f t="shared" si="3"/>
        <v>0</v>
      </c>
    </row>
    <row r="164" spans="1:21" x14ac:dyDescent="0.35">
      <c r="A164" s="29"/>
      <c r="B164" s="29"/>
      <c r="C164" s="29"/>
      <c r="D164" s="29"/>
      <c r="E164" s="29"/>
      <c r="F164" s="29"/>
      <c r="G164" s="29"/>
      <c r="H164" s="31">
        <f>IF(base!F164&lt;&gt;"",VLOOKUP(F164,de_para!$A$1:$B$31,2,0)*base!G164,0)</f>
        <v>0</v>
      </c>
      <c r="I164" s="38"/>
      <c r="J164" s="29"/>
      <c r="K164" s="31">
        <f>IF(base!I164&lt;&gt;"",VLOOKUP(I164,de_para!$A$1:$B$31,2,0)*base!J164,0)</f>
        <v>0</v>
      </c>
      <c r="L164" s="38"/>
      <c r="M164" s="29"/>
      <c r="N164" s="31">
        <f>IF(base!L164&lt;&gt;"",VLOOKUP(L164,de_para!$A$1:$B$31,2,0)*base!M164,0)</f>
        <v>0</v>
      </c>
      <c r="O164" s="38"/>
      <c r="P164" s="29"/>
      <c r="Q164" s="31">
        <f>IF(base!O164&lt;&gt;"",VLOOKUP(O164,de_para!$A$1:$B$31,2,0)*base!P164,0)</f>
        <v>0</v>
      </c>
      <c r="R164" s="38"/>
      <c r="S164" s="29"/>
      <c r="T164" s="31">
        <f>IF(base!R164&lt;&gt;"",VLOOKUP(R164,de_para!$A$1:$B$31,2,0)*base!S164,0)</f>
        <v>0</v>
      </c>
      <c r="U164" s="30">
        <f t="shared" si="3"/>
        <v>0</v>
      </c>
    </row>
    <row r="165" spans="1:21" x14ac:dyDescent="0.35">
      <c r="A165" s="29"/>
      <c r="B165" s="29"/>
      <c r="C165" s="29"/>
      <c r="D165" s="29"/>
      <c r="E165" s="29"/>
      <c r="F165" s="29"/>
      <c r="G165" s="29"/>
      <c r="H165" s="31">
        <f>IF(base!F165&lt;&gt;"",VLOOKUP(F165,de_para!$A$1:$B$31,2,0)*base!G165,0)</f>
        <v>0</v>
      </c>
      <c r="I165" s="38"/>
      <c r="J165" s="29"/>
      <c r="K165" s="31">
        <f>IF(base!I165&lt;&gt;"",VLOOKUP(I165,de_para!$A$1:$B$31,2,0)*base!J165,0)</f>
        <v>0</v>
      </c>
      <c r="L165" s="38"/>
      <c r="M165" s="29"/>
      <c r="N165" s="31">
        <f>IF(base!L165&lt;&gt;"",VLOOKUP(L165,de_para!$A$1:$B$31,2,0)*base!M165,0)</f>
        <v>0</v>
      </c>
      <c r="O165" s="38"/>
      <c r="P165" s="29"/>
      <c r="Q165" s="31">
        <f>IF(base!O165&lt;&gt;"",VLOOKUP(O165,de_para!$A$1:$B$31,2,0)*base!P165,0)</f>
        <v>0</v>
      </c>
      <c r="R165" s="38"/>
      <c r="S165" s="29"/>
      <c r="T165" s="31">
        <f>IF(base!R165&lt;&gt;"",VLOOKUP(R165,de_para!$A$1:$B$31,2,0)*base!S165,0)</f>
        <v>0</v>
      </c>
      <c r="U165" s="30">
        <f t="shared" si="3"/>
        <v>0</v>
      </c>
    </row>
    <row r="166" spans="1:21" x14ac:dyDescent="0.35">
      <c r="A166" s="29"/>
      <c r="B166" s="29"/>
      <c r="C166" s="29"/>
      <c r="D166" s="29"/>
      <c r="E166" s="29"/>
      <c r="F166" s="29"/>
      <c r="G166" s="29"/>
      <c r="H166" s="31">
        <f>IF(base!F166&lt;&gt;"",VLOOKUP(F166,de_para!$A$1:$B$31,2,0)*base!G166,0)</f>
        <v>0</v>
      </c>
      <c r="I166" s="38"/>
      <c r="J166" s="29"/>
      <c r="K166" s="31">
        <f>IF(base!I166&lt;&gt;"",VLOOKUP(I166,de_para!$A$1:$B$31,2,0)*base!J166,0)</f>
        <v>0</v>
      </c>
      <c r="L166" s="38"/>
      <c r="M166" s="29"/>
      <c r="N166" s="31">
        <f>IF(base!L166&lt;&gt;"",VLOOKUP(L166,de_para!$A$1:$B$31,2,0)*base!M166,0)</f>
        <v>0</v>
      </c>
      <c r="O166" s="38"/>
      <c r="P166" s="29"/>
      <c r="Q166" s="31">
        <f>IF(base!O166&lt;&gt;"",VLOOKUP(O166,de_para!$A$1:$B$31,2,0)*base!P166,0)</f>
        <v>0</v>
      </c>
      <c r="R166" s="38"/>
      <c r="S166" s="29"/>
      <c r="T166" s="31">
        <f>IF(base!R166&lt;&gt;"",VLOOKUP(R166,de_para!$A$1:$B$31,2,0)*base!S166,0)</f>
        <v>0</v>
      </c>
      <c r="U166" s="30">
        <f t="shared" si="3"/>
        <v>0</v>
      </c>
    </row>
    <row r="167" spans="1:21" x14ac:dyDescent="0.35">
      <c r="A167" s="29"/>
      <c r="B167" s="29"/>
      <c r="C167" s="29"/>
      <c r="D167" s="29"/>
      <c r="E167" s="29"/>
      <c r="F167" s="29"/>
      <c r="G167" s="29"/>
      <c r="H167" s="31">
        <f>IF(base!F167&lt;&gt;"",VLOOKUP(F167,de_para!$A$1:$B$31,2,0)*base!G167,0)</f>
        <v>0</v>
      </c>
      <c r="I167" s="38"/>
      <c r="J167" s="29"/>
      <c r="K167" s="31">
        <f>IF(base!I167&lt;&gt;"",VLOOKUP(I167,de_para!$A$1:$B$31,2,0)*base!J167,0)</f>
        <v>0</v>
      </c>
      <c r="L167" s="38"/>
      <c r="M167" s="29"/>
      <c r="N167" s="31">
        <f>IF(base!L167&lt;&gt;"",VLOOKUP(L167,de_para!$A$1:$B$31,2,0)*base!M167,0)</f>
        <v>0</v>
      </c>
      <c r="O167" s="38"/>
      <c r="P167" s="29"/>
      <c r="Q167" s="31">
        <f>IF(base!O167&lt;&gt;"",VLOOKUP(O167,de_para!$A$1:$B$31,2,0)*base!P167,0)</f>
        <v>0</v>
      </c>
      <c r="R167" s="38"/>
      <c r="S167" s="29"/>
      <c r="T167" s="31">
        <f>IF(base!R167&lt;&gt;"",VLOOKUP(R167,de_para!$A$1:$B$31,2,0)*base!S167,0)</f>
        <v>0</v>
      </c>
      <c r="U167" s="30">
        <f t="shared" si="3"/>
        <v>0</v>
      </c>
    </row>
    <row r="168" spans="1:21" x14ac:dyDescent="0.35">
      <c r="A168" s="29"/>
      <c r="B168" s="29"/>
      <c r="C168" s="29"/>
      <c r="D168" s="29"/>
      <c r="E168" s="29"/>
      <c r="F168" s="29"/>
      <c r="G168" s="29"/>
      <c r="H168" s="31">
        <f>IF(base!F168&lt;&gt;"",VLOOKUP(F168,de_para!$A$1:$B$31,2,0)*base!G168,0)</f>
        <v>0</v>
      </c>
      <c r="I168" s="38"/>
      <c r="J168" s="29"/>
      <c r="K168" s="31">
        <f>IF(base!I168&lt;&gt;"",VLOOKUP(I168,de_para!$A$1:$B$31,2,0)*base!J168,0)</f>
        <v>0</v>
      </c>
      <c r="L168" s="38"/>
      <c r="M168" s="29"/>
      <c r="N168" s="31">
        <f>IF(base!L168&lt;&gt;"",VLOOKUP(L168,de_para!$A$1:$B$31,2,0)*base!M168,0)</f>
        <v>0</v>
      </c>
      <c r="O168" s="38"/>
      <c r="P168" s="29"/>
      <c r="Q168" s="31">
        <f>IF(base!O168&lt;&gt;"",VLOOKUP(O168,de_para!$A$1:$B$31,2,0)*base!P168,0)</f>
        <v>0</v>
      </c>
      <c r="R168" s="38"/>
      <c r="S168" s="29"/>
      <c r="T168" s="31">
        <f>IF(base!R168&lt;&gt;"",VLOOKUP(R168,de_para!$A$1:$B$31,2,0)*base!S168,0)</f>
        <v>0</v>
      </c>
      <c r="U168" s="30">
        <f t="shared" si="3"/>
        <v>0</v>
      </c>
    </row>
    <row r="169" spans="1:21" x14ac:dyDescent="0.35">
      <c r="A169" s="29"/>
      <c r="B169" s="29"/>
      <c r="C169" s="29"/>
      <c r="D169" s="29"/>
      <c r="E169" s="29"/>
      <c r="F169" s="29"/>
      <c r="G169" s="29"/>
      <c r="H169" s="31">
        <f>IF(base!F169&lt;&gt;"",VLOOKUP(F169,de_para!$A$1:$B$31,2,0)*base!G169,0)</f>
        <v>0</v>
      </c>
      <c r="I169" s="38"/>
      <c r="J169" s="29"/>
      <c r="K169" s="31">
        <f>IF(base!I169&lt;&gt;"",VLOOKUP(I169,de_para!$A$1:$B$31,2,0)*base!J169,0)</f>
        <v>0</v>
      </c>
      <c r="L169" s="38"/>
      <c r="M169" s="29"/>
      <c r="N169" s="31">
        <f>IF(base!L169&lt;&gt;"",VLOOKUP(L169,de_para!$A$1:$B$31,2,0)*base!M169,0)</f>
        <v>0</v>
      </c>
      <c r="O169" s="38"/>
      <c r="P169" s="29"/>
      <c r="Q169" s="31">
        <f>IF(base!O169&lt;&gt;"",VLOOKUP(O169,de_para!$A$1:$B$31,2,0)*base!P169,0)</f>
        <v>0</v>
      </c>
      <c r="R169" s="38"/>
      <c r="S169" s="29"/>
      <c r="T169" s="31">
        <f>IF(base!R169&lt;&gt;"",VLOOKUP(R169,de_para!$A$1:$B$31,2,0)*base!S169,0)</f>
        <v>0</v>
      </c>
      <c r="U169" s="30">
        <f t="shared" si="3"/>
        <v>0</v>
      </c>
    </row>
    <row r="170" spans="1:21" x14ac:dyDescent="0.35">
      <c r="A170" s="29"/>
      <c r="B170" s="29"/>
      <c r="C170" s="29"/>
      <c r="D170" s="29"/>
      <c r="E170" s="29"/>
      <c r="F170" s="29"/>
      <c r="G170" s="29"/>
      <c r="H170" s="31">
        <f>IF(base!F170&lt;&gt;"",VLOOKUP(F170,de_para!$A$1:$B$31,2,0)*base!G170,0)</f>
        <v>0</v>
      </c>
      <c r="I170" s="38"/>
      <c r="J170" s="29"/>
      <c r="K170" s="31">
        <f>IF(base!I170&lt;&gt;"",VLOOKUP(I170,de_para!$A$1:$B$31,2,0)*base!J170,0)</f>
        <v>0</v>
      </c>
      <c r="L170" s="38"/>
      <c r="M170" s="29"/>
      <c r="N170" s="31">
        <f>IF(base!L170&lt;&gt;"",VLOOKUP(L170,de_para!$A$1:$B$31,2,0)*base!M170,0)</f>
        <v>0</v>
      </c>
      <c r="O170" s="38"/>
      <c r="P170" s="29"/>
      <c r="Q170" s="31">
        <f>IF(base!O170&lt;&gt;"",VLOOKUP(O170,de_para!$A$1:$B$31,2,0)*base!P170,0)</f>
        <v>0</v>
      </c>
      <c r="R170" s="38"/>
      <c r="S170" s="29"/>
      <c r="T170" s="31">
        <f>IF(base!R170&lt;&gt;"",VLOOKUP(R170,de_para!$A$1:$B$31,2,0)*base!S170,0)</f>
        <v>0</v>
      </c>
      <c r="U170" s="30">
        <f t="shared" si="3"/>
        <v>0</v>
      </c>
    </row>
    <row r="171" spans="1:21" x14ac:dyDescent="0.35">
      <c r="A171" s="29"/>
      <c r="B171" s="29"/>
      <c r="C171" s="29"/>
      <c r="D171" s="29"/>
      <c r="E171" s="29"/>
      <c r="F171" s="29"/>
      <c r="G171" s="29"/>
      <c r="H171" s="31">
        <f>IF(base!F171&lt;&gt;"",VLOOKUP(F171,de_para!$A$1:$B$31,2,0)*base!G171,0)</f>
        <v>0</v>
      </c>
      <c r="I171" s="38"/>
      <c r="J171" s="29"/>
      <c r="K171" s="31">
        <f>IF(base!I171&lt;&gt;"",VLOOKUP(I171,de_para!$A$1:$B$31,2,0)*base!J171,0)</f>
        <v>0</v>
      </c>
      <c r="L171" s="38"/>
      <c r="M171" s="29"/>
      <c r="N171" s="31">
        <f>IF(base!L171&lt;&gt;"",VLOOKUP(L171,de_para!$A$1:$B$31,2,0)*base!M171,0)</f>
        <v>0</v>
      </c>
      <c r="O171" s="38"/>
      <c r="P171" s="29"/>
      <c r="Q171" s="31">
        <f>IF(base!O171&lt;&gt;"",VLOOKUP(O171,de_para!$A$1:$B$31,2,0)*base!P171,0)</f>
        <v>0</v>
      </c>
      <c r="R171" s="38"/>
      <c r="S171" s="29"/>
      <c r="T171" s="31">
        <f>IF(base!R171&lt;&gt;"",VLOOKUP(R171,de_para!$A$1:$B$31,2,0)*base!S171,0)</f>
        <v>0</v>
      </c>
      <c r="U171" s="30">
        <f t="shared" si="3"/>
        <v>0</v>
      </c>
    </row>
    <row r="172" spans="1:21" x14ac:dyDescent="0.35">
      <c r="A172" s="29"/>
      <c r="B172" s="29"/>
      <c r="C172" s="29"/>
      <c r="D172" s="29"/>
      <c r="E172" s="29"/>
      <c r="F172" s="29"/>
      <c r="G172" s="29"/>
      <c r="H172" s="31">
        <f>IF(base!F172&lt;&gt;"",VLOOKUP(F172,de_para!$A$1:$B$31,2,0)*base!G172,0)</f>
        <v>0</v>
      </c>
      <c r="I172" s="38"/>
      <c r="J172" s="29"/>
      <c r="K172" s="31">
        <f>IF(base!I172&lt;&gt;"",VLOOKUP(I172,de_para!$A$1:$B$31,2,0)*base!J172,0)</f>
        <v>0</v>
      </c>
      <c r="L172" s="38"/>
      <c r="M172" s="29"/>
      <c r="N172" s="31">
        <f>IF(base!L172&lt;&gt;"",VLOOKUP(L172,de_para!$A$1:$B$31,2,0)*base!M172,0)</f>
        <v>0</v>
      </c>
      <c r="O172" s="38"/>
      <c r="P172" s="29"/>
      <c r="Q172" s="31">
        <f>IF(base!O172&lt;&gt;"",VLOOKUP(O172,de_para!$A$1:$B$31,2,0)*base!P172,0)</f>
        <v>0</v>
      </c>
      <c r="R172" s="38"/>
      <c r="S172" s="29"/>
      <c r="T172" s="31">
        <f>IF(base!R172&lt;&gt;"",VLOOKUP(R172,de_para!$A$1:$B$31,2,0)*base!S172,0)</f>
        <v>0</v>
      </c>
      <c r="U172" s="30">
        <f t="shared" si="3"/>
        <v>0</v>
      </c>
    </row>
    <row r="173" spans="1:21" x14ac:dyDescent="0.35">
      <c r="A173" s="29"/>
      <c r="B173" s="29"/>
      <c r="C173" s="29"/>
      <c r="D173" s="29"/>
      <c r="E173" s="29"/>
      <c r="F173" s="29"/>
      <c r="G173" s="29"/>
      <c r="H173" s="31">
        <f>IF(base!F173&lt;&gt;"",VLOOKUP(F173,de_para!$A$1:$B$31,2,0)*base!G173,0)</f>
        <v>0</v>
      </c>
      <c r="I173" s="38"/>
      <c r="J173" s="29"/>
      <c r="K173" s="31">
        <f>IF(base!I173&lt;&gt;"",VLOOKUP(I173,de_para!$A$1:$B$31,2,0)*base!J173,0)</f>
        <v>0</v>
      </c>
      <c r="L173" s="38"/>
      <c r="M173" s="29"/>
      <c r="N173" s="31">
        <f>IF(base!L173&lt;&gt;"",VLOOKUP(L173,de_para!$A$1:$B$31,2,0)*base!M173,0)</f>
        <v>0</v>
      </c>
      <c r="O173" s="38"/>
      <c r="P173" s="29"/>
      <c r="Q173" s="31">
        <f>IF(base!O173&lt;&gt;"",VLOOKUP(O173,de_para!$A$1:$B$31,2,0)*base!P173,0)</f>
        <v>0</v>
      </c>
      <c r="R173" s="38"/>
      <c r="S173" s="29"/>
      <c r="T173" s="31">
        <f>IF(base!R173&lt;&gt;"",VLOOKUP(R173,de_para!$A$1:$B$31,2,0)*base!S173,0)</f>
        <v>0</v>
      </c>
      <c r="U173" s="30">
        <f t="shared" si="3"/>
        <v>0</v>
      </c>
    </row>
    <row r="174" spans="1:21" x14ac:dyDescent="0.35">
      <c r="A174" s="29"/>
      <c r="B174" s="29"/>
      <c r="C174" s="29"/>
      <c r="D174" s="29"/>
      <c r="E174" s="29"/>
      <c r="F174" s="29"/>
      <c r="G174" s="29"/>
      <c r="H174" s="31">
        <f>IF(base!F174&lt;&gt;"",VLOOKUP(F174,de_para!$A$1:$B$31,2,0)*base!G174,0)</f>
        <v>0</v>
      </c>
      <c r="I174" s="38"/>
      <c r="J174" s="29"/>
      <c r="K174" s="31">
        <f>IF(base!I174&lt;&gt;"",VLOOKUP(I174,de_para!$A$1:$B$31,2,0)*base!J174,0)</f>
        <v>0</v>
      </c>
      <c r="L174" s="38"/>
      <c r="M174" s="29"/>
      <c r="N174" s="31">
        <f>IF(base!L174&lt;&gt;"",VLOOKUP(L174,de_para!$A$1:$B$31,2,0)*base!M174,0)</f>
        <v>0</v>
      </c>
      <c r="O174" s="38"/>
      <c r="P174" s="29"/>
      <c r="Q174" s="31">
        <f>IF(base!O174&lt;&gt;"",VLOOKUP(O174,de_para!$A$1:$B$31,2,0)*base!P174,0)</f>
        <v>0</v>
      </c>
      <c r="R174" s="38"/>
      <c r="S174" s="29"/>
      <c r="T174" s="31">
        <f>IF(base!R174&lt;&gt;"",VLOOKUP(R174,de_para!$A$1:$B$31,2,0)*base!S174,0)</f>
        <v>0</v>
      </c>
      <c r="U174" s="30">
        <f t="shared" si="3"/>
        <v>0</v>
      </c>
    </row>
    <row r="175" spans="1:21" x14ac:dyDescent="0.35">
      <c r="A175" s="29"/>
      <c r="B175" s="29"/>
      <c r="C175" s="29"/>
      <c r="D175" s="29"/>
      <c r="E175" s="29"/>
      <c r="F175" s="29"/>
      <c r="G175" s="29"/>
      <c r="H175" s="31">
        <f>IF(base!F175&lt;&gt;"",VLOOKUP(F175,de_para!$A$1:$B$31,2,0)*base!G175,0)</f>
        <v>0</v>
      </c>
      <c r="I175" s="38"/>
      <c r="J175" s="29"/>
      <c r="K175" s="31">
        <f>IF(base!I175&lt;&gt;"",VLOOKUP(I175,de_para!$A$1:$B$31,2,0)*base!J175,0)</f>
        <v>0</v>
      </c>
      <c r="L175" s="38"/>
      <c r="M175" s="29"/>
      <c r="N175" s="31">
        <f>IF(base!L175&lt;&gt;"",VLOOKUP(L175,de_para!$A$1:$B$31,2,0)*base!M175,0)</f>
        <v>0</v>
      </c>
      <c r="O175" s="38"/>
      <c r="P175" s="29"/>
      <c r="Q175" s="31">
        <f>IF(base!O175&lt;&gt;"",VLOOKUP(O175,de_para!$A$1:$B$31,2,0)*base!P175,0)</f>
        <v>0</v>
      </c>
      <c r="R175" s="38"/>
      <c r="S175" s="29"/>
      <c r="T175" s="31">
        <f>IF(base!R175&lt;&gt;"",VLOOKUP(R175,de_para!$A$1:$B$31,2,0)*base!S175,0)</f>
        <v>0</v>
      </c>
      <c r="U175" s="30">
        <f t="shared" si="3"/>
        <v>0</v>
      </c>
    </row>
    <row r="176" spans="1:21" x14ac:dyDescent="0.35">
      <c r="A176" s="29"/>
      <c r="B176" s="29"/>
      <c r="C176" s="29"/>
      <c r="D176" s="29"/>
      <c r="E176" s="29"/>
      <c r="F176" s="29"/>
      <c r="G176" s="29"/>
      <c r="H176" s="31">
        <f>IF(base!F176&lt;&gt;"",VLOOKUP(F176,de_para!$A$1:$B$31,2,0)*base!G176,0)</f>
        <v>0</v>
      </c>
      <c r="I176" s="38"/>
      <c r="J176" s="29"/>
      <c r="K176" s="31">
        <f>IF(base!I176&lt;&gt;"",VLOOKUP(I176,de_para!$A$1:$B$31,2,0)*base!J176,0)</f>
        <v>0</v>
      </c>
      <c r="L176" s="38"/>
      <c r="M176" s="29"/>
      <c r="N176" s="31">
        <f>IF(base!L176&lt;&gt;"",VLOOKUP(L176,de_para!$A$1:$B$31,2,0)*base!M176,0)</f>
        <v>0</v>
      </c>
      <c r="O176" s="38"/>
      <c r="P176" s="29"/>
      <c r="Q176" s="31">
        <f>IF(base!O176&lt;&gt;"",VLOOKUP(O176,de_para!$A$1:$B$31,2,0)*base!P176,0)</f>
        <v>0</v>
      </c>
      <c r="R176" s="38"/>
      <c r="S176" s="29"/>
      <c r="T176" s="31">
        <f>IF(base!R176&lt;&gt;"",VLOOKUP(R176,de_para!$A$1:$B$31,2,0)*base!S176,0)</f>
        <v>0</v>
      </c>
      <c r="U176" s="30">
        <f t="shared" si="3"/>
        <v>0</v>
      </c>
    </row>
    <row r="177" spans="1:21" x14ac:dyDescent="0.35">
      <c r="A177" s="29"/>
      <c r="B177" s="29"/>
      <c r="C177" s="29"/>
      <c r="D177" s="29"/>
      <c r="E177" s="29"/>
      <c r="F177" s="29"/>
      <c r="G177" s="29"/>
      <c r="H177" s="31">
        <f>IF(base!F177&lt;&gt;"",VLOOKUP(F177,de_para!$A$1:$B$31,2,0)*base!G177,0)</f>
        <v>0</v>
      </c>
      <c r="I177" s="38"/>
      <c r="J177" s="29"/>
      <c r="K177" s="31">
        <f>IF(base!I177&lt;&gt;"",VLOOKUP(I177,de_para!$A$1:$B$31,2,0)*base!J177,0)</f>
        <v>0</v>
      </c>
      <c r="L177" s="38"/>
      <c r="M177" s="29"/>
      <c r="N177" s="31">
        <f>IF(base!L177&lt;&gt;"",VLOOKUP(L177,de_para!$A$1:$B$31,2,0)*base!M177,0)</f>
        <v>0</v>
      </c>
      <c r="O177" s="38"/>
      <c r="P177" s="29"/>
      <c r="Q177" s="31">
        <f>IF(base!O177&lt;&gt;"",VLOOKUP(O177,de_para!$A$1:$B$31,2,0)*base!P177,0)</f>
        <v>0</v>
      </c>
      <c r="R177" s="38"/>
      <c r="S177" s="29"/>
      <c r="T177" s="31">
        <f>IF(base!R177&lt;&gt;"",VLOOKUP(R177,de_para!$A$1:$B$31,2,0)*base!S177,0)</f>
        <v>0</v>
      </c>
      <c r="U177" s="30">
        <f t="shared" si="3"/>
        <v>0</v>
      </c>
    </row>
    <row r="178" spans="1:21" x14ac:dyDescent="0.35">
      <c r="A178" s="29"/>
      <c r="B178" s="29"/>
      <c r="C178" s="29"/>
      <c r="D178" s="29"/>
      <c r="E178" s="29"/>
      <c r="F178" s="29"/>
      <c r="G178" s="29"/>
      <c r="H178" s="31">
        <f>IF(base!F178&lt;&gt;"",VLOOKUP(F178,de_para!$A$1:$B$31,2,0)*base!G178,0)</f>
        <v>0</v>
      </c>
      <c r="I178" s="38"/>
      <c r="J178" s="29"/>
      <c r="K178" s="31">
        <f>IF(base!I178&lt;&gt;"",VLOOKUP(I178,de_para!$A$1:$B$31,2,0)*base!J178,0)</f>
        <v>0</v>
      </c>
      <c r="L178" s="38"/>
      <c r="M178" s="29"/>
      <c r="N178" s="31">
        <f>IF(base!L178&lt;&gt;"",VLOOKUP(L178,de_para!$A$1:$B$31,2,0)*base!M178,0)</f>
        <v>0</v>
      </c>
      <c r="O178" s="38"/>
      <c r="P178" s="29"/>
      <c r="Q178" s="31">
        <f>IF(base!O178&lt;&gt;"",VLOOKUP(O178,de_para!$A$1:$B$31,2,0)*base!P178,0)</f>
        <v>0</v>
      </c>
      <c r="R178" s="38"/>
      <c r="S178" s="29"/>
      <c r="T178" s="31">
        <f>IF(base!R178&lt;&gt;"",VLOOKUP(R178,de_para!$A$1:$B$31,2,0)*base!S178,0)</f>
        <v>0</v>
      </c>
      <c r="U178" s="30">
        <f t="shared" si="3"/>
        <v>0</v>
      </c>
    </row>
    <row r="179" spans="1:21" x14ac:dyDescent="0.35">
      <c r="A179" s="29"/>
      <c r="B179" s="29"/>
      <c r="C179" s="29"/>
      <c r="D179" s="29"/>
      <c r="E179" s="29"/>
      <c r="F179" s="29"/>
      <c r="G179" s="29"/>
      <c r="H179" s="31">
        <f>IF(base!F179&lt;&gt;"",VLOOKUP(F179,de_para!$A$1:$B$31,2,0)*base!G179,0)</f>
        <v>0</v>
      </c>
      <c r="I179" s="38"/>
      <c r="J179" s="29"/>
      <c r="K179" s="31">
        <f>IF(base!I179&lt;&gt;"",VLOOKUP(I179,de_para!$A$1:$B$31,2,0)*base!J179,0)</f>
        <v>0</v>
      </c>
      <c r="L179" s="38"/>
      <c r="M179" s="29"/>
      <c r="N179" s="31">
        <f>IF(base!L179&lt;&gt;"",VLOOKUP(L179,de_para!$A$1:$B$31,2,0)*base!M179,0)</f>
        <v>0</v>
      </c>
      <c r="O179" s="38"/>
      <c r="P179" s="29"/>
      <c r="Q179" s="31">
        <f>IF(base!O179&lt;&gt;"",VLOOKUP(O179,de_para!$A$1:$B$31,2,0)*base!P179,0)</f>
        <v>0</v>
      </c>
      <c r="R179" s="38"/>
      <c r="S179" s="29"/>
      <c r="T179" s="31">
        <f>IF(base!R179&lt;&gt;"",VLOOKUP(R179,de_para!$A$1:$B$31,2,0)*base!S179,0)</f>
        <v>0</v>
      </c>
      <c r="U179" s="30">
        <f t="shared" si="3"/>
        <v>0</v>
      </c>
    </row>
    <row r="180" spans="1:21" x14ac:dyDescent="0.35">
      <c r="A180" s="29"/>
      <c r="B180" s="29"/>
      <c r="C180" s="29"/>
      <c r="D180" s="29"/>
      <c r="E180" s="29"/>
      <c r="F180" s="29"/>
      <c r="G180" s="29"/>
      <c r="H180" s="31">
        <f>IF(base!F180&lt;&gt;"",VLOOKUP(F180,de_para!$A$1:$B$31,2,0)*base!G180,0)</f>
        <v>0</v>
      </c>
      <c r="I180" s="38"/>
      <c r="J180" s="29"/>
      <c r="K180" s="31">
        <f>IF(base!I180&lt;&gt;"",VLOOKUP(I180,de_para!$A$1:$B$31,2,0)*base!J180,0)</f>
        <v>0</v>
      </c>
      <c r="L180" s="38"/>
      <c r="M180" s="29"/>
      <c r="N180" s="31">
        <f>IF(base!L180&lt;&gt;"",VLOOKUP(L180,de_para!$A$1:$B$31,2,0)*base!M180,0)</f>
        <v>0</v>
      </c>
      <c r="O180" s="38"/>
      <c r="P180" s="29"/>
      <c r="Q180" s="31">
        <f>IF(base!O180&lt;&gt;"",VLOOKUP(O180,de_para!$A$1:$B$31,2,0)*base!P180,0)</f>
        <v>0</v>
      </c>
      <c r="R180" s="38"/>
      <c r="S180" s="29"/>
      <c r="T180" s="31">
        <f>IF(base!R180&lt;&gt;"",VLOOKUP(R180,de_para!$A$1:$B$31,2,0)*base!S180,0)</f>
        <v>0</v>
      </c>
      <c r="U180" s="30">
        <f t="shared" si="3"/>
        <v>0</v>
      </c>
    </row>
    <row r="181" spans="1:21" x14ac:dyDescent="0.35">
      <c r="A181" s="29"/>
      <c r="B181" s="29"/>
      <c r="C181" s="29"/>
      <c r="D181" s="29"/>
      <c r="E181" s="29"/>
      <c r="F181" s="29"/>
      <c r="G181" s="29"/>
      <c r="H181" s="31">
        <f>IF(base!F181&lt;&gt;"",VLOOKUP(F181,de_para!$A$1:$B$31,2,0)*base!G181,0)</f>
        <v>0</v>
      </c>
      <c r="I181" s="38"/>
      <c r="J181" s="29"/>
      <c r="K181" s="31">
        <f>IF(base!I181&lt;&gt;"",VLOOKUP(I181,de_para!$A$1:$B$31,2,0)*base!J181,0)</f>
        <v>0</v>
      </c>
      <c r="L181" s="38"/>
      <c r="M181" s="29"/>
      <c r="N181" s="31">
        <f>IF(base!L181&lt;&gt;"",VLOOKUP(L181,de_para!$A$1:$B$31,2,0)*base!M181,0)</f>
        <v>0</v>
      </c>
      <c r="O181" s="38"/>
      <c r="P181" s="29"/>
      <c r="Q181" s="31">
        <f>IF(base!O181&lt;&gt;"",VLOOKUP(O181,de_para!$A$1:$B$31,2,0)*base!P181,0)</f>
        <v>0</v>
      </c>
      <c r="R181" s="38"/>
      <c r="S181" s="29"/>
      <c r="T181" s="31">
        <f>IF(base!R181&lt;&gt;"",VLOOKUP(R181,de_para!$A$1:$B$31,2,0)*base!S181,0)</f>
        <v>0</v>
      </c>
      <c r="U181" s="30">
        <f t="shared" si="3"/>
        <v>0</v>
      </c>
    </row>
    <row r="182" spans="1:21" x14ac:dyDescent="0.35">
      <c r="A182" s="29"/>
      <c r="B182" s="29"/>
      <c r="C182" s="29"/>
      <c r="D182" s="29"/>
      <c r="E182" s="29"/>
      <c r="F182" s="29"/>
      <c r="G182" s="29"/>
      <c r="H182" s="31">
        <f>IF(base!F182&lt;&gt;"",VLOOKUP(F182,de_para!$A$1:$B$31,2,0)*base!G182,0)</f>
        <v>0</v>
      </c>
      <c r="I182" s="38"/>
      <c r="J182" s="29"/>
      <c r="K182" s="31">
        <f>IF(base!I182&lt;&gt;"",VLOOKUP(I182,de_para!$A$1:$B$31,2,0)*base!J182,0)</f>
        <v>0</v>
      </c>
      <c r="L182" s="38"/>
      <c r="M182" s="29"/>
      <c r="N182" s="31">
        <f>IF(base!L182&lt;&gt;"",VLOOKUP(L182,de_para!$A$1:$B$31,2,0)*base!M182,0)</f>
        <v>0</v>
      </c>
      <c r="O182" s="38"/>
      <c r="P182" s="29"/>
      <c r="Q182" s="31">
        <f>IF(base!O182&lt;&gt;"",VLOOKUP(O182,de_para!$A$1:$B$31,2,0)*base!P182,0)</f>
        <v>0</v>
      </c>
      <c r="R182" s="38"/>
      <c r="S182" s="29"/>
      <c r="T182" s="31">
        <f>IF(base!R182&lt;&gt;"",VLOOKUP(R182,de_para!$A$1:$B$31,2,0)*base!S182,0)</f>
        <v>0</v>
      </c>
      <c r="U182" s="30">
        <f t="shared" si="3"/>
        <v>0</v>
      </c>
    </row>
    <row r="183" spans="1:21" x14ac:dyDescent="0.35">
      <c r="A183" s="29"/>
      <c r="B183" s="29"/>
      <c r="C183" s="29"/>
      <c r="D183" s="29"/>
      <c r="E183" s="29"/>
      <c r="F183" s="29"/>
      <c r="G183" s="29"/>
      <c r="H183" s="31">
        <f>IF(base!F183&lt;&gt;"",VLOOKUP(F183,de_para!$A$1:$B$31,2,0)*base!G183,0)</f>
        <v>0</v>
      </c>
      <c r="I183" s="38"/>
      <c r="J183" s="29"/>
      <c r="K183" s="31">
        <f>IF(base!I183&lt;&gt;"",VLOOKUP(I183,de_para!$A$1:$B$31,2,0)*base!J183,0)</f>
        <v>0</v>
      </c>
      <c r="L183" s="38"/>
      <c r="M183" s="29"/>
      <c r="N183" s="31">
        <f>IF(base!L183&lt;&gt;"",VLOOKUP(L183,de_para!$A$1:$B$31,2,0)*base!M183,0)</f>
        <v>0</v>
      </c>
      <c r="O183" s="38"/>
      <c r="P183" s="29"/>
      <c r="Q183" s="31">
        <f>IF(base!O183&lt;&gt;"",VLOOKUP(O183,de_para!$A$1:$B$31,2,0)*base!P183,0)</f>
        <v>0</v>
      </c>
      <c r="R183" s="38"/>
      <c r="S183" s="29"/>
      <c r="T183" s="31">
        <f>IF(base!R183&lt;&gt;"",VLOOKUP(R183,de_para!$A$1:$B$31,2,0)*base!S183,0)</f>
        <v>0</v>
      </c>
      <c r="U183" s="30">
        <f t="shared" ref="U183:U246" si="4">H183+K183+N183+Q183+T183</f>
        <v>0</v>
      </c>
    </row>
    <row r="184" spans="1:21" x14ac:dyDescent="0.35">
      <c r="A184" s="29"/>
      <c r="B184" s="29"/>
      <c r="C184" s="29"/>
      <c r="D184" s="29"/>
      <c r="E184" s="29"/>
      <c r="F184" s="29"/>
      <c r="G184" s="29"/>
      <c r="H184" s="31">
        <f>IF(base!F184&lt;&gt;"",VLOOKUP(F184,de_para!$A$1:$B$31,2,0)*base!G184,0)</f>
        <v>0</v>
      </c>
      <c r="I184" s="38"/>
      <c r="J184" s="29"/>
      <c r="K184" s="31">
        <f>IF(base!I184&lt;&gt;"",VLOOKUP(I184,de_para!$A$1:$B$31,2,0)*base!J184,0)</f>
        <v>0</v>
      </c>
      <c r="L184" s="38"/>
      <c r="M184" s="29"/>
      <c r="N184" s="31">
        <f>IF(base!L184&lt;&gt;"",VLOOKUP(L184,de_para!$A$1:$B$31,2,0)*base!M184,0)</f>
        <v>0</v>
      </c>
      <c r="O184" s="38"/>
      <c r="P184" s="29"/>
      <c r="Q184" s="31">
        <f>IF(base!O184&lt;&gt;"",VLOOKUP(O184,de_para!$A$1:$B$31,2,0)*base!P184,0)</f>
        <v>0</v>
      </c>
      <c r="R184" s="38"/>
      <c r="S184" s="29"/>
      <c r="T184" s="31">
        <f>IF(base!R184&lt;&gt;"",VLOOKUP(R184,de_para!$A$1:$B$31,2,0)*base!S184,0)</f>
        <v>0</v>
      </c>
      <c r="U184" s="30">
        <f t="shared" si="4"/>
        <v>0</v>
      </c>
    </row>
    <row r="185" spans="1:21" x14ac:dyDescent="0.35">
      <c r="A185" s="29"/>
      <c r="B185" s="29"/>
      <c r="C185" s="29"/>
      <c r="D185" s="29"/>
      <c r="E185" s="29"/>
      <c r="F185" s="29"/>
      <c r="G185" s="29"/>
      <c r="H185" s="31">
        <f>IF(base!F185&lt;&gt;"",VLOOKUP(F185,de_para!$A$1:$B$31,2,0)*base!G185,0)</f>
        <v>0</v>
      </c>
      <c r="I185" s="38"/>
      <c r="J185" s="29"/>
      <c r="K185" s="31">
        <f>IF(base!I185&lt;&gt;"",VLOOKUP(I185,de_para!$A$1:$B$31,2,0)*base!J185,0)</f>
        <v>0</v>
      </c>
      <c r="L185" s="38"/>
      <c r="M185" s="29"/>
      <c r="N185" s="31">
        <f>IF(base!L185&lt;&gt;"",VLOOKUP(L185,de_para!$A$1:$B$31,2,0)*base!M185,0)</f>
        <v>0</v>
      </c>
      <c r="O185" s="38"/>
      <c r="P185" s="29"/>
      <c r="Q185" s="31">
        <f>IF(base!O185&lt;&gt;"",VLOOKUP(O185,de_para!$A$1:$B$31,2,0)*base!P185,0)</f>
        <v>0</v>
      </c>
      <c r="R185" s="38"/>
      <c r="S185" s="29"/>
      <c r="T185" s="31">
        <f>IF(base!R185&lt;&gt;"",VLOOKUP(R185,de_para!$A$1:$B$31,2,0)*base!S185,0)</f>
        <v>0</v>
      </c>
      <c r="U185" s="30">
        <f t="shared" si="4"/>
        <v>0</v>
      </c>
    </row>
    <row r="186" spans="1:21" x14ac:dyDescent="0.35">
      <c r="A186" s="29"/>
      <c r="B186" s="29"/>
      <c r="C186" s="29"/>
      <c r="D186" s="29"/>
      <c r="E186" s="29"/>
      <c r="F186" s="29"/>
      <c r="G186" s="29"/>
      <c r="H186" s="31">
        <f>IF(base!F186&lt;&gt;"",VLOOKUP(F186,de_para!$A$1:$B$31,2,0)*base!G186,0)</f>
        <v>0</v>
      </c>
      <c r="I186" s="38"/>
      <c r="J186" s="29"/>
      <c r="K186" s="31">
        <f>IF(base!I186&lt;&gt;"",VLOOKUP(I186,de_para!$A$1:$B$31,2,0)*base!J186,0)</f>
        <v>0</v>
      </c>
      <c r="L186" s="38"/>
      <c r="M186" s="29"/>
      <c r="N186" s="31">
        <f>IF(base!L186&lt;&gt;"",VLOOKUP(L186,de_para!$A$1:$B$31,2,0)*base!M186,0)</f>
        <v>0</v>
      </c>
      <c r="O186" s="38"/>
      <c r="P186" s="29"/>
      <c r="Q186" s="31">
        <f>IF(base!O186&lt;&gt;"",VLOOKUP(O186,de_para!$A$1:$B$31,2,0)*base!P186,0)</f>
        <v>0</v>
      </c>
      <c r="R186" s="38"/>
      <c r="S186" s="29"/>
      <c r="T186" s="31">
        <f>IF(base!R186&lt;&gt;"",VLOOKUP(R186,de_para!$A$1:$B$31,2,0)*base!S186,0)</f>
        <v>0</v>
      </c>
      <c r="U186" s="30">
        <f t="shared" si="4"/>
        <v>0</v>
      </c>
    </row>
    <row r="187" spans="1:21" x14ac:dyDescent="0.35">
      <c r="A187" s="29"/>
      <c r="B187" s="29"/>
      <c r="C187" s="29"/>
      <c r="D187" s="29"/>
      <c r="E187" s="29"/>
      <c r="F187" s="29"/>
      <c r="G187" s="29"/>
      <c r="H187" s="31">
        <f>IF(base!F187&lt;&gt;"",VLOOKUP(F187,de_para!$A$1:$B$31,2,0)*base!G187,0)</f>
        <v>0</v>
      </c>
      <c r="I187" s="38"/>
      <c r="J187" s="29"/>
      <c r="K187" s="31">
        <f>IF(base!I187&lt;&gt;"",VLOOKUP(I187,de_para!$A$1:$B$31,2,0)*base!J187,0)</f>
        <v>0</v>
      </c>
      <c r="L187" s="38"/>
      <c r="M187" s="29"/>
      <c r="N187" s="31">
        <f>IF(base!L187&lt;&gt;"",VLOOKUP(L187,de_para!$A$1:$B$31,2,0)*base!M187,0)</f>
        <v>0</v>
      </c>
      <c r="O187" s="38"/>
      <c r="P187" s="29"/>
      <c r="Q187" s="31">
        <f>IF(base!O187&lt;&gt;"",VLOOKUP(O187,de_para!$A$1:$B$31,2,0)*base!P187,0)</f>
        <v>0</v>
      </c>
      <c r="R187" s="38"/>
      <c r="S187" s="29"/>
      <c r="T187" s="31">
        <f>IF(base!R187&lt;&gt;"",VLOOKUP(R187,de_para!$A$1:$B$31,2,0)*base!S187,0)</f>
        <v>0</v>
      </c>
      <c r="U187" s="30">
        <f t="shared" si="4"/>
        <v>0</v>
      </c>
    </row>
    <row r="188" spans="1:21" x14ac:dyDescent="0.35">
      <c r="A188" s="29"/>
      <c r="B188" s="29"/>
      <c r="C188" s="29"/>
      <c r="D188" s="29"/>
      <c r="E188" s="29"/>
      <c r="F188" s="29"/>
      <c r="G188" s="29"/>
      <c r="H188" s="31">
        <f>IF(base!F188&lt;&gt;"",VLOOKUP(F188,de_para!$A$1:$B$31,2,0)*base!G188,0)</f>
        <v>0</v>
      </c>
      <c r="I188" s="38"/>
      <c r="J188" s="29"/>
      <c r="K188" s="31">
        <f>IF(base!I188&lt;&gt;"",VLOOKUP(I188,de_para!$A$1:$B$31,2,0)*base!J188,0)</f>
        <v>0</v>
      </c>
      <c r="L188" s="38"/>
      <c r="M188" s="29"/>
      <c r="N188" s="31">
        <f>IF(base!L188&lt;&gt;"",VLOOKUP(L188,de_para!$A$1:$B$31,2,0)*base!M188,0)</f>
        <v>0</v>
      </c>
      <c r="O188" s="38"/>
      <c r="P188" s="29"/>
      <c r="Q188" s="31">
        <f>IF(base!O188&lt;&gt;"",VLOOKUP(O188,de_para!$A$1:$B$31,2,0)*base!P188,0)</f>
        <v>0</v>
      </c>
      <c r="R188" s="38"/>
      <c r="S188" s="29"/>
      <c r="T188" s="31">
        <f>IF(base!R188&lt;&gt;"",VLOOKUP(R188,de_para!$A$1:$B$31,2,0)*base!S188,0)</f>
        <v>0</v>
      </c>
      <c r="U188" s="30">
        <f t="shared" si="4"/>
        <v>0</v>
      </c>
    </row>
    <row r="189" spans="1:21" x14ac:dyDescent="0.35">
      <c r="A189" s="29"/>
      <c r="B189" s="29"/>
      <c r="C189" s="29"/>
      <c r="D189" s="29"/>
      <c r="E189" s="29"/>
      <c r="F189" s="29"/>
      <c r="G189" s="29"/>
      <c r="H189" s="31">
        <f>IF(base!F189&lt;&gt;"",VLOOKUP(F189,de_para!$A$1:$B$31,2,0)*base!G189,0)</f>
        <v>0</v>
      </c>
      <c r="I189" s="38"/>
      <c r="J189" s="29"/>
      <c r="K189" s="31">
        <f>IF(base!I189&lt;&gt;"",VLOOKUP(I189,de_para!$A$1:$B$31,2,0)*base!J189,0)</f>
        <v>0</v>
      </c>
      <c r="L189" s="38"/>
      <c r="M189" s="29"/>
      <c r="N189" s="31">
        <f>IF(base!L189&lt;&gt;"",VLOOKUP(L189,de_para!$A$1:$B$31,2,0)*base!M189,0)</f>
        <v>0</v>
      </c>
      <c r="O189" s="38"/>
      <c r="P189" s="29"/>
      <c r="Q189" s="31">
        <f>IF(base!O189&lt;&gt;"",VLOOKUP(O189,de_para!$A$1:$B$31,2,0)*base!P189,0)</f>
        <v>0</v>
      </c>
      <c r="R189" s="38"/>
      <c r="S189" s="29"/>
      <c r="T189" s="31">
        <f>IF(base!R189&lt;&gt;"",VLOOKUP(R189,de_para!$A$1:$B$31,2,0)*base!S189,0)</f>
        <v>0</v>
      </c>
      <c r="U189" s="30">
        <f t="shared" si="4"/>
        <v>0</v>
      </c>
    </row>
    <row r="190" spans="1:21" x14ac:dyDescent="0.35">
      <c r="A190" s="29"/>
      <c r="B190" s="29"/>
      <c r="C190" s="29"/>
      <c r="D190" s="29"/>
      <c r="E190" s="29"/>
      <c r="F190" s="29"/>
      <c r="G190" s="29"/>
      <c r="H190" s="31">
        <f>IF(base!F190&lt;&gt;"",VLOOKUP(F190,de_para!$A$1:$B$31,2,0)*base!G190,0)</f>
        <v>0</v>
      </c>
      <c r="I190" s="38"/>
      <c r="J190" s="29"/>
      <c r="K190" s="31">
        <f>IF(base!I190&lt;&gt;"",VLOOKUP(I190,de_para!$A$1:$B$31,2,0)*base!J190,0)</f>
        <v>0</v>
      </c>
      <c r="L190" s="38"/>
      <c r="M190" s="29"/>
      <c r="N190" s="31">
        <f>IF(base!L190&lt;&gt;"",VLOOKUP(L190,de_para!$A$1:$B$31,2,0)*base!M190,0)</f>
        <v>0</v>
      </c>
      <c r="O190" s="38"/>
      <c r="P190" s="29"/>
      <c r="Q190" s="31">
        <f>IF(base!O190&lt;&gt;"",VLOOKUP(O190,de_para!$A$1:$B$31,2,0)*base!P190,0)</f>
        <v>0</v>
      </c>
      <c r="R190" s="38"/>
      <c r="S190" s="29"/>
      <c r="T190" s="31">
        <f>IF(base!R190&lt;&gt;"",VLOOKUP(R190,de_para!$A$1:$B$31,2,0)*base!S190,0)</f>
        <v>0</v>
      </c>
      <c r="U190" s="30">
        <f t="shared" si="4"/>
        <v>0</v>
      </c>
    </row>
    <row r="191" spans="1:21" x14ac:dyDescent="0.35">
      <c r="A191" s="29"/>
      <c r="B191" s="29"/>
      <c r="C191" s="29"/>
      <c r="D191" s="29"/>
      <c r="E191" s="29"/>
      <c r="F191" s="29"/>
      <c r="G191" s="29"/>
      <c r="H191" s="31">
        <f>IF(base!F191&lt;&gt;"",VLOOKUP(F191,de_para!$A$1:$B$31,2,0)*base!G191,0)</f>
        <v>0</v>
      </c>
      <c r="I191" s="38"/>
      <c r="J191" s="29"/>
      <c r="K191" s="31">
        <f>IF(base!I191&lt;&gt;"",VLOOKUP(I191,de_para!$A$1:$B$31,2,0)*base!J191,0)</f>
        <v>0</v>
      </c>
      <c r="L191" s="38"/>
      <c r="M191" s="29"/>
      <c r="N191" s="31">
        <f>IF(base!L191&lt;&gt;"",VLOOKUP(L191,de_para!$A$1:$B$31,2,0)*base!M191,0)</f>
        <v>0</v>
      </c>
      <c r="O191" s="38"/>
      <c r="P191" s="29"/>
      <c r="Q191" s="31">
        <f>IF(base!O191&lt;&gt;"",VLOOKUP(O191,de_para!$A$1:$B$31,2,0)*base!P191,0)</f>
        <v>0</v>
      </c>
      <c r="R191" s="38"/>
      <c r="S191" s="29"/>
      <c r="T191" s="31">
        <f>IF(base!R191&lt;&gt;"",VLOOKUP(R191,de_para!$A$1:$B$31,2,0)*base!S191,0)</f>
        <v>0</v>
      </c>
      <c r="U191" s="30">
        <f t="shared" si="4"/>
        <v>0</v>
      </c>
    </row>
    <row r="192" spans="1:21" x14ac:dyDescent="0.35">
      <c r="A192" s="29"/>
      <c r="B192" s="29"/>
      <c r="C192" s="29"/>
      <c r="D192" s="29"/>
      <c r="E192" s="29"/>
      <c r="F192" s="29"/>
      <c r="G192" s="29"/>
      <c r="H192" s="31">
        <f>IF(base!F192&lt;&gt;"",VLOOKUP(F192,de_para!$A$1:$B$31,2,0)*base!G192,0)</f>
        <v>0</v>
      </c>
      <c r="I192" s="38"/>
      <c r="J192" s="29"/>
      <c r="K192" s="31">
        <f>IF(base!I192&lt;&gt;"",VLOOKUP(I192,de_para!$A$1:$B$31,2,0)*base!J192,0)</f>
        <v>0</v>
      </c>
      <c r="L192" s="38"/>
      <c r="M192" s="29"/>
      <c r="N192" s="31">
        <f>IF(base!L192&lt;&gt;"",VLOOKUP(L192,de_para!$A$1:$B$31,2,0)*base!M192,0)</f>
        <v>0</v>
      </c>
      <c r="O192" s="38"/>
      <c r="P192" s="29"/>
      <c r="Q192" s="31">
        <f>IF(base!O192&lt;&gt;"",VLOOKUP(O192,de_para!$A$1:$B$31,2,0)*base!P192,0)</f>
        <v>0</v>
      </c>
      <c r="R192" s="38"/>
      <c r="S192" s="29"/>
      <c r="T192" s="31">
        <f>IF(base!R192&lt;&gt;"",VLOOKUP(R192,de_para!$A$1:$B$31,2,0)*base!S192,0)</f>
        <v>0</v>
      </c>
      <c r="U192" s="30">
        <f t="shared" si="4"/>
        <v>0</v>
      </c>
    </row>
    <row r="193" spans="1:21" x14ac:dyDescent="0.35">
      <c r="A193" s="29"/>
      <c r="B193" s="29"/>
      <c r="C193" s="29"/>
      <c r="D193" s="29"/>
      <c r="E193" s="29"/>
      <c r="F193" s="29"/>
      <c r="G193" s="29"/>
      <c r="H193" s="31">
        <f>IF(base!F193&lt;&gt;"",VLOOKUP(F193,de_para!$A$1:$B$31,2,0)*base!G193,0)</f>
        <v>0</v>
      </c>
      <c r="I193" s="38"/>
      <c r="J193" s="29"/>
      <c r="K193" s="31">
        <f>IF(base!I193&lt;&gt;"",VLOOKUP(I193,de_para!$A$1:$B$31,2,0)*base!J193,0)</f>
        <v>0</v>
      </c>
      <c r="L193" s="38"/>
      <c r="M193" s="29"/>
      <c r="N193" s="31">
        <f>IF(base!L193&lt;&gt;"",VLOOKUP(L193,de_para!$A$1:$B$31,2,0)*base!M193,0)</f>
        <v>0</v>
      </c>
      <c r="O193" s="38"/>
      <c r="P193" s="29"/>
      <c r="Q193" s="31">
        <f>IF(base!O193&lt;&gt;"",VLOOKUP(O193,de_para!$A$1:$B$31,2,0)*base!P193,0)</f>
        <v>0</v>
      </c>
      <c r="R193" s="38"/>
      <c r="S193" s="29"/>
      <c r="T193" s="31">
        <f>IF(base!R193&lt;&gt;"",VLOOKUP(R193,de_para!$A$1:$B$31,2,0)*base!S193,0)</f>
        <v>0</v>
      </c>
      <c r="U193" s="30">
        <f t="shared" si="4"/>
        <v>0</v>
      </c>
    </row>
    <row r="194" spans="1:21" x14ac:dyDescent="0.35">
      <c r="A194" s="29"/>
      <c r="B194" s="29"/>
      <c r="C194" s="29"/>
      <c r="D194" s="29"/>
      <c r="E194" s="29"/>
      <c r="F194" s="29"/>
      <c r="G194" s="29"/>
      <c r="H194" s="31">
        <f>IF(base!F194&lt;&gt;"",VLOOKUP(F194,de_para!$A$1:$B$31,2,0)*base!G194,0)</f>
        <v>0</v>
      </c>
      <c r="I194" s="38"/>
      <c r="J194" s="29"/>
      <c r="K194" s="31">
        <f>IF(base!I194&lt;&gt;"",VLOOKUP(I194,de_para!$A$1:$B$31,2,0)*base!J194,0)</f>
        <v>0</v>
      </c>
      <c r="L194" s="38"/>
      <c r="M194" s="29"/>
      <c r="N194" s="31">
        <f>IF(base!L194&lt;&gt;"",VLOOKUP(L194,de_para!$A$1:$B$31,2,0)*base!M194,0)</f>
        <v>0</v>
      </c>
      <c r="O194" s="38"/>
      <c r="P194" s="29"/>
      <c r="Q194" s="31">
        <f>IF(base!O194&lt;&gt;"",VLOOKUP(O194,de_para!$A$1:$B$31,2,0)*base!P194,0)</f>
        <v>0</v>
      </c>
      <c r="R194" s="38"/>
      <c r="S194" s="29"/>
      <c r="T194" s="31">
        <f>IF(base!R194&lt;&gt;"",VLOOKUP(R194,de_para!$A$1:$B$31,2,0)*base!S194,0)</f>
        <v>0</v>
      </c>
      <c r="U194" s="30">
        <f t="shared" si="4"/>
        <v>0</v>
      </c>
    </row>
    <row r="195" spans="1:21" x14ac:dyDescent="0.35">
      <c r="A195" s="29"/>
      <c r="B195" s="29"/>
      <c r="C195" s="29"/>
      <c r="D195" s="29"/>
      <c r="E195" s="29"/>
      <c r="F195" s="29"/>
      <c r="G195" s="29"/>
      <c r="H195" s="31">
        <f>IF(base!F195&lt;&gt;"",VLOOKUP(F195,de_para!$A$1:$B$31,2,0)*base!G195,0)</f>
        <v>0</v>
      </c>
      <c r="I195" s="38"/>
      <c r="J195" s="29"/>
      <c r="K195" s="31">
        <f>IF(base!I195&lt;&gt;"",VLOOKUP(I195,de_para!$A$1:$B$31,2,0)*base!J195,0)</f>
        <v>0</v>
      </c>
      <c r="L195" s="38"/>
      <c r="M195" s="29"/>
      <c r="N195" s="31">
        <f>IF(base!L195&lt;&gt;"",VLOOKUP(L195,de_para!$A$1:$B$31,2,0)*base!M195,0)</f>
        <v>0</v>
      </c>
      <c r="O195" s="38"/>
      <c r="P195" s="29"/>
      <c r="Q195" s="31">
        <f>IF(base!O195&lt;&gt;"",VLOOKUP(O195,de_para!$A$1:$B$31,2,0)*base!P195,0)</f>
        <v>0</v>
      </c>
      <c r="R195" s="38"/>
      <c r="S195" s="29"/>
      <c r="T195" s="31">
        <f>IF(base!R195&lt;&gt;"",VLOOKUP(R195,de_para!$A$1:$B$31,2,0)*base!S195,0)</f>
        <v>0</v>
      </c>
      <c r="U195" s="30">
        <f t="shared" si="4"/>
        <v>0</v>
      </c>
    </row>
    <row r="196" spans="1:21" x14ac:dyDescent="0.35">
      <c r="A196" s="29"/>
      <c r="B196" s="29"/>
      <c r="C196" s="29"/>
      <c r="D196" s="29"/>
      <c r="E196" s="29"/>
      <c r="F196" s="29"/>
      <c r="G196" s="29"/>
      <c r="H196" s="31">
        <f>IF(base!F196&lt;&gt;"",VLOOKUP(F196,de_para!$A$1:$B$31,2,0)*base!G196,0)</f>
        <v>0</v>
      </c>
      <c r="I196" s="38"/>
      <c r="J196" s="29"/>
      <c r="K196" s="31">
        <f>IF(base!I196&lt;&gt;"",VLOOKUP(I196,de_para!$A$1:$B$31,2,0)*base!J196,0)</f>
        <v>0</v>
      </c>
      <c r="L196" s="38"/>
      <c r="M196" s="29"/>
      <c r="N196" s="31">
        <f>IF(base!L196&lt;&gt;"",VLOOKUP(L196,de_para!$A$1:$B$31,2,0)*base!M196,0)</f>
        <v>0</v>
      </c>
      <c r="O196" s="38"/>
      <c r="P196" s="29"/>
      <c r="Q196" s="31">
        <f>IF(base!O196&lt;&gt;"",VLOOKUP(O196,de_para!$A$1:$B$31,2,0)*base!P196,0)</f>
        <v>0</v>
      </c>
      <c r="R196" s="38"/>
      <c r="S196" s="29"/>
      <c r="T196" s="31">
        <f>IF(base!R196&lt;&gt;"",VLOOKUP(R196,de_para!$A$1:$B$31,2,0)*base!S196,0)</f>
        <v>0</v>
      </c>
      <c r="U196" s="30">
        <f t="shared" si="4"/>
        <v>0</v>
      </c>
    </row>
    <row r="197" spans="1:21" x14ac:dyDescent="0.35">
      <c r="A197" s="29"/>
      <c r="B197" s="29"/>
      <c r="C197" s="29"/>
      <c r="D197" s="29"/>
      <c r="E197" s="29"/>
      <c r="F197" s="29"/>
      <c r="G197" s="29"/>
      <c r="H197" s="31">
        <f>IF(base!F197&lt;&gt;"",VLOOKUP(F197,de_para!$A$1:$B$31,2,0)*base!G197,0)</f>
        <v>0</v>
      </c>
      <c r="I197" s="38"/>
      <c r="J197" s="29"/>
      <c r="K197" s="31">
        <f>IF(base!I197&lt;&gt;"",VLOOKUP(I197,de_para!$A$1:$B$31,2,0)*base!J197,0)</f>
        <v>0</v>
      </c>
      <c r="L197" s="38"/>
      <c r="M197" s="29"/>
      <c r="N197" s="31">
        <f>IF(base!L197&lt;&gt;"",VLOOKUP(L197,de_para!$A$1:$B$31,2,0)*base!M197,0)</f>
        <v>0</v>
      </c>
      <c r="O197" s="38"/>
      <c r="P197" s="29"/>
      <c r="Q197" s="31">
        <f>IF(base!O197&lt;&gt;"",VLOOKUP(O197,de_para!$A$1:$B$31,2,0)*base!P197,0)</f>
        <v>0</v>
      </c>
      <c r="R197" s="38"/>
      <c r="S197" s="29"/>
      <c r="T197" s="31">
        <f>IF(base!R197&lt;&gt;"",VLOOKUP(R197,de_para!$A$1:$B$31,2,0)*base!S197,0)</f>
        <v>0</v>
      </c>
      <c r="U197" s="30">
        <f t="shared" si="4"/>
        <v>0</v>
      </c>
    </row>
    <row r="198" spans="1:21" x14ac:dyDescent="0.35">
      <c r="A198" s="29"/>
      <c r="B198" s="29"/>
      <c r="C198" s="29"/>
      <c r="D198" s="29"/>
      <c r="E198" s="29"/>
      <c r="F198" s="29"/>
      <c r="G198" s="29"/>
      <c r="H198" s="31">
        <f>IF(base!F198&lt;&gt;"",VLOOKUP(F198,de_para!$A$1:$B$31,2,0)*base!G198,0)</f>
        <v>0</v>
      </c>
      <c r="I198" s="38"/>
      <c r="J198" s="29"/>
      <c r="K198" s="31">
        <f>IF(base!I198&lt;&gt;"",VLOOKUP(I198,de_para!$A$1:$B$31,2,0)*base!J198,0)</f>
        <v>0</v>
      </c>
      <c r="L198" s="38"/>
      <c r="M198" s="29"/>
      <c r="N198" s="31">
        <f>IF(base!L198&lt;&gt;"",VLOOKUP(L198,de_para!$A$1:$B$31,2,0)*base!M198,0)</f>
        <v>0</v>
      </c>
      <c r="O198" s="38"/>
      <c r="P198" s="29"/>
      <c r="Q198" s="31">
        <f>IF(base!O198&lt;&gt;"",VLOOKUP(O198,de_para!$A$1:$B$31,2,0)*base!P198,0)</f>
        <v>0</v>
      </c>
      <c r="R198" s="38"/>
      <c r="S198" s="29"/>
      <c r="T198" s="31">
        <f>IF(base!R198&lt;&gt;"",VLOOKUP(R198,de_para!$A$1:$B$31,2,0)*base!S198,0)</f>
        <v>0</v>
      </c>
      <c r="U198" s="30">
        <f t="shared" si="4"/>
        <v>0</v>
      </c>
    </row>
    <row r="199" spans="1:21" x14ac:dyDescent="0.35">
      <c r="A199" s="29"/>
      <c r="B199" s="29"/>
      <c r="C199" s="29"/>
      <c r="D199" s="29"/>
      <c r="E199" s="29"/>
      <c r="F199" s="29"/>
      <c r="G199" s="29"/>
      <c r="H199" s="31">
        <f>IF(base!F199&lt;&gt;"",VLOOKUP(F199,de_para!$A$1:$B$31,2,0)*base!G199,0)</f>
        <v>0</v>
      </c>
      <c r="I199" s="38"/>
      <c r="J199" s="29"/>
      <c r="K199" s="31">
        <f>IF(base!I199&lt;&gt;"",VLOOKUP(I199,de_para!$A$1:$B$31,2,0)*base!J199,0)</f>
        <v>0</v>
      </c>
      <c r="L199" s="38"/>
      <c r="M199" s="29"/>
      <c r="N199" s="31">
        <f>IF(base!L199&lt;&gt;"",VLOOKUP(L199,de_para!$A$1:$B$31,2,0)*base!M199,0)</f>
        <v>0</v>
      </c>
      <c r="O199" s="38"/>
      <c r="P199" s="29"/>
      <c r="Q199" s="31">
        <f>IF(base!O199&lt;&gt;"",VLOOKUP(O199,de_para!$A$1:$B$31,2,0)*base!P199,0)</f>
        <v>0</v>
      </c>
      <c r="R199" s="38"/>
      <c r="S199" s="29"/>
      <c r="T199" s="31">
        <f>IF(base!R199&lt;&gt;"",VLOOKUP(R199,de_para!$A$1:$B$31,2,0)*base!S199,0)</f>
        <v>0</v>
      </c>
      <c r="U199" s="30">
        <f t="shared" si="4"/>
        <v>0</v>
      </c>
    </row>
    <row r="200" spans="1:21" x14ac:dyDescent="0.35">
      <c r="A200" s="29"/>
      <c r="B200" s="29"/>
      <c r="C200" s="29"/>
      <c r="D200" s="29"/>
      <c r="E200" s="29"/>
      <c r="F200" s="29"/>
      <c r="G200" s="29"/>
      <c r="H200" s="31">
        <f>IF(base!F200&lt;&gt;"",VLOOKUP(F200,de_para!$A$1:$B$31,2,0)*base!G200,0)</f>
        <v>0</v>
      </c>
      <c r="I200" s="38"/>
      <c r="J200" s="29"/>
      <c r="K200" s="31">
        <f>IF(base!I200&lt;&gt;"",VLOOKUP(I200,de_para!$A$1:$B$31,2,0)*base!J200,0)</f>
        <v>0</v>
      </c>
      <c r="L200" s="38"/>
      <c r="M200" s="29"/>
      <c r="N200" s="31">
        <f>IF(base!L200&lt;&gt;"",VLOOKUP(L200,de_para!$A$1:$B$31,2,0)*base!M200,0)</f>
        <v>0</v>
      </c>
      <c r="O200" s="38"/>
      <c r="P200" s="29"/>
      <c r="Q200" s="31">
        <f>IF(base!O200&lt;&gt;"",VLOOKUP(O200,de_para!$A$1:$B$31,2,0)*base!P200,0)</f>
        <v>0</v>
      </c>
      <c r="R200" s="38"/>
      <c r="S200" s="29"/>
      <c r="T200" s="31">
        <f>IF(base!R200&lt;&gt;"",VLOOKUP(R200,de_para!$A$1:$B$31,2,0)*base!S200,0)</f>
        <v>0</v>
      </c>
      <c r="U200" s="30">
        <f t="shared" si="4"/>
        <v>0</v>
      </c>
    </row>
    <row r="201" spans="1:21" x14ac:dyDescent="0.35">
      <c r="A201" s="29"/>
      <c r="B201" s="29"/>
      <c r="C201" s="29"/>
      <c r="D201" s="29"/>
      <c r="E201" s="29"/>
      <c r="F201" s="29"/>
      <c r="G201" s="29"/>
      <c r="H201" s="31">
        <f>IF(base!F201&lt;&gt;"",VLOOKUP(F201,de_para!$A$1:$B$31,2,0)*base!G201,0)</f>
        <v>0</v>
      </c>
      <c r="I201" s="38"/>
      <c r="J201" s="29"/>
      <c r="K201" s="31">
        <f>IF(base!I201&lt;&gt;"",VLOOKUP(I201,de_para!$A$1:$B$31,2,0)*base!J201,0)</f>
        <v>0</v>
      </c>
      <c r="L201" s="38"/>
      <c r="M201" s="29"/>
      <c r="N201" s="31">
        <f>IF(base!L201&lt;&gt;"",VLOOKUP(L201,de_para!$A$1:$B$31,2,0)*base!M201,0)</f>
        <v>0</v>
      </c>
      <c r="O201" s="38"/>
      <c r="P201" s="29"/>
      <c r="Q201" s="31">
        <f>IF(base!O201&lt;&gt;"",VLOOKUP(O201,de_para!$A$1:$B$31,2,0)*base!P201,0)</f>
        <v>0</v>
      </c>
      <c r="R201" s="38"/>
      <c r="S201" s="29"/>
      <c r="T201" s="31">
        <f>IF(base!R201&lt;&gt;"",VLOOKUP(R201,de_para!$A$1:$B$31,2,0)*base!S201,0)</f>
        <v>0</v>
      </c>
      <c r="U201" s="30">
        <f t="shared" si="4"/>
        <v>0</v>
      </c>
    </row>
    <row r="202" spans="1:21" x14ac:dyDescent="0.35">
      <c r="A202" s="29"/>
      <c r="B202" s="29"/>
      <c r="C202" s="29"/>
      <c r="D202" s="29"/>
      <c r="E202" s="29"/>
      <c r="F202" s="29"/>
      <c r="G202" s="29"/>
      <c r="H202" s="31">
        <f>IF(base!F202&lt;&gt;"",VLOOKUP(F202,de_para!$A$1:$B$31,2,0)*base!G202,0)</f>
        <v>0</v>
      </c>
      <c r="I202" s="38"/>
      <c r="J202" s="29"/>
      <c r="K202" s="31">
        <f>IF(base!I202&lt;&gt;"",VLOOKUP(I202,de_para!$A$1:$B$31,2,0)*base!J202,0)</f>
        <v>0</v>
      </c>
      <c r="L202" s="38"/>
      <c r="M202" s="29"/>
      <c r="N202" s="31">
        <f>IF(base!L202&lt;&gt;"",VLOOKUP(L202,de_para!$A$1:$B$31,2,0)*base!M202,0)</f>
        <v>0</v>
      </c>
      <c r="O202" s="38"/>
      <c r="P202" s="29"/>
      <c r="Q202" s="31">
        <f>IF(base!O202&lt;&gt;"",VLOOKUP(O202,de_para!$A$1:$B$31,2,0)*base!P202,0)</f>
        <v>0</v>
      </c>
      <c r="R202" s="38"/>
      <c r="S202" s="29"/>
      <c r="T202" s="31">
        <f>IF(base!R202&lt;&gt;"",VLOOKUP(R202,de_para!$A$1:$B$31,2,0)*base!S202,0)</f>
        <v>0</v>
      </c>
      <c r="U202" s="30">
        <f t="shared" si="4"/>
        <v>0</v>
      </c>
    </row>
    <row r="203" spans="1:21" x14ac:dyDescent="0.35">
      <c r="A203" s="29"/>
      <c r="B203" s="29"/>
      <c r="C203" s="29"/>
      <c r="D203" s="29"/>
      <c r="E203" s="29"/>
      <c r="F203" s="29"/>
      <c r="G203" s="29"/>
      <c r="H203" s="31">
        <f>IF(base!F203&lt;&gt;"",VLOOKUP(F203,de_para!$A$1:$B$31,2,0)*base!G203,0)</f>
        <v>0</v>
      </c>
      <c r="I203" s="38"/>
      <c r="J203" s="29"/>
      <c r="K203" s="31">
        <f>IF(base!I203&lt;&gt;"",VLOOKUP(I203,de_para!$A$1:$B$31,2,0)*base!J203,0)</f>
        <v>0</v>
      </c>
      <c r="L203" s="38"/>
      <c r="M203" s="29"/>
      <c r="N203" s="31">
        <f>IF(base!L203&lt;&gt;"",VLOOKUP(L203,de_para!$A$1:$B$31,2,0)*base!M203,0)</f>
        <v>0</v>
      </c>
      <c r="O203" s="38"/>
      <c r="P203" s="29"/>
      <c r="Q203" s="31">
        <f>IF(base!O203&lt;&gt;"",VLOOKUP(O203,de_para!$A$1:$B$31,2,0)*base!P203,0)</f>
        <v>0</v>
      </c>
      <c r="R203" s="38"/>
      <c r="S203" s="29"/>
      <c r="T203" s="31">
        <f>IF(base!R203&lt;&gt;"",VLOOKUP(R203,de_para!$A$1:$B$31,2,0)*base!S203,0)</f>
        <v>0</v>
      </c>
      <c r="U203" s="30">
        <f t="shared" si="4"/>
        <v>0</v>
      </c>
    </row>
    <row r="204" spans="1:21" x14ac:dyDescent="0.35">
      <c r="A204" s="29"/>
      <c r="B204" s="29"/>
      <c r="C204" s="29"/>
      <c r="D204" s="29"/>
      <c r="E204" s="29"/>
      <c r="F204" s="29"/>
      <c r="G204" s="29"/>
      <c r="H204" s="31">
        <f>IF(base!F204&lt;&gt;"",VLOOKUP(F204,de_para!$A$1:$B$31,2,0)*base!G204,0)</f>
        <v>0</v>
      </c>
      <c r="I204" s="38"/>
      <c r="J204" s="29"/>
      <c r="K204" s="31">
        <f>IF(base!I204&lt;&gt;"",VLOOKUP(I204,de_para!$A$1:$B$31,2,0)*base!J204,0)</f>
        <v>0</v>
      </c>
      <c r="L204" s="38"/>
      <c r="M204" s="29"/>
      <c r="N204" s="31">
        <f>IF(base!L204&lt;&gt;"",VLOOKUP(L204,de_para!$A$1:$B$31,2,0)*base!M204,0)</f>
        <v>0</v>
      </c>
      <c r="O204" s="38"/>
      <c r="P204" s="29"/>
      <c r="Q204" s="31">
        <f>IF(base!O204&lt;&gt;"",VLOOKUP(O204,de_para!$A$1:$B$31,2,0)*base!P204,0)</f>
        <v>0</v>
      </c>
      <c r="R204" s="38"/>
      <c r="S204" s="29"/>
      <c r="T204" s="31">
        <f>IF(base!R204&lt;&gt;"",VLOOKUP(R204,de_para!$A$1:$B$31,2,0)*base!S204,0)</f>
        <v>0</v>
      </c>
      <c r="U204" s="30">
        <f t="shared" si="4"/>
        <v>0</v>
      </c>
    </row>
    <row r="205" spans="1:21" x14ac:dyDescent="0.35">
      <c r="A205" s="29"/>
      <c r="B205" s="29"/>
      <c r="C205" s="29"/>
      <c r="D205" s="29"/>
      <c r="E205" s="29"/>
      <c r="F205" s="29"/>
      <c r="G205" s="29"/>
      <c r="H205" s="31">
        <f>IF(base!F205&lt;&gt;"",VLOOKUP(F205,de_para!$A$1:$B$31,2,0)*base!G205,0)</f>
        <v>0</v>
      </c>
      <c r="I205" s="38"/>
      <c r="J205" s="29"/>
      <c r="K205" s="31">
        <f>IF(base!I205&lt;&gt;"",VLOOKUP(I205,de_para!$A$1:$B$31,2,0)*base!J205,0)</f>
        <v>0</v>
      </c>
      <c r="L205" s="38"/>
      <c r="M205" s="29"/>
      <c r="N205" s="31">
        <f>IF(base!L205&lt;&gt;"",VLOOKUP(L205,de_para!$A$1:$B$31,2,0)*base!M205,0)</f>
        <v>0</v>
      </c>
      <c r="O205" s="38"/>
      <c r="P205" s="29"/>
      <c r="Q205" s="31">
        <f>IF(base!O205&lt;&gt;"",VLOOKUP(O205,de_para!$A$1:$B$31,2,0)*base!P205,0)</f>
        <v>0</v>
      </c>
      <c r="R205" s="38"/>
      <c r="S205" s="29"/>
      <c r="T205" s="31">
        <f>IF(base!R205&lt;&gt;"",VLOOKUP(R205,de_para!$A$1:$B$31,2,0)*base!S205,0)</f>
        <v>0</v>
      </c>
      <c r="U205" s="30">
        <f t="shared" si="4"/>
        <v>0</v>
      </c>
    </row>
    <row r="206" spans="1:21" x14ac:dyDescent="0.35">
      <c r="A206" s="29"/>
      <c r="B206" s="29"/>
      <c r="C206" s="29"/>
      <c r="D206" s="29"/>
      <c r="E206" s="29"/>
      <c r="F206" s="29"/>
      <c r="G206" s="29"/>
      <c r="H206" s="31">
        <f>IF(base!F206&lt;&gt;"",VLOOKUP(F206,de_para!$A$1:$B$31,2,0)*base!G206,0)</f>
        <v>0</v>
      </c>
      <c r="I206" s="38"/>
      <c r="J206" s="29"/>
      <c r="K206" s="31">
        <f>IF(base!I206&lt;&gt;"",VLOOKUP(I206,de_para!$A$1:$B$31,2,0)*base!J206,0)</f>
        <v>0</v>
      </c>
      <c r="L206" s="38"/>
      <c r="M206" s="29"/>
      <c r="N206" s="31">
        <f>IF(base!L206&lt;&gt;"",VLOOKUP(L206,de_para!$A$1:$B$31,2,0)*base!M206,0)</f>
        <v>0</v>
      </c>
      <c r="O206" s="38"/>
      <c r="P206" s="29"/>
      <c r="Q206" s="31">
        <f>IF(base!O206&lt;&gt;"",VLOOKUP(O206,de_para!$A$1:$B$31,2,0)*base!P206,0)</f>
        <v>0</v>
      </c>
      <c r="R206" s="38"/>
      <c r="S206" s="29"/>
      <c r="T206" s="31">
        <f>IF(base!R206&lt;&gt;"",VLOOKUP(R206,de_para!$A$1:$B$31,2,0)*base!S206,0)</f>
        <v>0</v>
      </c>
      <c r="U206" s="30">
        <f t="shared" si="4"/>
        <v>0</v>
      </c>
    </row>
    <row r="207" spans="1:21" x14ac:dyDescent="0.35">
      <c r="A207" s="29"/>
      <c r="B207" s="29"/>
      <c r="C207" s="29"/>
      <c r="D207" s="29"/>
      <c r="E207" s="29"/>
      <c r="F207" s="29"/>
      <c r="G207" s="29"/>
      <c r="H207" s="31">
        <f>IF(base!F207&lt;&gt;"",VLOOKUP(F207,de_para!$A$1:$B$31,2,0)*base!G207,0)</f>
        <v>0</v>
      </c>
      <c r="I207" s="38"/>
      <c r="J207" s="29"/>
      <c r="K207" s="31">
        <f>IF(base!I207&lt;&gt;"",VLOOKUP(I207,de_para!$A$1:$B$31,2,0)*base!J207,0)</f>
        <v>0</v>
      </c>
      <c r="L207" s="38"/>
      <c r="M207" s="29"/>
      <c r="N207" s="31">
        <f>IF(base!L207&lt;&gt;"",VLOOKUP(L207,de_para!$A$1:$B$31,2,0)*base!M207,0)</f>
        <v>0</v>
      </c>
      <c r="O207" s="38"/>
      <c r="P207" s="29"/>
      <c r="Q207" s="31">
        <f>IF(base!O207&lt;&gt;"",VLOOKUP(O207,de_para!$A$1:$B$31,2,0)*base!P207,0)</f>
        <v>0</v>
      </c>
      <c r="R207" s="38"/>
      <c r="S207" s="29"/>
      <c r="T207" s="31">
        <f>IF(base!R207&lt;&gt;"",VLOOKUP(R207,de_para!$A$1:$B$31,2,0)*base!S207,0)</f>
        <v>0</v>
      </c>
      <c r="U207" s="30">
        <f t="shared" si="4"/>
        <v>0</v>
      </c>
    </row>
    <row r="208" spans="1:21" x14ac:dyDescent="0.35">
      <c r="A208" s="29"/>
      <c r="B208" s="29"/>
      <c r="C208" s="29"/>
      <c r="D208" s="29"/>
      <c r="E208" s="29"/>
      <c r="F208" s="29"/>
      <c r="G208" s="29"/>
      <c r="H208" s="31">
        <f>IF(base!F208&lt;&gt;"",VLOOKUP(F208,de_para!$A$1:$B$31,2,0)*base!G208,0)</f>
        <v>0</v>
      </c>
      <c r="I208" s="38"/>
      <c r="J208" s="29"/>
      <c r="K208" s="31">
        <f>IF(base!I208&lt;&gt;"",VLOOKUP(I208,de_para!$A$1:$B$31,2,0)*base!J208,0)</f>
        <v>0</v>
      </c>
      <c r="L208" s="38"/>
      <c r="M208" s="29"/>
      <c r="N208" s="31">
        <f>IF(base!L208&lt;&gt;"",VLOOKUP(L208,de_para!$A$1:$B$31,2,0)*base!M208,0)</f>
        <v>0</v>
      </c>
      <c r="O208" s="38"/>
      <c r="P208" s="29"/>
      <c r="Q208" s="31">
        <f>IF(base!O208&lt;&gt;"",VLOOKUP(O208,de_para!$A$1:$B$31,2,0)*base!P208,0)</f>
        <v>0</v>
      </c>
      <c r="R208" s="38"/>
      <c r="S208" s="29"/>
      <c r="T208" s="31">
        <f>IF(base!R208&lt;&gt;"",VLOOKUP(R208,de_para!$A$1:$B$31,2,0)*base!S208,0)</f>
        <v>0</v>
      </c>
      <c r="U208" s="30">
        <f t="shared" si="4"/>
        <v>0</v>
      </c>
    </row>
    <row r="209" spans="1:21" x14ac:dyDescent="0.35">
      <c r="A209" s="29"/>
      <c r="B209" s="29"/>
      <c r="C209" s="29"/>
      <c r="D209" s="29"/>
      <c r="E209" s="29"/>
      <c r="F209" s="29"/>
      <c r="G209" s="29"/>
      <c r="H209" s="31">
        <f>IF(base!F209&lt;&gt;"",VLOOKUP(F209,de_para!$A$1:$B$31,2,0)*base!G209,0)</f>
        <v>0</v>
      </c>
      <c r="I209" s="38"/>
      <c r="J209" s="29"/>
      <c r="K209" s="31">
        <f>IF(base!I209&lt;&gt;"",VLOOKUP(I209,de_para!$A$1:$B$31,2,0)*base!J209,0)</f>
        <v>0</v>
      </c>
      <c r="L209" s="38"/>
      <c r="M209" s="29"/>
      <c r="N209" s="31">
        <f>IF(base!L209&lt;&gt;"",VLOOKUP(L209,de_para!$A$1:$B$31,2,0)*base!M209,0)</f>
        <v>0</v>
      </c>
      <c r="O209" s="38"/>
      <c r="P209" s="29"/>
      <c r="Q209" s="31">
        <f>IF(base!O209&lt;&gt;"",VLOOKUP(O209,de_para!$A$1:$B$31,2,0)*base!P209,0)</f>
        <v>0</v>
      </c>
      <c r="R209" s="38"/>
      <c r="S209" s="29"/>
      <c r="T209" s="31">
        <f>IF(base!R209&lt;&gt;"",VLOOKUP(R209,de_para!$A$1:$B$31,2,0)*base!S209,0)</f>
        <v>0</v>
      </c>
      <c r="U209" s="30">
        <f t="shared" si="4"/>
        <v>0</v>
      </c>
    </row>
    <row r="210" spans="1:21" x14ac:dyDescent="0.35">
      <c r="A210" s="29"/>
      <c r="B210" s="29"/>
      <c r="C210" s="29"/>
      <c r="D210" s="29"/>
      <c r="E210" s="29"/>
      <c r="F210" s="29"/>
      <c r="G210" s="29"/>
      <c r="H210" s="31">
        <f>IF(base!F210&lt;&gt;"",VLOOKUP(F210,de_para!$A$1:$B$31,2,0)*base!G210,0)</f>
        <v>0</v>
      </c>
      <c r="I210" s="38"/>
      <c r="J210" s="29"/>
      <c r="K210" s="31">
        <f>IF(base!I210&lt;&gt;"",VLOOKUP(I210,de_para!$A$1:$B$31,2,0)*base!J210,0)</f>
        <v>0</v>
      </c>
      <c r="L210" s="38"/>
      <c r="M210" s="29"/>
      <c r="N210" s="31">
        <f>IF(base!L210&lt;&gt;"",VLOOKUP(L210,de_para!$A$1:$B$31,2,0)*base!M210,0)</f>
        <v>0</v>
      </c>
      <c r="O210" s="38"/>
      <c r="P210" s="29"/>
      <c r="Q210" s="31">
        <f>IF(base!O210&lt;&gt;"",VLOOKUP(O210,de_para!$A$1:$B$31,2,0)*base!P210,0)</f>
        <v>0</v>
      </c>
      <c r="R210" s="38"/>
      <c r="S210" s="29"/>
      <c r="T210" s="31">
        <f>IF(base!R210&lt;&gt;"",VLOOKUP(R210,de_para!$A$1:$B$31,2,0)*base!S210,0)</f>
        <v>0</v>
      </c>
      <c r="U210" s="30">
        <f t="shared" si="4"/>
        <v>0</v>
      </c>
    </row>
    <row r="211" spans="1:21" x14ac:dyDescent="0.35">
      <c r="A211" s="29"/>
      <c r="B211" s="29"/>
      <c r="C211" s="29"/>
      <c r="D211" s="29"/>
      <c r="E211" s="29"/>
      <c r="F211" s="29"/>
      <c r="G211" s="29"/>
      <c r="H211" s="31">
        <f>IF(base!F211&lt;&gt;"",VLOOKUP(F211,de_para!$A$1:$B$31,2,0)*base!G211,0)</f>
        <v>0</v>
      </c>
      <c r="I211" s="38"/>
      <c r="J211" s="29"/>
      <c r="K211" s="31">
        <f>IF(base!I211&lt;&gt;"",VLOOKUP(I211,de_para!$A$1:$B$31,2,0)*base!J211,0)</f>
        <v>0</v>
      </c>
      <c r="L211" s="38"/>
      <c r="M211" s="29"/>
      <c r="N211" s="31">
        <f>IF(base!L211&lt;&gt;"",VLOOKUP(L211,de_para!$A$1:$B$31,2,0)*base!M211,0)</f>
        <v>0</v>
      </c>
      <c r="O211" s="38"/>
      <c r="P211" s="29"/>
      <c r="Q211" s="31">
        <f>IF(base!O211&lt;&gt;"",VLOOKUP(O211,de_para!$A$1:$B$31,2,0)*base!P211,0)</f>
        <v>0</v>
      </c>
      <c r="R211" s="38"/>
      <c r="S211" s="29"/>
      <c r="T211" s="31">
        <f>IF(base!R211&lt;&gt;"",VLOOKUP(R211,de_para!$A$1:$B$31,2,0)*base!S211,0)</f>
        <v>0</v>
      </c>
      <c r="U211" s="30">
        <f t="shared" si="4"/>
        <v>0</v>
      </c>
    </row>
    <row r="212" spans="1:21" x14ac:dyDescent="0.35">
      <c r="A212" s="29"/>
      <c r="B212" s="29"/>
      <c r="C212" s="29"/>
      <c r="D212" s="29"/>
      <c r="E212" s="29"/>
      <c r="F212" s="29"/>
      <c r="G212" s="29"/>
      <c r="H212" s="31">
        <f>IF(base!F212&lt;&gt;"",VLOOKUP(F212,de_para!$A$1:$B$31,2,0)*base!G212,0)</f>
        <v>0</v>
      </c>
      <c r="I212" s="38"/>
      <c r="J212" s="29"/>
      <c r="K212" s="31">
        <f>IF(base!I212&lt;&gt;"",VLOOKUP(I212,de_para!$A$1:$B$31,2,0)*base!J212,0)</f>
        <v>0</v>
      </c>
      <c r="L212" s="38"/>
      <c r="M212" s="29"/>
      <c r="N212" s="31">
        <f>IF(base!L212&lt;&gt;"",VLOOKUP(L212,de_para!$A$1:$B$31,2,0)*base!M212,0)</f>
        <v>0</v>
      </c>
      <c r="O212" s="38"/>
      <c r="P212" s="29"/>
      <c r="Q212" s="31">
        <f>IF(base!O212&lt;&gt;"",VLOOKUP(O212,de_para!$A$1:$B$31,2,0)*base!P212,0)</f>
        <v>0</v>
      </c>
      <c r="R212" s="38"/>
      <c r="S212" s="29"/>
      <c r="T212" s="31">
        <f>IF(base!R212&lt;&gt;"",VLOOKUP(R212,de_para!$A$1:$B$31,2,0)*base!S212,0)</f>
        <v>0</v>
      </c>
      <c r="U212" s="30">
        <f t="shared" si="4"/>
        <v>0</v>
      </c>
    </row>
    <row r="213" spans="1:21" x14ac:dyDescent="0.35">
      <c r="A213" s="29"/>
      <c r="B213" s="29"/>
      <c r="C213" s="29"/>
      <c r="D213" s="29"/>
      <c r="E213" s="29"/>
      <c r="F213" s="29"/>
      <c r="G213" s="29"/>
      <c r="H213" s="31">
        <f>IF(base!F213&lt;&gt;"",VLOOKUP(F213,de_para!$A$1:$B$31,2,0)*base!G213,0)</f>
        <v>0</v>
      </c>
      <c r="I213" s="38"/>
      <c r="J213" s="29"/>
      <c r="K213" s="31">
        <f>IF(base!I213&lt;&gt;"",VLOOKUP(I213,de_para!$A$1:$B$31,2,0)*base!J213,0)</f>
        <v>0</v>
      </c>
      <c r="L213" s="38"/>
      <c r="M213" s="29"/>
      <c r="N213" s="31">
        <f>IF(base!L213&lt;&gt;"",VLOOKUP(L213,de_para!$A$1:$B$31,2,0)*base!M213,0)</f>
        <v>0</v>
      </c>
      <c r="O213" s="38"/>
      <c r="P213" s="29"/>
      <c r="Q213" s="31">
        <f>IF(base!O213&lt;&gt;"",VLOOKUP(O213,de_para!$A$1:$B$31,2,0)*base!P213,0)</f>
        <v>0</v>
      </c>
      <c r="R213" s="38"/>
      <c r="S213" s="29"/>
      <c r="T213" s="31">
        <f>IF(base!R213&lt;&gt;"",VLOOKUP(R213,de_para!$A$1:$B$31,2,0)*base!S213,0)</f>
        <v>0</v>
      </c>
      <c r="U213" s="30">
        <f t="shared" si="4"/>
        <v>0</v>
      </c>
    </row>
    <row r="214" spans="1:21" x14ac:dyDescent="0.35">
      <c r="A214" s="29"/>
      <c r="B214" s="29"/>
      <c r="C214" s="29"/>
      <c r="D214" s="29"/>
      <c r="E214" s="29"/>
      <c r="F214" s="29"/>
      <c r="G214" s="29"/>
      <c r="H214" s="31">
        <f>IF(base!F214&lt;&gt;"",VLOOKUP(F214,de_para!$A$1:$B$31,2,0)*base!G214,0)</f>
        <v>0</v>
      </c>
      <c r="I214" s="38"/>
      <c r="J214" s="29"/>
      <c r="K214" s="31">
        <f>IF(base!I214&lt;&gt;"",VLOOKUP(I214,de_para!$A$1:$B$31,2,0)*base!J214,0)</f>
        <v>0</v>
      </c>
      <c r="L214" s="38"/>
      <c r="M214" s="29"/>
      <c r="N214" s="31">
        <f>IF(base!L214&lt;&gt;"",VLOOKUP(L214,de_para!$A$1:$B$31,2,0)*base!M214,0)</f>
        <v>0</v>
      </c>
      <c r="O214" s="38"/>
      <c r="P214" s="29"/>
      <c r="Q214" s="31">
        <f>IF(base!O214&lt;&gt;"",VLOOKUP(O214,de_para!$A$1:$B$31,2,0)*base!P214,0)</f>
        <v>0</v>
      </c>
      <c r="R214" s="38"/>
      <c r="S214" s="29"/>
      <c r="T214" s="31">
        <f>IF(base!R214&lt;&gt;"",VLOOKUP(R214,de_para!$A$1:$B$31,2,0)*base!S214,0)</f>
        <v>0</v>
      </c>
      <c r="U214" s="30">
        <f t="shared" si="4"/>
        <v>0</v>
      </c>
    </row>
    <row r="215" spans="1:21" x14ac:dyDescent="0.35">
      <c r="A215" s="29"/>
      <c r="B215" s="29"/>
      <c r="C215" s="29"/>
      <c r="D215" s="29"/>
      <c r="E215" s="29"/>
      <c r="F215" s="29"/>
      <c r="G215" s="29"/>
      <c r="H215" s="31">
        <f>IF(base!F215&lt;&gt;"",VLOOKUP(F215,de_para!$A$1:$B$31,2,0)*base!G215,0)</f>
        <v>0</v>
      </c>
      <c r="I215" s="38"/>
      <c r="J215" s="29"/>
      <c r="K215" s="31">
        <f>IF(base!I215&lt;&gt;"",VLOOKUP(I215,de_para!$A$1:$B$31,2,0)*base!J215,0)</f>
        <v>0</v>
      </c>
      <c r="L215" s="38"/>
      <c r="M215" s="29"/>
      <c r="N215" s="31">
        <f>IF(base!L215&lt;&gt;"",VLOOKUP(L215,de_para!$A$1:$B$31,2,0)*base!M215,0)</f>
        <v>0</v>
      </c>
      <c r="O215" s="38"/>
      <c r="P215" s="29"/>
      <c r="Q215" s="31">
        <f>IF(base!O215&lt;&gt;"",VLOOKUP(O215,de_para!$A$1:$B$31,2,0)*base!P215,0)</f>
        <v>0</v>
      </c>
      <c r="R215" s="38"/>
      <c r="S215" s="29"/>
      <c r="T215" s="31">
        <f>IF(base!R215&lt;&gt;"",VLOOKUP(R215,de_para!$A$1:$B$31,2,0)*base!S215,0)</f>
        <v>0</v>
      </c>
      <c r="U215" s="30">
        <f t="shared" si="4"/>
        <v>0</v>
      </c>
    </row>
    <row r="216" spans="1:21" x14ac:dyDescent="0.35">
      <c r="A216" s="29"/>
      <c r="B216" s="29"/>
      <c r="C216" s="29"/>
      <c r="D216" s="29"/>
      <c r="E216" s="29"/>
      <c r="F216" s="29"/>
      <c r="G216" s="29"/>
      <c r="H216" s="31">
        <f>IF(base!F216&lt;&gt;"",VLOOKUP(F216,de_para!$A$1:$B$31,2,0)*base!G216,0)</f>
        <v>0</v>
      </c>
      <c r="I216" s="38"/>
      <c r="J216" s="29"/>
      <c r="K216" s="31">
        <f>IF(base!I216&lt;&gt;"",VLOOKUP(I216,de_para!$A$1:$B$31,2,0)*base!J216,0)</f>
        <v>0</v>
      </c>
      <c r="L216" s="38"/>
      <c r="M216" s="29"/>
      <c r="N216" s="31">
        <f>IF(base!L216&lt;&gt;"",VLOOKUP(L216,de_para!$A$1:$B$31,2,0)*base!M216,0)</f>
        <v>0</v>
      </c>
      <c r="O216" s="38"/>
      <c r="P216" s="29"/>
      <c r="Q216" s="31">
        <f>IF(base!O216&lt;&gt;"",VLOOKUP(O216,de_para!$A$1:$B$31,2,0)*base!P216,0)</f>
        <v>0</v>
      </c>
      <c r="R216" s="38"/>
      <c r="S216" s="29"/>
      <c r="T216" s="31">
        <f>IF(base!R216&lt;&gt;"",VLOOKUP(R216,de_para!$A$1:$B$31,2,0)*base!S216,0)</f>
        <v>0</v>
      </c>
      <c r="U216" s="30">
        <f t="shared" si="4"/>
        <v>0</v>
      </c>
    </row>
    <row r="217" spans="1:21" x14ac:dyDescent="0.35">
      <c r="A217" s="29"/>
      <c r="B217" s="29"/>
      <c r="C217" s="29"/>
      <c r="D217" s="29"/>
      <c r="E217" s="29"/>
      <c r="F217" s="29"/>
      <c r="G217" s="29"/>
      <c r="H217" s="31">
        <f>IF(base!F217&lt;&gt;"",VLOOKUP(F217,de_para!$A$1:$B$31,2,0)*base!G217,0)</f>
        <v>0</v>
      </c>
      <c r="I217" s="38"/>
      <c r="J217" s="29"/>
      <c r="K217" s="31">
        <f>IF(base!I217&lt;&gt;"",VLOOKUP(I217,de_para!$A$1:$B$31,2,0)*base!J217,0)</f>
        <v>0</v>
      </c>
      <c r="L217" s="38"/>
      <c r="M217" s="29"/>
      <c r="N217" s="31">
        <f>IF(base!L217&lt;&gt;"",VLOOKUP(L217,de_para!$A$1:$B$31,2,0)*base!M217,0)</f>
        <v>0</v>
      </c>
      <c r="O217" s="38"/>
      <c r="P217" s="29"/>
      <c r="Q217" s="31">
        <f>IF(base!O217&lt;&gt;"",VLOOKUP(O217,de_para!$A$1:$B$31,2,0)*base!P217,0)</f>
        <v>0</v>
      </c>
      <c r="R217" s="38"/>
      <c r="S217" s="29"/>
      <c r="T217" s="31">
        <f>IF(base!R217&lt;&gt;"",VLOOKUP(R217,de_para!$A$1:$B$31,2,0)*base!S217,0)</f>
        <v>0</v>
      </c>
      <c r="U217" s="30">
        <f t="shared" si="4"/>
        <v>0</v>
      </c>
    </row>
    <row r="218" spans="1:21" x14ac:dyDescent="0.35">
      <c r="A218" s="29"/>
      <c r="B218" s="29"/>
      <c r="C218" s="29"/>
      <c r="D218" s="29"/>
      <c r="E218" s="29"/>
      <c r="F218" s="29"/>
      <c r="G218" s="29"/>
      <c r="H218" s="31">
        <f>IF(base!F218&lt;&gt;"",VLOOKUP(F218,de_para!$A$1:$B$31,2,0)*base!G218,0)</f>
        <v>0</v>
      </c>
      <c r="I218" s="38"/>
      <c r="J218" s="29"/>
      <c r="K218" s="31">
        <f>IF(base!I218&lt;&gt;"",VLOOKUP(I218,de_para!$A$1:$B$31,2,0)*base!J218,0)</f>
        <v>0</v>
      </c>
      <c r="L218" s="38"/>
      <c r="M218" s="29"/>
      <c r="N218" s="31">
        <f>IF(base!L218&lt;&gt;"",VLOOKUP(L218,de_para!$A$1:$B$31,2,0)*base!M218,0)</f>
        <v>0</v>
      </c>
      <c r="O218" s="38"/>
      <c r="P218" s="29"/>
      <c r="Q218" s="31">
        <f>IF(base!O218&lt;&gt;"",VLOOKUP(O218,de_para!$A$1:$B$31,2,0)*base!P218,0)</f>
        <v>0</v>
      </c>
      <c r="R218" s="38"/>
      <c r="S218" s="29"/>
      <c r="T218" s="31">
        <f>IF(base!R218&lt;&gt;"",VLOOKUP(R218,de_para!$A$1:$B$31,2,0)*base!S218,0)</f>
        <v>0</v>
      </c>
      <c r="U218" s="30">
        <f t="shared" si="4"/>
        <v>0</v>
      </c>
    </row>
    <row r="219" spans="1:21" x14ac:dyDescent="0.35">
      <c r="A219" s="29"/>
      <c r="B219" s="29"/>
      <c r="C219" s="29"/>
      <c r="D219" s="29"/>
      <c r="E219" s="29"/>
      <c r="F219" s="29"/>
      <c r="G219" s="29"/>
      <c r="H219" s="31">
        <f>IF(base!F219&lt;&gt;"",VLOOKUP(F219,de_para!$A$1:$B$31,2,0)*base!G219,0)</f>
        <v>0</v>
      </c>
      <c r="I219" s="38"/>
      <c r="J219" s="29"/>
      <c r="K219" s="31">
        <f>IF(base!I219&lt;&gt;"",VLOOKUP(I219,de_para!$A$1:$B$31,2,0)*base!J219,0)</f>
        <v>0</v>
      </c>
      <c r="L219" s="38"/>
      <c r="M219" s="29"/>
      <c r="N219" s="31">
        <f>IF(base!L219&lt;&gt;"",VLOOKUP(L219,de_para!$A$1:$B$31,2,0)*base!M219,0)</f>
        <v>0</v>
      </c>
      <c r="O219" s="38"/>
      <c r="P219" s="29"/>
      <c r="Q219" s="31">
        <f>IF(base!O219&lt;&gt;"",VLOOKUP(O219,de_para!$A$1:$B$31,2,0)*base!P219,0)</f>
        <v>0</v>
      </c>
      <c r="R219" s="38"/>
      <c r="S219" s="29"/>
      <c r="T219" s="31">
        <f>IF(base!R219&lt;&gt;"",VLOOKUP(R219,de_para!$A$1:$B$31,2,0)*base!S219,0)</f>
        <v>0</v>
      </c>
      <c r="U219" s="30">
        <f t="shared" si="4"/>
        <v>0</v>
      </c>
    </row>
    <row r="220" spans="1:21" x14ac:dyDescent="0.35">
      <c r="A220" s="29"/>
      <c r="B220" s="29"/>
      <c r="C220" s="29"/>
      <c r="D220" s="29"/>
      <c r="E220" s="29"/>
      <c r="F220" s="29"/>
      <c r="G220" s="29"/>
      <c r="H220" s="31">
        <f>IF(base!F220&lt;&gt;"",VLOOKUP(F220,de_para!$A$1:$B$31,2,0)*base!G220,0)</f>
        <v>0</v>
      </c>
      <c r="I220" s="38"/>
      <c r="J220" s="29"/>
      <c r="K220" s="31">
        <f>IF(base!I220&lt;&gt;"",VLOOKUP(I220,de_para!$A$1:$B$31,2,0)*base!J220,0)</f>
        <v>0</v>
      </c>
      <c r="L220" s="38"/>
      <c r="M220" s="29"/>
      <c r="N220" s="31">
        <f>IF(base!L220&lt;&gt;"",VLOOKUP(L220,de_para!$A$1:$B$31,2,0)*base!M220,0)</f>
        <v>0</v>
      </c>
      <c r="O220" s="38"/>
      <c r="P220" s="29"/>
      <c r="Q220" s="31">
        <f>IF(base!O220&lt;&gt;"",VLOOKUP(O220,de_para!$A$1:$B$31,2,0)*base!P220,0)</f>
        <v>0</v>
      </c>
      <c r="R220" s="38"/>
      <c r="S220" s="29"/>
      <c r="T220" s="31">
        <f>IF(base!R220&lt;&gt;"",VLOOKUP(R220,de_para!$A$1:$B$31,2,0)*base!S220,0)</f>
        <v>0</v>
      </c>
      <c r="U220" s="30">
        <f t="shared" si="4"/>
        <v>0</v>
      </c>
    </row>
    <row r="221" spans="1:21" x14ac:dyDescent="0.35">
      <c r="A221" s="29"/>
      <c r="B221" s="29"/>
      <c r="C221" s="29"/>
      <c r="D221" s="29"/>
      <c r="E221" s="29"/>
      <c r="F221" s="29"/>
      <c r="G221" s="29"/>
      <c r="H221" s="31">
        <f>IF(base!F221&lt;&gt;"",VLOOKUP(F221,de_para!$A$1:$B$31,2,0)*base!G221,0)</f>
        <v>0</v>
      </c>
      <c r="I221" s="38"/>
      <c r="J221" s="29"/>
      <c r="K221" s="31">
        <f>IF(base!I221&lt;&gt;"",VLOOKUP(I221,de_para!$A$1:$B$31,2,0)*base!J221,0)</f>
        <v>0</v>
      </c>
      <c r="L221" s="38"/>
      <c r="M221" s="29"/>
      <c r="N221" s="31">
        <f>IF(base!L221&lt;&gt;"",VLOOKUP(L221,de_para!$A$1:$B$31,2,0)*base!M221,0)</f>
        <v>0</v>
      </c>
      <c r="O221" s="38"/>
      <c r="P221" s="29"/>
      <c r="Q221" s="31">
        <f>IF(base!O221&lt;&gt;"",VLOOKUP(O221,de_para!$A$1:$B$31,2,0)*base!P221,0)</f>
        <v>0</v>
      </c>
      <c r="R221" s="38"/>
      <c r="S221" s="29"/>
      <c r="T221" s="31">
        <f>IF(base!R221&lt;&gt;"",VLOOKUP(R221,de_para!$A$1:$B$31,2,0)*base!S221,0)</f>
        <v>0</v>
      </c>
      <c r="U221" s="30">
        <f t="shared" si="4"/>
        <v>0</v>
      </c>
    </row>
    <row r="222" spans="1:21" x14ac:dyDescent="0.35">
      <c r="A222" s="29"/>
      <c r="B222" s="29"/>
      <c r="C222" s="29"/>
      <c r="D222" s="29"/>
      <c r="E222" s="29"/>
      <c r="F222" s="29"/>
      <c r="G222" s="29"/>
      <c r="H222" s="31">
        <f>IF(base!F222&lt;&gt;"",VLOOKUP(F222,de_para!$A$1:$B$31,2,0)*base!G222,0)</f>
        <v>0</v>
      </c>
      <c r="I222" s="38"/>
      <c r="J222" s="29"/>
      <c r="K222" s="31">
        <f>IF(base!I222&lt;&gt;"",VLOOKUP(I222,de_para!$A$1:$B$31,2,0)*base!J222,0)</f>
        <v>0</v>
      </c>
      <c r="L222" s="38"/>
      <c r="M222" s="29"/>
      <c r="N222" s="31">
        <f>IF(base!L222&lt;&gt;"",VLOOKUP(L222,de_para!$A$1:$B$31,2,0)*base!M222,0)</f>
        <v>0</v>
      </c>
      <c r="O222" s="38"/>
      <c r="P222" s="29"/>
      <c r="Q222" s="31">
        <f>IF(base!O222&lt;&gt;"",VLOOKUP(O222,de_para!$A$1:$B$31,2,0)*base!P222,0)</f>
        <v>0</v>
      </c>
      <c r="R222" s="38"/>
      <c r="S222" s="29"/>
      <c r="T222" s="31">
        <f>IF(base!R222&lt;&gt;"",VLOOKUP(R222,de_para!$A$1:$B$31,2,0)*base!S222,0)</f>
        <v>0</v>
      </c>
      <c r="U222" s="30">
        <f t="shared" si="4"/>
        <v>0</v>
      </c>
    </row>
    <row r="223" spans="1:21" x14ac:dyDescent="0.35">
      <c r="A223" s="29"/>
      <c r="B223" s="29"/>
      <c r="C223" s="29"/>
      <c r="D223" s="29"/>
      <c r="E223" s="29"/>
      <c r="F223" s="29"/>
      <c r="G223" s="29"/>
      <c r="H223" s="31">
        <f>IF(base!F223&lt;&gt;"",VLOOKUP(F223,de_para!$A$1:$B$31,2,0)*base!G223,0)</f>
        <v>0</v>
      </c>
      <c r="I223" s="38"/>
      <c r="J223" s="29"/>
      <c r="K223" s="31">
        <f>IF(base!I223&lt;&gt;"",VLOOKUP(I223,de_para!$A$1:$B$31,2,0)*base!J223,0)</f>
        <v>0</v>
      </c>
      <c r="L223" s="38"/>
      <c r="M223" s="29"/>
      <c r="N223" s="31">
        <f>IF(base!L223&lt;&gt;"",VLOOKUP(L223,de_para!$A$1:$B$31,2,0)*base!M223,0)</f>
        <v>0</v>
      </c>
      <c r="O223" s="38"/>
      <c r="P223" s="29"/>
      <c r="Q223" s="31">
        <f>IF(base!O223&lt;&gt;"",VLOOKUP(O223,de_para!$A$1:$B$31,2,0)*base!P223,0)</f>
        <v>0</v>
      </c>
      <c r="R223" s="38"/>
      <c r="S223" s="29"/>
      <c r="T223" s="31">
        <f>IF(base!R223&lt;&gt;"",VLOOKUP(R223,de_para!$A$1:$B$31,2,0)*base!S223,0)</f>
        <v>0</v>
      </c>
      <c r="U223" s="30">
        <f t="shared" si="4"/>
        <v>0</v>
      </c>
    </row>
    <row r="224" spans="1:21" x14ac:dyDescent="0.35">
      <c r="A224" s="29"/>
      <c r="B224" s="29"/>
      <c r="C224" s="29"/>
      <c r="D224" s="29"/>
      <c r="E224" s="29"/>
      <c r="F224" s="29"/>
      <c r="G224" s="29"/>
      <c r="H224" s="31">
        <f>IF(base!F224&lt;&gt;"",VLOOKUP(F224,de_para!$A$1:$B$31,2,0)*base!G224,0)</f>
        <v>0</v>
      </c>
      <c r="I224" s="38"/>
      <c r="J224" s="29"/>
      <c r="K224" s="31">
        <f>IF(base!I224&lt;&gt;"",VLOOKUP(I224,de_para!$A$1:$B$31,2,0)*base!J224,0)</f>
        <v>0</v>
      </c>
      <c r="L224" s="38"/>
      <c r="M224" s="29"/>
      <c r="N224" s="31">
        <f>IF(base!L224&lt;&gt;"",VLOOKUP(L224,de_para!$A$1:$B$31,2,0)*base!M224,0)</f>
        <v>0</v>
      </c>
      <c r="O224" s="38"/>
      <c r="P224" s="29"/>
      <c r="Q224" s="31">
        <f>IF(base!O224&lt;&gt;"",VLOOKUP(O224,de_para!$A$1:$B$31,2,0)*base!P224,0)</f>
        <v>0</v>
      </c>
      <c r="R224" s="38"/>
      <c r="S224" s="29"/>
      <c r="T224" s="31">
        <f>IF(base!R224&lt;&gt;"",VLOOKUP(R224,de_para!$A$1:$B$31,2,0)*base!S224,0)</f>
        <v>0</v>
      </c>
      <c r="U224" s="30">
        <f t="shared" si="4"/>
        <v>0</v>
      </c>
    </row>
    <row r="225" spans="1:21" x14ac:dyDescent="0.35">
      <c r="A225" s="29"/>
      <c r="B225" s="29"/>
      <c r="C225" s="29"/>
      <c r="D225" s="29"/>
      <c r="E225" s="29"/>
      <c r="F225" s="29"/>
      <c r="G225" s="29"/>
      <c r="H225" s="31">
        <f>IF(base!F225&lt;&gt;"",VLOOKUP(F225,de_para!$A$1:$B$31,2,0)*base!G225,0)</f>
        <v>0</v>
      </c>
      <c r="I225" s="38"/>
      <c r="J225" s="29"/>
      <c r="K225" s="31">
        <f>IF(base!I225&lt;&gt;"",VLOOKUP(I225,de_para!$A$1:$B$31,2,0)*base!J225,0)</f>
        <v>0</v>
      </c>
      <c r="L225" s="38"/>
      <c r="M225" s="29"/>
      <c r="N225" s="31">
        <f>IF(base!L225&lt;&gt;"",VLOOKUP(L225,de_para!$A$1:$B$31,2,0)*base!M225,0)</f>
        <v>0</v>
      </c>
      <c r="O225" s="38"/>
      <c r="P225" s="29"/>
      <c r="Q225" s="31">
        <f>IF(base!O225&lt;&gt;"",VLOOKUP(O225,de_para!$A$1:$B$31,2,0)*base!P225,0)</f>
        <v>0</v>
      </c>
      <c r="R225" s="38"/>
      <c r="S225" s="29"/>
      <c r="T225" s="31">
        <f>IF(base!R225&lt;&gt;"",VLOOKUP(R225,de_para!$A$1:$B$31,2,0)*base!S225,0)</f>
        <v>0</v>
      </c>
      <c r="U225" s="30">
        <f t="shared" si="4"/>
        <v>0</v>
      </c>
    </row>
    <row r="226" spans="1:21" x14ac:dyDescent="0.35">
      <c r="A226" s="29"/>
      <c r="B226" s="29"/>
      <c r="C226" s="29"/>
      <c r="D226" s="29"/>
      <c r="E226" s="29"/>
      <c r="F226" s="29"/>
      <c r="G226" s="29"/>
      <c r="H226" s="31">
        <f>IF(base!F226&lt;&gt;"",VLOOKUP(F226,de_para!$A$1:$B$31,2,0)*base!G226,0)</f>
        <v>0</v>
      </c>
      <c r="I226" s="38"/>
      <c r="J226" s="29"/>
      <c r="K226" s="31">
        <f>IF(base!I226&lt;&gt;"",VLOOKUP(I226,de_para!$A$1:$B$31,2,0)*base!J226,0)</f>
        <v>0</v>
      </c>
      <c r="L226" s="38"/>
      <c r="M226" s="29"/>
      <c r="N226" s="31">
        <f>IF(base!L226&lt;&gt;"",VLOOKUP(L226,de_para!$A$1:$B$31,2,0)*base!M226,0)</f>
        <v>0</v>
      </c>
      <c r="O226" s="38"/>
      <c r="P226" s="29"/>
      <c r="Q226" s="31">
        <f>IF(base!O226&lt;&gt;"",VLOOKUP(O226,de_para!$A$1:$B$31,2,0)*base!P226,0)</f>
        <v>0</v>
      </c>
      <c r="R226" s="38"/>
      <c r="S226" s="29"/>
      <c r="T226" s="31">
        <f>IF(base!R226&lt;&gt;"",VLOOKUP(R226,de_para!$A$1:$B$31,2,0)*base!S226,0)</f>
        <v>0</v>
      </c>
      <c r="U226" s="30">
        <f t="shared" si="4"/>
        <v>0</v>
      </c>
    </row>
    <row r="227" spans="1:21" x14ac:dyDescent="0.35">
      <c r="A227" s="29"/>
      <c r="B227" s="29"/>
      <c r="C227" s="29"/>
      <c r="D227" s="29"/>
      <c r="E227" s="29"/>
      <c r="F227" s="29"/>
      <c r="G227" s="29"/>
      <c r="H227" s="31">
        <f>IF(base!F227&lt;&gt;"",VLOOKUP(F227,de_para!$A$1:$B$31,2,0)*base!G227,0)</f>
        <v>0</v>
      </c>
      <c r="I227" s="38"/>
      <c r="J227" s="29"/>
      <c r="K227" s="31">
        <f>IF(base!I227&lt;&gt;"",VLOOKUP(I227,de_para!$A$1:$B$31,2,0)*base!J227,0)</f>
        <v>0</v>
      </c>
      <c r="L227" s="38"/>
      <c r="M227" s="29"/>
      <c r="N227" s="31">
        <f>IF(base!L227&lt;&gt;"",VLOOKUP(L227,de_para!$A$1:$B$31,2,0)*base!M227,0)</f>
        <v>0</v>
      </c>
      <c r="O227" s="38"/>
      <c r="P227" s="29"/>
      <c r="Q227" s="31">
        <f>IF(base!O227&lt;&gt;"",VLOOKUP(O227,de_para!$A$1:$B$31,2,0)*base!P227,0)</f>
        <v>0</v>
      </c>
      <c r="R227" s="38"/>
      <c r="S227" s="29"/>
      <c r="T227" s="31">
        <f>IF(base!R227&lt;&gt;"",VLOOKUP(R227,de_para!$A$1:$B$31,2,0)*base!S227,0)</f>
        <v>0</v>
      </c>
      <c r="U227" s="30">
        <f t="shared" si="4"/>
        <v>0</v>
      </c>
    </row>
    <row r="228" spans="1:21" x14ac:dyDescent="0.35">
      <c r="A228" s="29"/>
      <c r="B228" s="29"/>
      <c r="C228" s="29"/>
      <c r="D228" s="29"/>
      <c r="E228" s="29"/>
      <c r="F228" s="29"/>
      <c r="G228" s="29"/>
      <c r="H228" s="31">
        <f>IF(base!F228&lt;&gt;"",VLOOKUP(F228,de_para!$A$1:$B$31,2,0)*base!G228,0)</f>
        <v>0</v>
      </c>
      <c r="I228" s="38"/>
      <c r="J228" s="29"/>
      <c r="K228" s="31">
        <f>IF(base!I228&lt;&gt;"",VLOOKUP(I228,de_para!$A$1:$B$31,2,0)*base!J228,0)</f>
        <v>0</v>
      </c>
      <c r="L228" s="38"/>
      <c r="M228" s="29"/>
      <c r="N228" s="31">
        <f>IF(base!L228&lt;&gt;"",VLOOKUP(L228,de_para!$A$1:$B$31,2,0)*base!M228,0)</f>
        <v>0</v>
      </c>
      <c r="O228" s="38"/>
      <c r="P228" s="29"/>
      <c r="Q228" s="31">
        <f>IF(base!O228&lt;&gt;"",VLOOKUP(O228,de_para!$A$1:$B$31,2,0)*base!P228,0)</f>
        <v>0</v>
      </c>
      <c r="R228" s="38"/>
      <c r="S228" s="29"/>
      <c r="T228" s="31">
        <f>IF(base!R228&lt;&gt;"",VLOOKUP(R228,de_para!$A$1:$B$31,2,0)*base!S228,0)</f>
        <v>0</v>
      </c>
      <c r="U228" s="30">
        <f t="shared" si="4"/>
        <v>0</v>
      </c>
    </row>
    <row r="229" spans="1:21" x14ac:dyDescent="0.35">
      <c r="A229" s="29"/>
      <c r="B229" s="29"/>
      <c r="C229" s="29"/>
      <c r="D229" s="29"/>
      <c r="E229" s="29"/>
      <c r="F229" s="29"/>
      <c r="G229" s="29"/>
      <c r="H229" s="31">
        <f>IF(base!F229&lt;&gt;"",VLOOKUP(F229,de_para!$A$1:$B$31,2,0)*base!G229,0)</f>
        <v>0</v>
      </c>
      <c r="I229" s="38"/>
      <c r="J229" s="29"/>
      <c r="K229" s="31">
        <f>IF(base!I229&lt;&gt;"",VLOOKUP(I229,de_para!$A$1:$B$31,2,0)*base!J229,0)</f>
        <v>0</v>
      </c>
      <c r="L229" s="38"/>
      <c r="M229" s="29"/>
      <c r="N229" s="31">
        <f>IF(base!L229&lt;&gt;"",VLOOKUP(L229,de_para!$A$1:$B$31,2,0)*base!M229,0)</f>
        <v>0</v>
      </c>
      <c r="O229" s="38"/>
      <c r="P229" s="29"/>
      <c r="Q229" s="31">
        <f>IF(base!O229&lt;&gt;"",VLOOKUP(O229,de_para!$A$1:$B$31,2,0)*base!P229,0)</f>
        <v>0</v>
      </c>
      <c r="R229" s="38"/>
      <c r="S229" s="29"/>
      <c r="T229" s="31">
        <f>IF(base!R229&lt;&gt;"",VLOOKUP(R229,de_para!$A$1:$B$31,2,0)*base!S229,0)</f>
        <v>0</v>
      </c>
      <c r="U229" s="30">
        <f t="shared" si="4"/>
        <v>0</v>
      </c>
    </row>
    <row r="230" spans="1:21" x14ac:dyDescent="0.35">
      <c r="A230" s="29"/>
      <c r="B230" s="29"/>
      <c r="C230" s="29"/>
      <c r="D230" s="29"/>
      <c r="E230" s="29"/>
      <c r="F230" s="29"/>
      <c r="G230" s="29"/>
      <c r="H230" s="31">
        <f>IF(base!F230&lt;&gt;"",VLOOKUP(F230,de_para!$A$1:$B$31,2,0)*base!G230,0)</f>
        <v>0</v>
      </c>
      <c r="I230" s="38"/>
      <c r="J230" s="29"/>
      <c r="K230" s="31">
        <f>IF(base!I230&lt;&gt;"",VLOOKUP(I230,de_para!$A$1:$B$31,2,0)*base!J230,0)</f>
        <v>0</v>
      </c>
      <c r="L230" s="38"/>
      <c r="M230" s="29"/>
      <c r="N230" s="31">
        <f>IF(base!L230&lt;&gt;"",VLOOKUP(L230,de_para!$A$1:$B$31,2,0)*base!M230,0)</f>
        <v>0</v>
      </c>
      <c r="O230" s="38"/>
      <c r="P230" s="29"/>
      <c r="Q230" s="31">
        <f>IF(base!O230&lt;&gt;"",VLOOKUP(O230,de_para!$A$1:$B$31,2,0)*base!P230,0)</f>
        <v>0</v>
      </c>
      <c r="R230" s="38"/>
      <c r="S230" s="29"/>
      <c r="T230" s="31">
        <f>IF(base!R230&lt;&gt;"",VLOOKUP(R230,de_para!$A$1:$B$31,2,0)*base!S230,0)</f>
        <v>0</v>
      </c>
      <c r="U230" s="30">
        <f t="shared" si="4"/>
        <v>0</v>
      </c>
    </row>
    <row r="231" spans="1:21" x14ac:dyDescent="0.35">
      <c r="A231" s="29"/>
      <c r="B231" s="29"/>
      <c r="C231" s="29"/>
      <c r="D231" s="29"/>
      <c r="E231" s="29"/>
      <c r="F231" s="29"/>
      <c r="G231" s="29"/>
      <c r="H231" s="31">
        <f>IF(base!F231&lt;&gt;"",VLOOKUP(F231,de_para!$A$1:$B$31,2,0)*base!G231,0)</f>
        <v>0</v>
      </c>
      <c r="I231" s="38"/>
      <c r="J231" s="29"/>
      <c r="K231" s="31">
        <f>IF(base!I231&lt;&gt;"",VLOOKUP(I231,de_para!$A$1:$B$31,2,0)*base!J231,0)</f>
        <v>0</v>
      </c>
      <c r="L231" s="38"/>
      <c r="M231" s="29"/>
      <c r="N231" s="31">
        <f>IF(base!L231&lt;&gt;"",VLOOKUP(L231,de_para!$A$1:$B$31,2,0)*base!M231,0)</f>
        <v>0</v>
      </c>
      <c r="O231" s="38"/>
      <c r="P231" s="29"/>
      <c r="Q231" s="31">
        <f>IF(base!O231&lt;&gt;"",VLOOKUP(O231,de_para!$A$1:$B$31,2,0)*base!P231,0)</f>
        <v>0</v>
      </c>
      <c r="R231" s="38"/>
      <c r="S231" s="29"/>
      <c r="T231" s="31">
        <f>IF(base!R231&lt;&gt;"",VLOOKUP(R231,de_para!$A$1:$B$31,2,0)*base!S231,0)</f>
        <v>0</v>
      </c>
      <c r="U231" s="30">
        <f t="shared" si="4"/>
        <v>0</v>
      </c>
    </row>
    <row r="232" spans="1:21" x14ac:dyDescent="0.35">
      <c r="A232" s="29"/>
      <c r="B232" s="29"/>
      <c r="C232" s="29"/>
      <c r="D232" s="29"/>
      <c r="E232" s="29"/>
      <c r="F232" s="29"/>
      <c r="G232" s="29"/>
      <c r="H232" s="31">
        <f>IF(base!F232&lt;&gt;"",VLOOKUP(F232,de_para!$A$1:$B$31,2,0)*base!G232,0)</f>
        <v>0</v>
      </c>
      <c r="I232" s="38"/>
      <c r="J232" s="29"/>
      <c r="K232" s="31">
        <f>IF(base!I232&lt;&gt;"",VLOOKUP(I232,de_para!$A$1:$B$31,2,0)*base!J232,0)</f>
        <v>0</v>
      </c>
      <c r="L232" s="38"/>
      <c r="M232" s="29"/>
      <c r="N232" s="31">
        <f>IF(base!L232&lt;&gt;"",VLOOKUP(L232,de_para!$A$1:$B$31,2,0)*base!M232,0)</f>
        <v>0</v>
      </c>
      <c r="O232" s="38"/>
      <c r="P232" s="29"/>
      <c r="Q232" s="31">
        <f>IF(base!O232&lt;&gt;"",VLOOKUP(O232,de_para!$A$1:$B$31,2,0)*base!P232,0)</f>
        <v>0</v>
      </c>
      <c r="R232" s="38"/>
      <c r="S232" s="29"/>
      <c r="T232" s="31">
        <f>IF(base!R232&lt;&gt;"",VLOOKUP(R232,de_para!$A$1:$B$31,2,0)*base!S232,0)</f>
        <v>0</v>
      </c>
      <c r="U232" s="30">
        <f t="shared" si="4"/>
        <v>0</v>
      </c>
    </row>
    <row r="233" spans="1:21" x14ac:dyDescent="0.35">
      <c r="A233" s="29"/>
      <c r="B233" s="29"/>
      <c r="C233" s="29"/>
      <c r="D233" s="29"/>
      <c r="E233" s="29"/>
      <c r="F233" s="29"/>
      <c r="G233" s="29"/>
      <c r="H233" s="31">
        <f>IF(base!F233&lt;&gt;"",VLOOKUP(F233,de_para!$A$1:$B$31,2,0)*base!G233,0)</f>
        <v>0</v>
      </c>
      <c r="I233" s="38"/>
      <c r="J233" s="29"/>
      <c r="K233" s="31">
        <f>IF(base!I233&lt;&gt;"",VLOOKUP(I233,de_para!$A$1:$B$31,2,0)*base!J233,0)</f>
        <v>0</v>
      </c>
      <c r="L233" s="38"/>
      <c r="M233" s="29"/>
      <c r="N233" s="31">
        <f>IF(base!L233&lt;&gt;"",VLOOKUP(L233,de_para!$A$1:$B$31,2,0)*base!M233,0)</f>
        <v>0</v>
      </c>
      <c r="O233" s="38"/>
      <c r="P233" s="29"/>
      <c r="Q233" s="31">
        <f>IF(base!O233&lt;&gt;"",VLOOKUP(O233,de_para!$A$1:$B$31,2,0)*base!P233,0)</f>
        <v>0</v>
      </c>
      <c r="R233" s="38"/>
      <c r="S233" s="29"/>
      <c r="T233" s="31">
        <f>IF(base!R233&lt;&gt;"",VLOOKUP(R233,de_para!$A$1:$B$31,2,0)*base!S233,0)</f>
        <v>0</v>
      </c>
      <c r="U233" s="30">
        <f t="shared" si="4"/>
        <v>0</v>
      </c>
    </row>
    <row r="234" spans="1:21" x14ac:dyDescent="0.35">
      <c r="A234" s="29"/>
      <c r="B234" s="29"/>
      <c r="C234" s="29"/>
      <c r="D234" s="29"/>
      <c r="E234" s="29"/>
      <c r="F234" s="29"/>
      <c r="G234" s="29"/>
      <c r="H234" s="31">
        <f>IF(base!F234&lt;&gt;"",VLOOKUP(F234,de_para!$A$1:$B$31,2,0)*base!G234,0)</f>
        <v>0</v>
      </c>
      <c r="I234" s="38"/>
      <c r="J234" s="29"/>
      <c r="K234" s="31">
        <f>IF(base!I234&lt;&gt;"",VLOOKUP(I234,de_para!$A$1:$B$31,2,0)*base!J234,0)</f>
        <v>0</v>
      </c>
      <c r="L234" s="38"/>
      <c r="M234" s="29"/>
      <c r="N234" s="31">
        <f>IF(base!L234&lt;&gt;"",VLOOKUP(L234,de_para!$A$1:$B$31,2,0)*base!M234,0)</f>
        <v>0</v>
      </c>
      <c r="O234" s="38"/>
      <c r="P234" s="29"/>
      <c r="Q234" s="31">
        <f>IF(base!O234&lt;&gt;"",VLOOKUP(O234,de_para!$A$1:$B$31,2,0)*base!P234,0)</f>
        <v>0</v>
      </c>
      <c r="R234" s="38"/>
      <c r="S234" s="29"/>
      <c r="T234" s="31">
        <f>IF(base!R234&lt;&gt;"",VLOOKUP(R234,de_para!$A$1:$B$31,2,0)*base!S234,0)</f>
        <v>0</v>
      </c>
      <c r="U234" s="30">
        <f t="shared" si="4"/>
        <v>0</v>
      </c>
    </row>
    <row r="235" spans="1:21" x14ac:dyDescent="0.35">
      <c r="A235" s="29"/>
      <c r="B235" s="29"/>
      <c r="C235" s="29"/>
      <c r="D235" s="29"/>
      <c r="E235" s="29"/>
      <c r="F235" s="29"/>
      <c r="G235" s="29"/>
      <c r="H235" s="31">
        <f>IF(base!F235&lt;&gt;"",VLOOKUP(F235,de_para!$A$1:$B$31,2,0)*base!G235,0)</f>
        <v>0</v>
      </c>
      <c r="I235" s="38"/>
      <c r="J235" s="29"/>
      <c r="K235" s="31">
        <f>IF(base!I235&lt;&gt;"",VLOOKUP(I235,de_para!$A$1:$B$31,2,0)*base!J235,0)</f>
        <v>0</v>
      </c>
      <c r="L235" s="38"/>
      <c r="M235" s="29"/>
      <c r="N235" s="31">
        <f>IF(base!L235&lt;&gt;"",VLOOKUP(L235,de_para!$A$1:$B$31,2,0)*base!M235,0)</f>
        <v>0</v>
      </c>
      <c r="O235" s="38"/>
      <c r="P235" s="29"/>
      <c r="Q235" s="31">
        <f>IF(base!O235&lt;&gt;"",VLOOKUP(O235,de_para!$A$1:$B$31,2,0)*base!P235,0)</f>
        <v>0</v>
      </c>
      <c r="R235" s="38"/>
      <c r="S235" s="29"/>
      <c r="T235" s="31">
        <f>IF(base!R235&lt;&gt;"",VLOOKUP(R235,de_para!$A$1:$B$31,2,0)*base!S235,0)</f>
        <v>0</v>
      </c>
      <c r="U235" s="30">
        <f t="shared" si="4"/>
        <v>0</v>
      </c>
    </row>
    <row r="236" spans="1:21" x14ac:dyDescent="0.35">
      <c r="A236" s="29"/>
      <c r="B236" s="29"/>
      <c r="C236" s="29"/>
      <c r="D236" s="29"/>
      <c r="E236" s="29"/>
      <c r="F236" s="29"/>
      <c r="G236" s="29"/>
      <c r="H236" s="31">
        <f>IF(base!F236&lt;&gt;"",VLOOKUP(F236,de_para!$A$1:$B$31,2,0)*base!G236,0)</f>
        <v>0</v>
      </c>
      <c r="I236" s="38"/>
      <c r="J236" s="29"/>
      <c r="K236" s="31">
        <f>IF(base!I236&lt;&gt;"",VLOOKUP(I236,de_para!$A$1:$B$31,2,0)*base!J236,0)</f>
        <v>0</v>
      </c>
      <c r="L236" s="38"/>
      <c r="M236" s="29"/>
      <c r="N236" s="31">
        <f>IF(base!L236&lt;&gt;"",VLOOKUP(L236,de_para!$A$1:$B$31,2,0)*base!M236,0)</f>
        <v>0</v>
      </c>
      <c r="O236" s="38"/>
      <c r="P236" s="29"/>
      <c r="Q236" s="31">
        <f>IF(base!O236&lt;&gt;"",VLOOKUP(O236,de_para!$A$1:$B$31,2,0)*base!P236,0)</f>
        <v>0</v>
      </c>
      <c r="R236" s="38"/>
      <c r="S236" s="29"/>
      <c r="T236" s="31">
        <f>IF(base!R236&lt;&gt;"",VLOOKUP(R236,de_para!$A$1:$B$31,2,0)*base!S236,0)</f>
        <v>0</v>
      </c>
      <c r="U236" s="30">
        <f t="shared" si="4"/>
        <v>0</v>
      </c>
    </row>
    <row r="237" spans="1:21" x14ac:dyDescent="0.35">
      <c r="A237" s="29"/>
      <c r="B237" s="29"/>
      <c r="C237" s="29"/>
      <c r="D237" s="29"/>
      <c r="E237" s="29"/>
      <c r="F237" s="29"/>
      <c r="G237" s="29"/>
      <c r="H237" s="31">
        <f>IF(base!F237&lt;&gt;"",VLOOKUP(F237,de_para!$A$1:$B$31,2,0)*base!G237,0)</f>
        <v>0</v>
      </c>
      <c r="I237" s="38"/>
      <c r="J237" s="29"/>
      <c r="K237" s="31">
        <f>IF(base!I237&lt;&gt;"",VLOOKUP(I237,de_para!$A$1:$B$31,2,0)*base!J237,0)</f>
        <v>0</v>
      </c>
      <c r="L237" s="38"/>
      <c r="M237" s="29"/>
      <c r="N237" s="31">
        <f>IF(base!L237&lt;&gt;"",VLOOKUP(L237,de_para!$A$1:$B$31,2,0)*base!M237,0)</f>
        <v>0</v>
      </c>
      <c r="O237" s="38"/>
      <c r="P237" s="29"/>
      <c r="Q237" s="31">
        <f>IF(base!O237&lt;&gt;"",VLOOKUP(O237,de_para!$A$1:$B$31,2,0)*base!P237,0)</f>
        <v>0</v>
      </c>
      <c r="R237" s="38"/>
      <c r="S237" s="29"/>
      <c r="T237" s="31">
        <f>IF(base!R237&lt;&gt;"",VLOOKUP(R237,de_para!$A$1:$B$31,2,0)*base!S237,0)</f>
        <v>0</v>
      </c>
      <c r="U237" s="30">
        <f t="shared" si="4"/>
        <v>0</v>
      </c>
    </row>
    <row r="238" spans="1:21" x14ac:dyDescent="0.35">
      <c r="A238" s="29"/>
      <c r="B238" s="29"/>
      <c r="C238" s="29"/>
      <c r="D238" s="29"/>
      <c r="E238" s="29"/>
      <c r="F238" s="29"/>
      <c r="G238" s="29"/>
      <c r="H238" s="31">
        <f>IF(base!F238&lt;&gt;"",VLOOKUP(F238,de_para!$A$1:$B$31,2,0)*base!G238,0)</f>
        <v>0</v>
      </c>
      <c r="I238" s="38"/>
      <c r="J238" s="29"/>
      <c r="K238" s="31">
        <f>IF(base!I238&lt;&gt;"",VLOOKUP(I238,de_para!$A$1:$B$31,2,0)*base!J238,0)</f>
        <v>0</v>
      </c>
      <c r="L238" s="38"/>
      <c r="M238" s="29"/>
      <c r="N238" s="31">
        <f>IF(base!L238&lt;&gt;"",VLOOKUP(L238,de_para!$A$1:$B$31,2,0)*base!M238,0)</f>
        <v>0</v>
      </c>
      <c r="O238" s="38"/>
      <c r="P238" s="29"/>
      <c r="Q238" s="31">
        <f>IF(base!O238&lt;&gt;"",VLOOKUP(O238,de_para!$A$1:$B$31,2,0)*base!P238,0)</f>
        <v>0</v>
      </c>
      <c r="R238" s="38"/>
      <c r="S238" s="29"/>
      <c r="T238" s="31">
        <f>IF(base!R238&lt;&gt;"",VLOOKUP(R238,de_para!$A$1:$B$31,2,0)*base!S238,0)</f>
        <v>0</v>
      </c>
      <c r="U238" s="30">
        <f t="shared" si="4"/>
        <v>0</v>
      </c>
    </row>
    <row r="239" spans="1:21" x14ac:dyDescent="0.35">
      <c r="A239" s="29"/>
      <c r="B239" s="29"/>
      <c r="C239" s="29"/>
      <c r="D239" s="29"/>
      <c r="E239" s="29"/>
      <c r="F239" s="29"/>
      <c r="G239" s="29"/>
      <c r="H239" s="31">
        <f>IF(base!F239&lt;&gt;"",VLOOKUP(F239,de_para!$A$1:$B$31,2,0)*base!G239,0)</f>
        <v>0</v>
      </c>
      <c r="I239" s="38"/>
      <c r="J239" s="29"/>
      <c r="K239" s="31">
        <f>IF(base!I239&lt;&gt;"",VLOOKUP(I239,de_para!$A$1:$B$31,2,0)*base!J239,0)</f>
        <v>0</v>
      </c>
      <c r="L239" s="38"/>
      <c r="M239" s="29"/>
      <c r="N239" s="31">
        <f>IF(base!L239&lt;&gt;"",VLOOKUP(L239,de_para!$A$1:$B$31,2,0)*base!M239,0)</f>
        <v>0</v>
      </c>
      <c r="O239" s="38"/>
      <c r="P239" s="29"/>
      <c r="Q239" s="31">
        <f>IF(base!O239&lt;&gt;"",VLOOKUP(O239,de_para!$A$1:$B$31,2,0)*base!P239,0)</f>
        <v>0</v>
      </c>
      <c r="R239" s="38"/>
      <c r="S239" s="29"/>
      <c r="T239" s="31">
        <f>IF(base!R239&lt;&gt;"",VLOOKUP(R239,de_para!$A$1:$B$31,2,0)*base!S239,0)</f>
        <v>0</v>
      </c>
      <c r="U239" s="30">
        <f t="shared" si="4"/>
        <v>0</v>
      </c>
    </row>
    <row r="240" spans="1:21" x14ac:dyDescent="0.35">
      <c r="A240" s="29"/>
      <c r="B240" s="29"/>
      <c r="C240" s="29"/>
      <c r="D240" s="29"/>
      <c r="E240" s="29"/>
      <c r="F240" s="29"/>
      <c r="G240" s="29"/>
      <c r="H240" s="31">
        <f>IF(base!F240&lt;&gt;"",VLOOKUP(F240,de_para!$A$1:$B$31,2,0)*base!G240,0)</f>
        <v>0</v>
      </c>
      <c r="I240" s="38"/>
      <c r="J240" s="29"/>
      <c r="K240" s="31">
        <f>IF(base!I240&lt;&gt;"",VLOOKUP(I240,de_para!$A$1:$B$31,2,0)*base!J240,0)</f>
        <v>0</v>
      </c>
      <c r="L240" s="38"/>
      <c r="M240" s="29"/>
      <c r="N240" s="31">
        <f>IF(base!L240&lt;&gt;"",VLOOKUP(L240,de_para!$A$1:$B$31,2,0)*base!M240,0)</f>
        <v>0</v>
      </c>
      <c r="O240" s="38"/>
      <c r="P240" s="29"/>
      <c r="Q240" s="31">
        <f>IF(base!O240&lt;&gt;"",VLOOKUP(O240,de_para!$A$1:$B$31,2,0)*base!P240,0)</f>
        <v>0</v>
      </c>
      <c r="R240" s="38"/>
      <c r="S240" s="29"/>
      <c r="T240" s="31">
        <f>IF(base!R240&lt;&gt;"",VLOOKUP(R240,de_para!$A$1:$B$31,2,0)*base!S240,0)</f>
        <v>0</v>
      </c>
      <c r="U240" s="30">
        <f t="shared" si="4"/>
        <v>0</v>
      </c>
    </row>
    <row r="241" spans="1:21" x14ac:dyDescent="0.35">
      <c r="A241" s="29"/>
      <c r="B241" s="29"/>
      <c r="C241" s="29"/>
      <c r="D241" s="29"/>
      <c r="E241" s="29"/>
      <c r="F241" s="29"/>
      <c r="G241" s="29"/>
      <c r="H241" s="31">
        <f>IF(base!F241&lt;&gt;"",VLOOKUP(F241,de_para!$A$1:$B$31,2,0)*base!G241,0)</f>
        <v>0</v>
      </c>
      <c r="I241" s="38"/>
      <c r="J241" s="29"/>
      <c r="K241" s="31">
        <f>IF(base!I241&lt;&gt;"",VLOOKUP(I241,de_para!$A$1:$B$31,2,0)*base!J241,0)</f>
        <v>0</v>
      </c>
      <c r="L241" s="38"/>
      <c r="M241" s="29"/>
      <c r="N241" s="31">
        <f>IF(base!L241&lt;&gt;"",VLOOKUP(L241,de_para!$A$1:$B$31,2,0)*base!M241,0)</f>
        <v>0</v>
      </c>
      <c r="O241" s="38"/>
      <c r="P241" s="29"/>
      <c r="Q241" s="31">
        <f>IF(base!O241&lt;&gt;"",VLOOKUP(O241,de_para!$A$1:$B$31,2,0)*base!P241,0)</f>
        <v>0</v>
      </c>
      <c r="R241" s="38"/>
      <c r="S241" s="29"/>
      <c r="T241" s="31">
        <f>IF(base!R241&lt;&gt;"",VLOOKUP(R241,de_para!$A$1:$B$31,2,0)*base!S241,0)</f>
        <v>0</v>
      </c>
      <c r="U241" s="30">
        <f t="shared" si="4"/>
        <v>0</v>
      </c>
    </row>
    <row r="242" spans="1:21" x14ac:dyDescent="0.35">
      <c r="A242" s="29"/>
      <c r="B242" s="29"/>
      <c r="C242" s="29"/>
      <c r="D242" s="29"/>
      <c r="E242" s="29"/>
      <c r="F242" s="29"/>
      <c r="G242" s="29"/>
      <c r="H242" s="31">
        <f>IF(base!F242&lt;&gt;"",VLOOKUP(F242,de_para!$A$1:$B$31,2,0)*base!G242,0)</f>
        <v>0</v>
      </c>
      <c r="I242" s="38"/>
      <c r="J242" s="29"/>
      <c r="K242" s="31">
        <f>IF(base!I242&lt;&gt;"",VLOOKUP(I242,de_para!$A$1:$B$31,2,0)*base!J242,0)</f>
        <v>0</v>
      </c>
      <c r="L242" s="38"/>
      <c r="M242" s="29"/>
      <c r="N242" s="31">
        <f>IF(base!L242&lt;&gt;"",VLOOKUP(L242,de_para!$A$1:$B$31,2,0)*base!M242,0)</f>
        <v>0</v>
      </c>
      <c r="O242" s="38"/>
      <c r="P242" s="29"/>
      <c r="Q242" s="31">
        <f>IF(base!O242&lt;&gt;"",VLOOKUP(O242,de_para!$A$1:$B$31,2,0)*base!P242,0)</f>
        <v>0</v>
      </c>
      <c r="R242" s="38"/>
      <c r="S242" s="29"/>
      <c r="T242" s="31">
        <f>IF(base!R242&lt;&gt;"",VLOOKUP(R242,de_para!$A$1:$B$31,2,0)*base!S242,0)</f>
        <v>0</v>
      </c>
      <c r="U242" s="30">
        <f t="shared" si="4"/>
        <v>0</v>
      </c>
    </row>
    <row r="243" spans="1:21" x14ac:dyDescent="0.35">
      <c r="A243" s="29"/>
      <c r="B243" s="29"/>
      <c r="C243" s="29"/>
      <c r="D243" s="29"/>
      <c r="E243" s="29"/>
      <c r="F243" s="29"/>
      <c r="G243" s="29"/>
      <c r="H243" s="31">
        <f>IF(base!F243&lt;&gt;"",VLOOKUP(F243,de_para!$A$1:$B$31,2,0)*base!G243,0)</f>
        <v>0</v>
      </c>
      <c r="I243" s="38"/>
      <c r="J243" s="29"/>
      <c r="K243" s="31">
        <f>IF(base!I243&lt;&gt;"",VLOOKUP(I243,de_para!$A$1:$B$31,2,0)*base!J243,0)</f>
        <v>0</v>
      </c>
      <c r="L243" s="38"/>
      <c r="M243" s="29"/>
      <c r="N243" s="31">
        <f>IF(base!L243&lt;&gt;"",VLOOKUP(L243,de_para!$A$1:$B$31,2,0)*base!M243,0)</f>
        <v>0</v>
      </c>
      <c r="O243" s="38"/>
      <c r="P243" s="29"/>
      <c r="Q243" s="31">
        <f>IF(base!O243&lt;&gt;"",VLOOKUP(O243,de_para!$A$1:$B$31,2,0)*base!P243,0)</f>
        <v>0</v>
      </c>
      <c r="R243" s="38"/>
      <c r="S243" s="29"/>
      <c r="T243" s="31">
        <f>IF(base!R243&lt;&gt;"",VLOOKUP(R243,de_para!$A$1:$B$31,2,0)*base!S243,0)</f>
        <v>0</v>
      </c>
      <c r="U243" s="30">
        <f t="shared" si="4"/>
        <v>0</v>
      </c>
    </row>
    <row r="244" spans="1:21" x14ac:dyDescent="0.35">
      <c r="A244" s="29"/>
      <c r="B244" s="29"/>
      <c r="C244" s="29"/>
      <c r="D244" s="29"/>
      <c r="E244" s="29"/>
      <c r="F244" s="29"/>
      <c r="G244" s="29"/>
      <c r="H244" s="31">
        <f>IF(base!F244&lt;&gt;"",VLOOKUP(F244,de_para!$A$1:$B$31,2,0)*base!G244,0)</f>
        <v>0</v>
      </c>
      <c r="I244" s="38"/>
      <c r="J244" s="29"/>
      <c r="K244" s="31">
        <f>IF(base!I244&lt;&gt;"",VLOOKUP(I244,de_para!$A$1:$B$31,2,0)*base!J244,0)</f>
        <v>0</v>
      </c>
      <c r="L244" s="38"/>
      <c r="M244" s="29"/>
      <c r="N244" s="31">
        <f>IF(base!L244&lt;&gt;"",VLOOKUP(L244,de_para!$A$1:$B$31,2,0)*base!M244,0)</f>
        <v>0</v>
      </c>
      <c r="O244" s="38"/>
      <c r="P244" s="29"/>
      <c r="Q244" s="31">
        <f>IF(base!O244&lt;&gt;"",VLOOKUP(O244,de_para!$A$1:$B$31,2,0)*base!P244,0)</f>
        <v>0</v>
      </c>
      <c r="R244" s="38"/>
      <c r="S244" s="29"/>
      <c r="T244" s="31">
        <f>IF(base!R244&lt;&gt;"",VLOOKUP(R244,de_para!$A$1:$B$31,2,0)*base!S244,0)</f>
        <v>0</v>
      </c>
      <c r="U244" s="30">
        <f t="shared" si="4"/>
        <v>0</v>
      </c>
    </row>
    <row r="245" spans="1:21" x14ac:dyDescent="0.35">
      <c r="A245" s="29"/>
      <c r="B245" s="29"/>
      <c r="C245" s="29"/>
      <c r="D245" s="29"/>
      <c r="E245" s="29"/>
      <c r="F245" s="29"/>
      <c r="G245" s="29"/>
      <c r="H245" s="31">
        <f>IF(base!F245&lt;&gt;"",VLOOKUP(F245,de_para!$A$1:$B$31,2,0)*base!G245,0)</f>
        <v>0</v>
      </c>
      <c r="I245" s="38"/>
      <c r="J245" s="29"/>
      <c r="K245" s="31">
        <f>IF(base!I245&lt;&gt;"",VLOOKUP(I245,de_para!$A$1:$B$31,2,0)*base!J245,0)</f>
        <v>0</v>
      </c>
      <c r="L245" s="38"/>
      <c r="M245" s="29"/>
      <c r="N245" s="31">
        <f>IF(base!L245&lt;&gt;"",VLOOKUP(L245,de_para!$A$1:$B$31,2,0)*base!M245,0)</f>
        <v>0</v>
      </c>
      <c r="O245" s="38"/>
      <c r="P245" s="29"/>
      <c r="Q245" s="31">
        <f>IF(base!O245&lt;&gt;"",VLOOKUP(O245,de_para!$A$1:$B$31,2,0)*base!P245,0)</f>
        <v>0</v>
      </c>
      <c r="R245" s="38"/>
      <c r="S245" s="29"/>
      <c r="T245" s="31">
        <f>IF(base!R245&lt;&gt;"",VLOOKUP(R245,de_para!$A$1:$B$31,2,0)*base!S245,0)</f>
        <v>0</v>
      </c>
      <c r="U245" s="30">
        <f t="shared" si="4"/>
        <v>0</v>
      </c>
    </row>
    <row r="246" spans="1:21" x14ac:dyDescent="0.35">
      <c r="A246" s="29"/>
      <c r="B246" s="29"/>
      <c r="C246" s="29"/>
      <c r="D246" s="29"/>
      <c r="E246" s="29"/>
      <c r="F246" s="29"/>
      <c r="G246" s="29"/>
      <c r="H246" s="31">
        <f>IF(base!F246&lt;&gt;"",VLOOKUP(F246,de_para!$A$1:$B$31,2,0)*base!G246,0)</f>
        <v>0</v>
      </c>
      <c r="I246" s="38"/>
      <c r="J246" s="29"/>
      <c r="K246" s="31">
        <f>IF(base!I246&lt;&gt;"",VLOOKUP(I246,de_para!$A$1:$B$31,2,0)*base!J246,0)</f>
        <v>0</v>
      </c>
      <c r="L246" s="38"/>
      <c r="M246" s="29"/>
      <c r="N246" s="31">
        <f>IF(base!L246&lt;&gt;"",VLOOKUP(L246,de_para!$A$1:$B$31,2,0)*base!M246,0)</f>
        <v>0</v>
      </c>
      <c r="O246" s="38"/>
      <c r="P246" s="29"/>
      <c r="Q246" s="31">
        <f>IF(base!O246&lt;&gt;"",VLOOKUP(O246,de_para!$A$1:$B$31,2,0)*base!P246,0)</f>
        <v>0</v>
      </c>
      <c r="R246" s="38"/>
      <c r="S246" s="29"/>
      <c r="T246" s="31">
        <f>IF(base!R246&lt;&gt;"",VLOOKUP(R246,de_para!$A$1:$B$31,2,0)*base!S246,0)</f>
        <v>0</v>
      </c>
      <c r="U246" s="30">
        <f t="shared" si="4"/>
        <v>0</v>
      </c>
    </row>
    <row r="247" spans="1:21" x14ac:dyDescent="0.35">
      <c r="A247" s="29"/>
      <c r="B247" s="29"/>
      <c r="C247" s="29"/>
      <c r="D247" s="29"/>
      <c r="E247" s="29"/>
      <c r="F247" s="29"/>
      <c r="G247" s="29"/>
      <c r="H247" s="31">
        <f>IF(base!F247&lt;&gt;"",VLOOKUP(F247,de_para!$A$1:$B$31,2,0)*base!G247,0)</f>
        <v>0</v>
      </c>
      <c r="I247" s="38"/>
      <c r="J247" s="29"/>
      <c r="K247" s="31">
        <f>IF(base!I247&lt;&gt;"",VLOOKUP(I247,de_para!$A$1:$B$31,2,0)*base!J247,0)</f>
        <v>0</v>
      </c>
      <c r="L247" s="38"/>
      <c r="M247" s="29"/>
      <c r="N247" s="31">
        <f>IF(base!L247&lt;&gt;"",VLOOKUP(L247,de_para!$A$1:$B$31,2,0)*base!M247,0)</f>
        <v>0</v>
      </c>
      <c r="O247" s="38"/>
      <c r="P247" s="29"/>
      <c r="Q247" s="31">
        <f>IF(base!O247&lt;&gt;"",VLOOKUP(O247,de_para!$A$1:$B$31,2,0)*base!P247,0)</f>
        <v>0</v>
      </c>
      <c r="R247" s="38"/>
      <c r="S247" s="29"/>
      <c r="T247" s="31">
        <f>IF(base!R247&lt;&gt;"",VLOOKUP(R247,de_para!$A$1:$B$31,2,0)*base!S247,0)</f>
        <v>0</v>
      </c>
      <c r="U247" s="30">
        <f t="shared" ref="U247:U310" si="5">H247+K247+N247+Q247+T247</f>
        <v>0</v>
      </c>
    </row>
    <row r="248" spans="1:21" x14ac:dyDescent="0.35">
      <c r="A248" s="29"/>
      <c r="B248" s="29"/>
      <c r="C248" s="29"/>
      <c r="D248" s="29"/>
      <c r="E248" s="29"/>
      <c r="F248" s="29"/>
      <c r="G248" s="29"/>
      <c r="H248" s="31">
        <f>IF(base!F248&lt;&gt;"",VLOOKUP(F248,de_para!$A$1:$B$31,2,0)*base!G248,0)</f>
        <v>0</v>
      </c>
      <c r="I248" s="38"/>
      <c r="J248" s="29"/>
      <c r="K248" s="31">
        <f>IF(base!I248&lt;&gt;"",VLOOKUP(I248,de_para!$A$1:$B$31,2,0)*base!J248,0)</f>
        <v>0</v>
      </c>
      <c r="L248" s="38"/>
      <c r="M248" s="29"/>
      <c r="N248" s="31">
        <f>IF(base!L248&lt;&gt;"",VLOOKUP(L248,de_para!$A$1:$B$31,2,0)*base!M248,0)</f>
        <v>0</v>
      </c>
      <c r="O248" s="38"/>
      <c r="P248" s="29"/>
      <c r="Q248" s="31">
        <f>IF(base!O248&lt;&gt;"",VLOOKUP(O248,de_para!$A$1:$B$31,2,0)*base!P248,0)</f>
        <v>0</v>
      </c>
      <c r="R248" s="38"/>
      <c r="S248" s="29"/>
      <c r="T248" s="31">
        <f>IF(base!R248&lt;&gt;"",VLOOKUP(R248,de_para!$A$1:$B$31,2,0)*base!S248,0)</f>
        <v>0</v>
      </c>
      <c r="U248" s="30">
        <f t="shared" si="5"/>
        <v>0</v>
      </c>
    </row>
    <row r="249" spans="1:21" x14ac:dyDescent="0.35">
      <c r="A249" s="29"/>
      <c r="B249" s="29"/>
      <c r="C249" s="29"/>
      <c r="D249" s="29"/>
      <c r="E249" s="29"/>
      <c r="F249" s="29"/>
      <c r="G249" s="29"/>
      <c r="H249" s="31">
        <f>IF(base!F249&lt;&gt;"",VLOOKUP(F249,de_para!$A$1:$B$31,2,0)*base!G249,0)</f>
        <v>0</v>
      </c>
      <c r="I249" s="38"/>
      <c r="J249" s="29"/>
      <c r="K249" s="31">
        <f>IF(base!I249&lt;&gt;"",VLOOKUP(I249,de_para!$A$1:$B$31,2,0)*base!J249,0)</f>
        <v>0</v>
      </c>
      <c r="L249" s="38"/>
      <c r="M249" s="29"/>
      <c r="N249" s="31">
        <f>IF(base!L249&lt;&gt;"",VLOOKUP(L249,de_para!$A$1:$B$31,2,0)*base!M249,0)</f>
        <v>0</v>
      </c>
      <c r="O249" s="38"/>
      <c r="P249" s="29"/>
      <c r="Q249" s="31">
        <f>IF(base!O249&lt;&gt;"",VLOOKUP(O249,de_para!$A$1:$B$31,2,0)*base!P249,0)</f>
        <v>0</v>
      </c>
      <c r="R249" s="38"/>
      <c r="S249" s="29"/>
      <c r="T249" s="31">
        <f>IF(base!R249&lt;&gt;"",VLOOKUP(R249,de_para!$A$1:$B$31,2,0)*base!S249,0)</f>
        <v>0</v>
      </c>
      <c r="U249" s="30">
        <f t="shared" si="5"/>
        <v>0</v>
      </c>
    </row>
    <row r="250" spans="1:21" x14ac:dyDescent="0.35">
      <c r="A250" s="29"/>
      <c r="B250" s="29"/>
      <c r="C250" s="29"/>
      <c r="D250" s="29"/>
      <c r="E250" s="29"/>
      <c r="F250" s="29"/>
      <c r="G250" s="29"/>
      <c r="H250" s="31">
        <f>IF(base!F250&lt;&gt;"",VLOOKUP(F250,de_para!$A$1:$B$31,2,0)*base!G250,0)</f>
        <v>0</v>
      </c>
      <c r="I250" s="38"/>
      <c r="J250" s="29"/>
      <c r="K250" s="31">
        <f>IF(base!I250&lt;&gt;"",VLOOKUP(I250,de_para!$A$1:$B$31,2,0)*base!J250,0)</f>
        <v>0</v>
      </c>
      <c r="L250" s="38"/>
      <c r="M250" s="29"/>
      <c r="N250" s="31">
        <f>IF(base!L250&lt;&gt;"",VLOOKUP(L250,de_para!$A$1:$B$31,2,0)*base!M250,0)</f>
        <v>0</v>
      </c>
      <c r="O250" s="38"/>
      <c r="P250" s="29"/>
      <c r="Q250" s="31">
        <f>IF(base!O250&lt;&gt;"",VLOOKUP(O250,de_para!$A$1:$B$31,2,0)*base!P250,0)</f>
        <v>0</v>
      </c>
      <c r="R250" s="38"/>
      <c r="S250" s="29"/>
      <c r="T250" s="31">
        <f>IF(base!R250&lt;&gt;"",VLOOKUP(R250,de_para!$A$1:$B$31,2,0)*base!S250,0)</f>
        <v>0</v>
      </c>
      <c r="U250" s="30">
        <f t="shared" si="5"/>
        <v>0</v>
      </c>
    </row>
    <row r="251" spans="1:21" x14ac:dyDescent="0.35">
      <c r="A251" s="29"/>
      <c r="B251" s="29"/>
      <c r="C251" s="29"/>
      <c r="D251" s="29"/>
      <c r="E251" s="29"/>
      <c r="F251" s="29"/>
      <c r="G251" s="29"/>
      <c r="H251" s="31">
        <f>IF(base!F251&lt;&gt;"",VLOOKUP(F251,de_para!$A$1:$B$31,2,0)*base!G251,0)</f>
        <v>0</v>
      </c>
      <c r="I251" s="38"/>
      <c r="J251" s="29"/>
      <c r="K251" s="31">
        <f>IF(base!I251&lt;&gt;"",VLOOKUP(I251,de_para!$A$1:$B$31,2,0)*base!J251,0)</f>
        <v>0</v>
      </c>
      <c r="L251" s="38"/>
      <c r="M251" s="29"/>
      <c r="N251" s="31">
        <f>IF(base!L251&lt;&gt;"",VLOOKUP(L251,de_para!$A$1:$B$31,2,0)*base!M251,0)</f>
        <v>0</v>
      </c>
      <c r="O251" s="38"/>
      <c r="P251" s="29"/>
      <c r="Q251" s="31">
        <f>IF(base!O251&lt;&gt;"",VLOOKUP(O251,de_para!$A$1:$B$31,2,0)*base!P251,0)</f>
        <v>0</v>
      </c>
      <c r="R251" s="38"/>
      <c r="S251" s="29"/>
      <c r="T251" s="31">
        <f>IF(base!R251&lt;&gt;"",VLOOKUP(R251,de_para!$A$1:$B$31,2,0)*base!S251,0)</f>
        <v>0</v>
      </c>
      <c r="U251" s="30">
        <f t="shared" si="5"/>
        <v>0</v>
      </c>
    </row>
    <row r="252" spans="1:21" x14ac:dyDescent="0.35">
      <c r="A252" s="29"/>
      <c r="B252" s="29"/>
      <c r="C252" s="29"/>
      <c r="D252" s="29"/>
      <c r="E252" s="29"/>
      <c r="F252" s="29"/>
      <c r="G252" s="29"/>
      <c r="H252" s="31">
        <f>IF(base!F252&lt;&gt;"",VLOOKUP(F252,de_para!$A$1:$B$31,2,0)*base!G252,0)</f>
        <v>0</v>
      </c>
      <c r="I252" s="38"/>
      <c r="J252" s="29"/>
      <c r="K252" s="31">
        <f>IF(base!I252&lt;&gt;"",VLOOKUP(I252,de_para!$A$1:$B$31,2,0)*base!J252,0)</f>
        <v>0</v>
      </c>
      <c r="L252" s="38"/>
      <c r="M252" s="29"/>
      <c r="N252" s="31">
        <f>IF(base!L252&lt;&gt;"",VLOOKUP(L252,de_para!$A$1:$B$31,2,0)*base!M252,0)</f>
        <v>0</v>
      </c>
      <c r="O252" s="38"/>
      <c r="P252" s="29"/>
      <c r="Q252" s="31">
        <f>IF(base!O252&lt;&gt;"",VLOOKUP(O252,de_para!$A$1:$B$31,2,0)*base!P252,0)</f>
        <v>0</v>
      </c>
      <c r="R252" s="38"/>
      <c r="S252" s="29"/>
      <c r="T252" s="31">
        <f>IF(base!R252&lt;&gt;"",VLOOKUP(R252,de_para!$A$1:$B$31,2,0)*base!S252,0)</f>
        <v>0</v>
      </c>
      <c r="U252" s="30">
        <f t="shared" si="5"/>
        <v>0</v>
      </c>
    </row>
    <row r="253" spans="1:21" x14ac:dyDescent="0.35">
      <c r="A253" s="29"/>
      <c r="B253" s="29"/>
      <c r="C253" s="29"/>
      <c r="D253" s="29"/>
      <c r="E253" s="29"/>
      <c r="F253" s="29"/>
      <c r="G253" s="29"/>
      <c r="H253" s="31">
        <f>IF(base!F253&lt;&gt;"",VLOOKUP(F253,de_para!$A$1:$B$31,2,0)*base!G253,0)</f>
        <v>0</v>
      </c>
      <c r="I253" s="38"/>
      <c r="J253" s="29"/>
      <c r="K253" s="31">
        <f>IF(base!I253&lt;&gt;"",VLOOKUP(I253,de_para!$A$1:$B$31,2,0)*base!J253,0)</f>
        <v>0</v>
      </c>
      <c r="L253" s="38"/>
      <c r="M253" s="29"/>
      <c r="N253" s="31">
        <f>IF(base!L253&lt;&gt;"",VLOOKUP(L253,de_para!$A$1:$B$31,2,0)*base!M253,0)</f>
        <v>0</v>
      </c>
      <c r="O253" s="38"/>
      <c r="P253" s="29"/>
      <c r="Q253" s="31">
        <f>IF(base!O253&lt;&gt;"",VLOOKUP(O253,de_para!$A$1:$B$31,2,0)*base!P253,0)</f>
        <v>0</v>
      </c>
      <c r="R253" s="38"/>
      <c r="S253" s="29"/>
      <c r="T253" s="31">
        <f>IF(base!R253&lt;&gt;"",VLOOKUP(R253,de_para!$A$1:$B$31,2,0)*base!S253,0)</f>
        <v>0</v>
      </c>
      <c r="U253" s="30">
        <f t="shared" si="5"/>
        <v>0</v>
      </c>
    </row>
    <row r="254" spans="1:21" x14ac:dyDescent="0.35">
      <c r="A254" s="29"/>
      <c r="B254" s="29"/>
      <c r="C254" s="29"/>
      <c r="D254" s="29"/>
      <c r="E254" s="29"/>
      <c r="F254" s="29"/>
      <c r="G254" s="29"/>
      <c r="H254" s="31">
        <f>IF(base!F254&lt;&gt;"",VLOOKUP(F254,de_para!$A$1:$B$31,2,0)*base!G254,0)</f>
        <v>0</v>
      </c>
      <c r="I254" s="38"/>
      <c r="J254" s="29"/>
      <c r="K254" s="31">
        <f>IF(base!I254&lt;&gt;"",VLOOKUP(I254,de_para!$A$1:$B$31,2,0)*base!J254,0)</f>
        <v>0</v>
      </c>
      <c r="L254" s="38"/>
      <c r="M254" s="29"/>
      <c r="N254" s="31">
        <f>IF(base!L254&lt;&gt;"",VLOOKUP(L254,de_para!$A$1:$B$31,2,0)*base!M254,0)</f>
        <v>0</v>
      </c>
      <c r="O254" s="38"/>
      <c r="P254" s="29"/>
      <c r="Q254" s="31">
        <f>IF(base!O254&lt;&gt;"",VLOOKUP(O254,de_para!$A$1:$B$31,2,0)*base!P254,0)</f>
        <v>0</v>
      </c>
      <c r="R254" s="38"/>
      <c r="S254" s="29"/>
      <c r="T254" s="31">
        <f>IF(base!R254&lt;&gt;"",VLOOKUP(R254,de_para!$A$1:$B$31,2,0)*base!S254,0)</f>
        <v>0</v>
      </c>
      <c r="U254" s="30">
        <f t="shared" si="5"/>
        <v>0</v>
      </c>
    </row>
    <row r="255" spans="1:21" x14ac:dyDescent="0.35">
      <c r="A255" s="29"/>
      <c r="B255" s="29"/>
      <c r="C255" s="29"/>
      <c r="D255" s="29"/>
      <c r="E255" s="29"/>
      <c r="F255" s="29"/>
      <c r="G255" s="29"/>
      <c r="H255" s="31">
        <f>IF(base!F255&lt;&gt;"",VLOOKUP(F255,de_para!$A$1:$B$31,2,0)*base!G255,0)</f>
        <v>0</v>
      </c>
      <c r="I255" s="38"/>
      <c r="J255" s="29"/>
      <c r="K255" s="31">
        <f>IF(base!I255&lt;&gt;"",VLOOKUP(I255,de_para!$A$1:$B$31,2,0)*base!J255,0)</f>
        <v>0</v>
      </c>
      <c r="L255" s="38"/>
      <c r="M255" s="29"/>
      <c r="N255" s="31">
        <f>IF(base!L255&lt;&gt;"",VLOOKUP(L255,de_para!$A$1:$B$31,2,0)*base!M255,0)</f>
        <v>0</v>
      </c>
      <c r="O255" s="38"/>
      <c r="P255" s="29"/>
      <c r="Q255" s="31">
        <f>IF(base!O255&lt;&gt;"",VLOOKUP(O255,de_para!$A$1:$B$31,2,0)*base!P255,0)</f>
        <v>0</v>
      </c>
      <c r="R255" s="38"/>
      <c r="S255" s="29"/>
      <c r="T255" s="31">
        <f>IF(base!R255&lt;&gt;"",VLOOKUP(R255,de_para!$A$1:$B$31,2,0)*base!S255,0)</f>
        <v>0</v>
      </c>
      <c r="U255" s="30">
        <f t="shared" si="5"/>
        <v>0</v>
      </c>
    </row>
    <row r="256" spans="1:21" x14ac:dyDescent="0.35">
      <c r="A256" s="29"/>
      <c r="B256" s="29"/>
      <c r="C256" s="29"/>
      <c r="D256" s="29"/>
      <c r="E256" s="29"/>
      <c r="F256" s="29"/>
      <c r="G256" s="29"/>
      <c r="H256" s="31">
        <f>IF(base!F256&lt;&gt;"",VLOOKUP(F256,de_para!$A$1:$B$31,2,0)*base!G256,0)</f>
        <v>0</v>
      </c>
      <c r="I256" s="38"/>
      <c r="J256" s="29"/>
      <c r="K256" s="31">
        <f>IF(base!I256&lt;&gt;"",VLOOKUP(I256,de_para!$A$1:$B$31,2,0)*base!J256,0)</f>
        <v>0</v>
      </c>
      <c r="L256" s="38"/>
      <c r="M256" s="29"/>
      <c r="N256" s="31">
        <f>IF(base!L256&lt;&gt;"",VLOOKUP(L256,de_para!$A$1:$B$31,2,0)*base!M256,0)</f>
        <v>0</v>
      </c>
      <c r="O256" s="38"/>
      <c r="P256" s="29"/>
      <c r="Q256" s="31">
        <f>IF(base!O256&lt;&gt;"",VLOOKUP(O256,de_para!$A$1:$B$31,2,0)*base!P256,0)</f>
        <v>0</v>
      </c>
      <c r="R256" s="38"/>
      <c r="S256" s="29"/>
      <c r="T256" s="31">
        <f>IF(base!R256&lt;&gt;"",VLOOKUP(R256,de_para!$A$1:$B$31,2,0)*base!S256,0)</f>
        <v>0</v>
      </c>
      <c r="U256" s="30">
        <f t="shared" si="5"/>
        <v>0</v>
      </c>
    </row>
    <row r="257" spans="1:21" x14ac:dyDescent="0.35">
      <c r="A257" s="29"/>
      <c r="B257" s="29"/>
      <c r="C257" s="29"/>
      <c r="D257" s="29"/>
      <c r="E257" s="29"/>
      <c r="F257" s="29"/>
      <c r="G257" s="29"/>
      <c r="H257" s="31">
        <f>IF(base!F257&lt;&gt;"",VLOOKUP(F257,de_para!$A$1:$B$31,2,0)*base!G257,0)</f>
        <v>0</v>
      </c>
      <c r="I257" s="38"/>
      <c r="J257" s="29"/>
      <c r="K257" s="31">
        <f>IF(base!I257&lt;&gt;"",VLOOKUP(I257,de_para!$A$1:$B$31,2,0)*base!J257,0)</f>
        <v>0</v>
      </c>
      <c r="L257" s="38"/>
      <c r="M257" s="29"/>
      <c r="N257" s="31">
        <f>IF(base!L257&lt;&gt;"",VLOOKUP(L257,de_para!$A$1:$B$31,2,0)*base!M257,0)</f>
        <v>0</v>
      </c>
      <c r="O257" s="38"/>
      <c r="P257" s="29"/>
      <c r="Q257" s="31">
        <f>IF(base!O257&lt;&gt;"",VLOOKUP(O257,de_para!$A$1:$B$31,2,0)*base!P257,0)</f>
        <v>0</v>
      </c>
      <c r="R257" s="38"/>
      <c r="S257" s="29"/>
      <c r="T257" s="31">
        <f>IF(base!R257&lt;&gt;"",VLOOKUP(R257,de_para!$A$1:$B$31,2,0)*base!S257,0)</f>
        <v>0</v>
      </c>
      <c r="U257" s="30">
        <f t="shared" si="5"/>
        <v>0</v>
      </c>
    </row>
    <row r="258" spans="1:21" x14ac:dyDescent="0.35">
      <c r="A258" s="29"/>
      <c r="B258" s="29"/>
      <c r="C258" s="29"/>
      <c r="D258" s="29"/>
      <c r="E258" s="29"/>
      <c r="F258" s="29"/>
      <c r="G258" s="29"/>
      <c r="H258" s="31">
        <f>IF(base!F258&lt;&gt;"",VLOOKUP(F258,de_para!$A$1:$B$31,2,0)*base!G258,0)</f>
        <v>0</v>
      </c>
      <c r="I258" s="38"/>
      <c r="J258" s="29"/>
      <c r="K258" s="31">
        <f>IF(base!I258&lt;&gt;"",VLOOKUP(I258,de_para!$A$1:$B$31,2,0)*base!J258,0)</f>
        <v>0</v>
      </c>
      <c r="L258" s="38"/>
      <c r="M258" s="29"/>
      <c r="N258" s="31">
        <f>IF(base!L258&lt;&gt;"",VLOOKUP(L258,de_para!$A$1:$B$31,2,0)*base!M258,0)</f>
        <v>0</v>
      </c>
      <c r="O258" s="38"/>
      <c r="P258" s="29"/>
      <c r="Q258" s="31">
        <f>IF(base!O258&lt;&gt;"",VLOOKUP(O258,de_para!$A$1:$B$31,2,0)*base!P258,0)</f>
        <v>0</v>
      </c>
      <c r="R258" s="38"/>
      <c r="S258" s="29"/>
      <c r="T258" s="31">
        <f>IF(base!R258&lt;&gt;"",VLOOKUP(R258,de_para!$A$1:$B$31,2,0)*base!S258,0)</f>
        <v>0</v>
      </c>
      <c r="U258" s="30">
        <f t="shared" si="5"/>
        <v>0</v>
      </c>
    </row>
    <row r="259" spans="1:21" x14ac:dyDescent="0.35">
      <c r="A259" s="29"/>
      <c r="B259" s="29"/>
      <c r="C259" s="29"/>
      <c r="D259" s="29"/>
      <c r="E259" s="29"/>
      <c r="F259" s="29"/>
      <c r="G259" s="29"/>
      <c r="H259" s="31">
        <f>IF(base!F259&lt;&gt;"",VLOOKUP(F259,de_para!$A$1:$B$31,2,0)*base!G259,0)</f>
        <v>0</v>
      </c>
      <c r="I259" s="38"/>
      <c r="J259" s="29"/>
      <c r="K259" s="31">
        <f>IF(base!I259&lt;&gt;"",VLOOKUP(I259,de_para!$A$1:$B$31,2,0)*base!J259,0)</f>
        <v>0</v>
      </c>
      <c r="L259" s="38"/>
      <c r="M259" s="29"/>
      <c r="N259" s="31">
        <f>IF(base!L259&lt;&gt;"",VLOOKUP(L259,de_para!$A$1:$B$31,2,0)*base!M259,0)</f>
        <v>0</v>
      </c>
      <c r="O259" s="38"/>
      <c r="P259" s="29"/>
      <c r="Q259" s="31">
        <f>IF(base!O259&lt;&gt;"",VLOOKUP(O259,de_para!$A$1:$B$31,2,0)*base!P259,0)</f>
        <v>0</v>
      </c>
      <c r="R259" s="38"/>
      <c r="S259" s="29"/>
      <c r="T259" s="31">
        <f>IF(base!R259&lt;&gt;"",VLOOKUP(R259,de_para!$A$1:$B$31,2,0)*base!S259,0)</f>
        <v>0</v>
      </c>
      <c r="U259" s="30">
        <f t="shared" si="5"/>
        <v>0</v>
      </c>
    </row>
    <row r="260" spans="1:21" x14ac:dyDescent="0.35">
      <c r="A260" s="29"/>
      <c r="B260" s="29"/>
      <c r="C260" s="29"/>
      <c r="D260" s="29"/>
      <c r="E260" s="29"/>
      <c r="F260" s="29"/>
      <c r="G260" s="29"/>
      <c r="H260" s="31">
        <f>IF(base!F260&lt;&gt;"",VLOOKUP(F260,de_para!$A$1:$B$31,2,0)*base!G260,0)</f>
        <v>0</v>
      </c>
      <c r="I260" s="38"/>
      <c r="J260" s="29"/>
      <c r="K260" s="31">
        <f>IF(base!I260&lt;&gt;"",VLOOKUP(I260,de_para!$A$1:$B$31,2,0)*base!J260,0)</f>
        <v>0</v>
      </c>
      <c r="L260" s="38"/>
      <c r="M260" s="29"/>
      <c r="N260" s="31">
        <f>IF(base!L260&lt;&gt;"",VLOOKUP(L260,de_para!$A$1:$B$31,2,0)*base!M260,0)</f>
        <v>0</v>
      </c>
      <c r="O260" s="38"/>
      <c r="P260" s="29"/>
      <c r="Q260" s="31">
        <f>IF(base!O260&lt;&gt;"",VLOOKUP(O260,de_para!$A$1:$B$31,2,0)*base!P260,0)</f>
        <v>0</v>
      </c>
      <c r="R260" s="38"/>
      <c r="S260" s="29"/>
      <c r="T260" s="31">
        <f>IF(base!R260&lt;&gt;"",VLOOKUP(R260,de_para!$A$1:$B$31,2,0)*base!S260,0)</f>
        <v>0</v>
      </c>
      <c r="U260" s="30">
        <f t="shared" si="5"/>
        <v>0</v>
      </c>
    </row>
    <row r="261" spans="1:21" x14ac:dyDescent="0.35">
      <c r="A261" s="29"/>
      <c r="B261" s="29"/>
      <c r="C261" s="29"/>
      <c r="D261" s="29"/>
      <c r="E261" s="29"/>
      <c r="F261" s="29"/>
      <c r="G261" s="29"/>
      <c r="H261" s="31">
        <f>IF(base!F261&lt;&gt;"",VLOOKUP(F261,de_para!$A$1:$B$31,2,0)*base!G261,0)</f>
        <v>0</v>
      </c>
      <c r="I261" s="38"/>
      <c r="J261" s="29"/>
      <c r="K261" s="31">
        <f>IF(base!I261&lt;&gt;"",VLOOKUP(I261,de_para!$A$1:$B$31,2,0)*base!J261,0)</f>
        <v>0</v>
      </c>
      <c r="L261" s="38"/>
      <c r="M261" s="29"/>
      <c r="N261" s="31">
        <f>IF(base!L261&lt;&gt;"",VLOOKUP(L261,de_para!$A$1:$B$31,2,0)*base!M261,0)</f>
        <v>0</v>
      </c>
      <c r="O261" s="38"/>
      <c r="P261" s="29"/>
      <c r="Q261" s="31">
        <f>IF(base!O261&lt;&gt;"",VLOOKUP(O261,de_para!$A$1:$B$31,2,0)*base!P261,0)</f>
        <v>0</v>
      </c>
      <c r="R261" s="38"/>
      <c r="S261" s="29"/>
      <c r="T261" s="31">
        <f>IF(base!R261&lt;&gt;"",VLOOKUP(R261,de_para!$A$1:$B$31,2,0)*base!S261,0)</f>
        <v>0</v>
      </c>
      <c r="U261" s="30">
        <f t="shared" si="5"/>
        <v>0</v>
      </c>
    </row>
    <row r="262" spans="1:21" x14ac:dyDescent="0.35">
      <c r="A262" s="29"/>
      <c r="B262" s="29"/>
      <c r="C262" s="29"/>
      <c r="D262" s="29"/>
      <c r="E262" s="29"/>
      <c r="F262" s="29"/>
      <c r="G262" s="29"/>
      <c r="H262" s="31">
        <f>IF(base!F262&lt;&gt;"",VLOOKUP(F262,de_para!$A$1:$B$31,2,0)*base!G262,0)</f>
        <v>0</v>
      </c>
      <c r="I262" s="38"/>
      <c r="J262" s="29"/>
      <c r="K262" s="31">
        <f>IF(base!I262&lt;&gt;"",VLOOKUP(I262,de_para!$A$1:$B$31,2,0)*base!J262,0)</f>
        <v>0</v>
      </c>
      <c r="L262" s="38"/>
      <c r="M262" s="29"/>
      <c r="N262" s="31">
        <f>IF(base!L262&lt;&gt;"",VLOOKUP(L262,de_para!$A$1:$B$31,2,0)*base!M262,0)</f>
        <v>0</v>
      </c>
      <c r="O262" s="38"/>
      <c r="P262" s="29"/>
      <c r="Q262" s="31">
        <f>IF(base!O262&lt;&gt;"",VLOOKUP(O262,de_para!$A$1:$B$31,2,0)*base!P262,0)</f>
        <v>0</v>
      </c>
      <c r="R262" s="38"/>
      <c r="S262" s="29"/>
      <c r="T262" s="31">
        <f>IF(base!R262&lt;&gt;"",VLOOKUP(R262,de_para!$A$1:$B$31,2,0)*base!S262,0)</f>
        <v>0</v>
      </c>
      <c r="U262" s="30">
        <f t="shared" si="5"/>
        <v>0</v>
      </c>
    </row>
    <row r="263" spans="1:21" x14ac:dyDescent="0.35">
      <c r="A263" s="29"/>
      <c r="B263" s="29"/>
      <c r="C263" s="29"/>
      <c r="D263" s="29"/>
      <c r="E263" s="29"/>
      <c r="F263" s="29"/>
      <c r="G263" s="29"/>
      <c r="H263" s="31">
        <f>IF(base!F263&lt;&gt;"",VLOOKUP(F263,de_para!$A$1:$B$31,2,0)*base!G263,0)</f>
        <v>0</v>
      </c>
      <c r="I263" s="38"/>
      <c r="J263" s="29"/>
      <c r="K263" s="31">
        <f>IF(base!I263&lt;&gt;"",VLOOKUP(I263,de_para!$A$1:$B$31,2,0)*base!J263,0)</f>
        <v>0</v>
      </c>
      <c r="L263" s="38"/>
      <c r="M263" s="29"/>
      <c r="N263" s="31">
        <f>IF(base!L263&lt;&gt;"",VLOOKUP(L263,de_para!$A$1:$B$31,2,0)*base!M263,0)</f>
        <v>0</v>
      </c>
      <c r="O263" s="38"/>
      <c r="P263" s="29"/>
      <c r="Q263" s="31">
        <f>IF(base!O263&lt;&gt;"",VLOOKUP(O263,de_para!$A$1:$B$31,2,0)*base!P263,0)</f>
        <v>0</v>
      </c>
      <c r="R263" s="38"/>
      <c r="S263" s="29"/>
      <c r="T263" s="31">
        <f>IF(base!R263&lt;&gt;"",VLOOKUP(R263,de_para!$A$1:$B$31,2,0)*base!S263,0)</f>
        <v>0</v>
      </c>
      <c r="U263" s="30">
        <f t="shared" si="5"/>
        <v>0</v>
      </c>
    </row>
    <row r="264" spans="1:21" x14ac:dyDescent="0.35">
      <c r="A264" s="29"/>
      <c r="B264" s="29"/>
      <c r="C264" s="29"/>
      <c r="D264" s="29"/>
      <c r="E264" s="29"/>
      <c r="F264" s="29"/>
      <c r="G264" s="29"/>
      <c r="H264" s="31">
        <f>IF(base!F264&lt;&gt;"",VLOOKUP(F264,de_para!$A$1:$B$31,2,0)*base!G264,0)</f>
        <v>0</v>
      </c>
      <c r="I264" s="38"/>
      <c r="J264" s="29"/>
      <c r="K264" s="31">
        <f>IF(base!I264&lt;&gt;"",VLOOKUP(I264,de_para!$A$1:$B$31,2,0)*base!J264,0)</f>
        <v>0</v>
      </c>
      <c r="L264" s="38"/>
      <c r="M264" s="29"/>
      <c r="N264" s="31">
        <f>IF(base!L264&lt;&gt;"",VLOOKUP(L264,de_para!$A$1:$B$31,2,0)*base!M264,0)</f>
        <v>0</v>
      </c>
      <c r="O264" s="38"/>
      <c r="P264" s="29"/>
      <c r="Q264" s="31">
        <f>IF(base!O264&lt;&gt;"",VLOOKUP(O264,de_para!$A$1:$B$31,2,0)*base!P264,0)</f>
        <v>0</v>
      </c>
      <c r="R264" s="38"/>
      <c r="S264" s="29"/>
      <c r="T264" s="31">
        <f>IF(base!R264&lt;&gt;"",VLOOKUP(R264,de_para!$A$1:$B$31,2,0)*base!S264,0)</f>
        <v>0</v>
      </c>
      <c r="U264" s="30">
        <f t="shared" si="5"/>
        <v>0</v>
      </c>
    </row>
    <row r="265" spans="1:21" x14ac:dyDescent="0.35">
      <c r="A265" s="29"/>
      <c r="B265" s="29"/>
      <c r="C265" s="29"/>
      <c r="D265" s="29"/>
      <c r="E265" s="29"/>
      <c r="F265" s="29"/>
      <c r="G265" s="29"/>
      <c r="H265" s="31">
        <f>IF(base!F265&lt;&gt;"",VLOOKUP(F265,de_para!$A$1:$B$31,2,0)*base!G265,0)</f>
        <v>0</v>
      </c>
      <c r="I265" s="38"/>
      <c r="J265" s="29"/>
      <c r="K265" s="31">
        <f>IF(base!I265&lt;&gt;"",VLOOKUP(I265,de_para!$A$1:$B$31,2,0)*base!J265,0)</f>
        <v>0</v>
      </c>
      <c r="L265" s="38"/>
      <c r="M265" s="29"/>
      <c r="N265" s="31">
        <f>IF(base!L265&lt;&gt;"",VLOOKUP(L265,de_para!$A$1:$B$31,2,0)*base!M265,0)</f>
        <v>0</v>
      </c>
      <c r="O265" s="38"/>
      <c r="P265" s="29"/>
      <c r="Q265" s="31">
        <f>IF(base!O265&lt;&gt;"",VLOOKUP(O265,de_para!$A$1:$B$31,2,0)*base!P265,0)</f>
        <v>0</v>
      </c>
      <c r="R265" s="38"/>
      <c r="S265" s="29"/>
      <c r="T265" s="31">
        <f>IF(base!R265&lt;&gt;"",VLOOKUP(R265,de_para!$A$1:$B$31,2,0)*base!S265,0)</f>
        <v>0</v>
      </c>
      <c r="U265" s="30">
        <f t="shared" si="5"/>
        <v>0</v>
      </c>
    </row>
    <row r="266" spans="1:21" x14ac:dyDescent="0.35">
      <c r="A266" s="29"/>
      <c r="B266" s="29"/>
      <c r="C266" s="29"/>
      <c r="D266" s="29"/>
      <c r="E266" s="29"/>
      <c r="F266" s="29"/>
      <c r="G266" s="29"/>
      <c r="H266" s="31">
        <f>IF(base!F266&lt;&gt;"",VLOOKUP(F266,de_para!$A$1:$B$31,2,0)*base!G266,0)</f>
        <v>0</v>
      </c>
      <c r="I266" s="38"/>
      <c r="J266" s="29"/>
      <c r="K266" s="31">
        <f>IF(base!I266&lt;&gt;"",VLOOKUP(I266,de_para!$A$1:$B$31,2,0)*base!J266,0)</f>
        <v>0</v>
      </c>
      <c r="L266" s="38"/>
      <c r="M266" s="29"/>
      <c r="N266" s="31">
        <f>IF(base!L266&lt;&gt;"",VLOOKUP(L266,de_para!$A$1:$B$31,2,0)*base!M266,0)</f>
        <v>0</v>
      </c>
      <c r="O266" s="38"/>
      <c r="P266" s="29"/>
      <c r="Q266" s="31">
        <f>IF(base!O266&lt;&gt;"",VLOOKUP(O266,de_para!$A$1:$B$31,2,0)*base!P266,0)</f>
        <v>0</v>
      </c>
      <c r="R266" s="38"/>
      <c r="S266" s="29"/>
      <c r="T266" s="31">
        <f>IF(base!R266&lt;&gt;"",VLOOKUP(R266,de_para!$A$1:$B$31,2,0)*base!S266,0)</f>
        <v>0</v>
      </c>
      <c r="U266" s="30">
        <f t="shared" si="5"/>
        <v>0</v>
      </c>
    </row>
    <row r="267" spans="1:21" x14ac:dyDescent="0.35">
      <c r="A267" s="29"/>
      <c r="B267" s="29"/>
      <c r="C267" s="29"/>
      <c r="D267" s="29"/>
      <c r="E267" s="29"/>
      <c r="F267" s="29"/>
      <c r="G267" s="29"/>
      <c r="H267" s="31">
        <f>IF(base!F267&lt;&gt;"",VLOOKUP(F267,de_para!$A$1:$B$31,2,0)*base!G267,0)</f>
        <v>0</v>
      </c>
      <c r="I267" s="38"/>
      <c r="J267" s="29"/>
      <c r="K267" s="31">
        <f>IF(base!I267&lt;&gt;"",VLOOKUP(I267,de_para!$A$1:$B$31,2,0)*base!J267,0)</f>
        <v>0</v>
      </c>
      <c r="L267" s="38"/>
      <c r="M267" s="29"/>
      <c r="N267" s="31">
        <f>IF(base!L267&lt;&gt;"",VLOOKUP(L267,de_para!$A$1:$B$31,2,0)*base!M267,0)</f>
        <v>0</v>
      </c>
      <c r="O267" s="38"/>
      <c r="P267" s="29"/>
      <c r="Q267" s="31">
        <f>IF(base!O267&lt;&gt;"",VLOOKUP(O267,de_para!$A$1:$B$31,2,0)*base!P267,0)</f>
        <v>0</v>
      </c>
      <c r="R267" s="38"/>
      <c r="S267" s="29"/>
      <c r="T267" s="31">
        <f>IF(base!R267&lt;&gt;"",VLOOKUP(R267,de_para!$A$1:$B$31,2,0)*base!S267,0)</f>
        <v>0</v>
      </c>
      <c r="U267" s="30">
        <f t="shared" si="5"/>
        <v>0</v>
      </c>
    </row>
    <row r="268" spans="1:21" x14ac:dyDescent="0.35">
      <c r="A268" s="29"/>
      <c r="B268" s="29"/>
      <c r="C268" s="29"/>
      <c r="D268" s="29"/>
      <c r="E268" s="29"/>
      <c r="F268" s="29"/>
      <c r="G268" s="29"/>
      <c r="H268" s="31">
        <f>IF(base!F268&lt;&gt;"",VLOOKUP(F268,de_para!$A$1:$B$31,2,0)*base!G268,0)</f>
        <v>0</v>
      </c>
      <c r="I268" s="38"/>
      <c r="J268" s="29"/>
      <c r="K268" s="31">
        <f>IF(base!I268&lt;&gt;"",VLOOKUP(I268,de_para!$A$1:$B$31,2,0)*base!J268,0)</f>
        <v>0</v>
      </c>
      <c r="L268" s="38"/>
      <c r="M268" s="29"/>
      <c r="N268" s="31">
        <f>IF(base!L268&lt;&gt;"",VLOOKUP(L268,de_para!$A$1:$B$31,2,0)*base!M268,0)</f>
        <v>0</v>
      </c>
      <c r="O268" s="38"/>
      <c r="P268" s="29"/>
      <c r="Q268" s="31">
        <f>IF(base!O268&lt;&gt;"",VLOOKUP(O268,de_para!$A$1:$B$31,2,0)*base!P268,0)</f>
        <v>0</v>
      </c>
      <c r="R268" s="38"/>
      <c r="S268" s="29"/>
      <c r="T268" s="31">
        <f>IF(base!R268&lt;&gt;"",VLOOKUP(R268,de_para!$A$1:$B$31,2,0)*base!S268,0)</f>
        <v>0</v>
      </c>
      <c r="U268" s="30">
        <f t="shared" si="5"/>
        <v>0</v>
      </c>
    </row>
    <row r="269" spans="1:21" x14ac:dyDescent="0.35">
      <c r="A269" s="29"/>
      <c r="B269" s="29"/>
      <c r="C269" s="29"/>
      <c r="D269" s="29"/>
      <c r="E269" s="29"/>
      <c r="F269" s="29"/>
      <c r="G269" s="29"/>
      <c r="H269" s="31">
        <f>IF(base!F269&lt;&gt;"",VLOOKUP(F269,de_para!$A$1:$B$31,2,0)*base!G269,0)</f>
        <v>0</v>
      </c>
      <c r="I269" s="38"/>
      <c r="J269" s="29"/>
      <c r="K269" s="31">
        <f>IF(base!I269&lt;&gt;"",VLOOKUP(I269,de_para!$A$1:$B$31,2,0)*base!J269,0)</f>
        <v>0</v>
      </c>
      <c r="L269" s="38"/>
      <c r="M269" s="29"/>
      <c r="N269" s="31">
        <f>IF(base!L269&lt;&gt;"",VLOOKUP(L269,de_para!$A$1:$B$31,2,0)*base!M269,0)</f>
        <v>0</v>
      </c>
      <c r="O269" s="38"/>
      <c r="P269" s="29"/>
      <c r="Q269" s="31">
        <f>IF(base!O269&lt;&gt;"",VLOOKUP(O269,de_para!$A$1:$B$31,2,0)*base!P269,0)</f>
        <v>0</v>
      </c>
      <c r="R269" s="38"/>
      <c r="S269" s="29"/>
      <c r="T269" s="31">
        <f>IF(base!R269&lt;&gt;"",VLOOKUP(R269,de_para!$A$1:$B$31,2,0)*base!S269,0)</f>
        <v>0</v>
      </c>
      <c r="U269" s="30">
        <f t="shared" si="5"/>
        <v>0</v>
      </c>
    </row>
    <row r="270" spans="1:21" x14ac:dyDescent="0.35">
      <c r="A270" s="29"/>
      <c r="B270" s="29"/>
      <c r="C270" s="29"/>
      <c r="D270" s="29"/>
      <c r="E270" s="29"/>
      <c r="F270" s="29"/>
      <c r="G270" s="29"/>
      <c r="H270" s="31">
        <f>IF(base!F270&lt;&gt;"",VLOOKUP(F270,de_para!$A$1:$B$31,2,0)*base!G270,0)</f>
        <v>0</v>
      </c>
      <c r="I270" s="38"/>
      <c r="J270" s="29"/>
      <c r="K270" s="31">
        <f>IF(base!I270&lt;&gt;"",VLOOKUP(I270,de_para!$A$1:$B$31,2,0)*base!J270,0)</f>
        <v>0</v>
      </c>
      <c r="L270" s="38"/>
      <c r="M270" s="29"/>
      <c r="N270" s="31">
        <f>IF(base!L270&lt;&gt;"",VLOOKUP(L270,de_para!$A$1:$B$31,2,0)*base!M270,0)</f>
        <v>0</v>
      </c>
      <c r="O270" s="38"/>
      <c r="P270" s="29"/>
      <c r="Q270" s="31">
        <f>IF(base!O270&lt;&gt;"",VLOOKUP(O270,de_para!$A$1:$B$31,2,0)*base!P270,0)</f>
        <v>0</v>
      </c>
      <c r="R270" s="38"/>
      <c r="S270" s="29"/>
      <c r="T270" s="31">
        <f>IF(base!R270&lt;&gt;"",VLOOKUP(R270,de_para!$A$1:$B$31,2,0)*base!S270,0)</f>
        <v>0</v>
      </c>
      <c r="U270" s="30">
        <f t="shared" si="5"/>
        <v>0</v>
      </c>
    </row>
    <row r="271" spans="1:21" x14ac:dyDescent="0.35">
      <c r="A271" s="29"/>
      <c r="B271" s="29"/>
      <c r="C271" s="29"/>
      <c r="D271" s="29"/>
      <c r="E271" s="29"/>
      <c r="F271" s="29"/>
      <c r="G271" s="29"/>
      <c r="H271" s="31">
        <f>IF(base!F271&lt;&gt;"",VLOOKUP(F271,de_para!$A$1:$B$31,2,0)*base!G271,0)</f>
        <v>0</v>
      </c>
      <c r="I271" s="38"/>
      <c r="J271" s="29"/>
      <c r="K271" s="31">
        <f>IF(base!I271&lt;&gt;"",VLOOKUP(I271,de_para!$A$1:$B$31,2,0)*base!J271,0)</f>
        <v>0</v>
      </c>
      <c r="L271" s="38"/>
      <c r="M271" s="29"/>
      <c r="N271" s="31">
        <f>IF(base!L271&lt;&gt;"",VLOOKUP(L271,de_para!$A$1:$B$31,2,0)*base!M271,0)</f>
        <v>0</v>
      </c>
      <c r="O271" s="38"/>
      <c r="P271" s="29"/>
      <c r="Q271" s="31">
        <f>IF(base!O271&lt;&gt;"",VLOOKUP(O271,de_para!$A$1:$B$31,2,0)*base!P271,0)</f>
        <v>0</v>
      </c>
      <c r="R271" s="38"/>
      <c r="S271" s="29"/>
      <c r="T271" s="31">
        <f>IF(base!R271&lt;&gt;"",VLOOKUP(R271,de_para!$A$1:$B$31,2,0)*base!S271,0)</f>
        <v>0</v>
      </c>
      <c r="U271" s="30">
        <f t="shared" si="5"/>
        <v>0</v>
      </c>
    </row>
    <row r="272" spans="1:21" x14ac:dyDescent="0.35">
      <c r="A272" s="29"/>
      <c r="B272" s="29"/>
      <c r="C272" s="29"/>
      <c r="D272" s="29"/>
      <c r="E272" s="29"/>
      <c r="F272" s="29"/>
      <c r="G272" s="29"/>
      <c r="H272" s="31">
        <f>IF(base!F272&lt;&gt;"",VLOOKUP(F272,de_para!$A$1:$B$31,2,0)*base!G272,0)</f>
        <v>0</v>
      </c>
      <c r="I272" s="38"/>
      <c r="J272" s="29"/>
      <c r="K272" s="31">
        <f>IF(base!I272&lt;&gt;"",VLOOKUP(I272,de_para!$A$1:$B$31,2,0)*base!J272,0)</f>
        <v>0</v>
      </c>
      <c r="L272" s="38"/>
      <c r="M272" s="29"/>
      <c r="N272" s="31">
        <f>IF(base!L272&lt;&gt;"",VLOOKUP(L272,de_para!$A$1:$B$31,2,0)*base!M272,0)</f>
        <v>0</v>
      </c>
      <c r="O272" s="38"/>
      <c r="P272" s="29"/>
      <c r="Q272" s="31">
        <f>IF(base!O272&lt;&gt;"",VLOOKUP(O272,de_para!$A$1:$B$31,2,0)*base!P272,0)</f>
        <v>0</v>
      </c>
      <c r="R272" s="38"/>
      <c r="S272" s="29"/>
      <c r="T272" s="31">
        <f>IF(base!R272&lt;&gt;"",VLOOKUP(R272,de_para!$A$1:$B$31,2,0)*base!S272,0)</f>
        <v>0</v>
      </c>
      <c r="U272" s="30">
        <f t="shared" si="5"/>
        <v>0</v>
      </c>
    </row>
    <row r="273" spans="1:21" x14ac:dyDescent="0.35">
      <c r="A273" s="29"/>
      <c r="B273" s="29"/>
      <c r="C273" s="29"/>
      <c r="D273" s="29"/>
      <c r="E273" s="29"/>
      <c r="F273" s="29"/>
      <c r="G273" s="29"/>
      <c r="H273" s="31">
        <f>IF(base!F273&lt;&gt;"",VLOOKUP(F273,de_para!$A$1:$B$31,2,0)*base!G273,0)</f>
        <v>0</v>
      </c>
      <c r="I273" s="38"/>
      <c r="J273" s="29"/>
      <c r="K273" s="31">
        <f>IF(base!I273&lt;&gt;"",VLOOKUP(I273,de_para!$A$1:$B$31,2,0)*base!J273,0)</f>
        <v>0</v>
      </c>
      <c r="L273" s="38"/>
      <c r="M273" s="29"/>
      <c r="N273" s="31">
        <f>IF(base!L273&lt;&gt;"",VLOOKUP(L273,de_para!$A$1:$B$31,2,0)*base!M273,0)</f>
        <v>0</v>
      </c>
      <c r="O273" s="38"/>
      <c r="P273" s="29"/>
      <c r="Q273" s="31">
        <f>IF(base!O273&lt;&gt;"",VLOOKUP(O273,de_para!$A$1:$B$31,2,0)*base!P273,0)</f>
        <v>0</v>
      </c>
      <c r="R273" s="38"/>
      <c r="S273" s="29"/>
      <c r="T273" s="31">
        <f>IF(base!R273&lt;&gt;"",VLOOKUP(R273,de_para!$A$1:$B$31,2,0)*base!S273,0)</f>
        <v>0</v>
      </c>
      <c r="U273" s="30">
        <f t="shared" si="5"/>
        <v>0</v>
      </c>
    </row>
    <row r="274" spans="1:21" x14ac:dyDescent="0.35">
      <c r="A274" s="29"/>
      <c r="B274" s="29"/>
      <c r="C274" s="29"/>
      <c r="D274" s="29"/>
      <c r="E274" s="29"/>
      <c r="F274" s="29"/>
      <c r="G274" s="29"/>
      <c r="H274" s="31">
        <f>IF(base!F274&lt;&gt;"",VLOOKUP(F274,de_para!$A$1:$B$31,2,0)*base!G274,0)</f>
        <v>0</v>
      </c>
      <c r="I274" s="38"/>
      <c r="J274" s="29"/>
      <c r="K274" s="31">
        <f>IF(base!I274&lt;&gt;"",VLOOKUP(I274,de_para!$A$1:$B$31,2,0)*base!J274,0)</f>
        <v>0</v>
      </c>
      <c r="L274" s="38"/>
      <c r="M274" s="29"/>
      <c r="N274" s="31">
        <f>IF(base!L274&lt;&gt;"",VLOOKUP(L274,de_para!$A$1:$B$31,2,0)*base!M274,0)</f>
        <v>0</v>
      </c>
      <c r="O274" s="38"/>
      <c r="P274" s="29"/>
      <c r="Q274" s="31">
        <f>IF(base!O274&lt;&gt;"",VLOOKUP(O274,de_para!$A$1:$B$31,2,0)*base!P274,0)</f>
        <v>0</v>
      </c>
      <c r="R274" s="38"/>
      <c r="S274" s="29"/>
      <c r="T274" s="31">
        <f>IF(base!R274&lt;&gt;"",VLOOKUP(R274,de_para!$A$1:$B$31,2,0)*base!S274,0)</f>
        <v>0</v>
      </c>
      <c r="U274" s="30">
        <f t="shared" si="5"/>
        <v>0</v>
      </c>
    </row>
    <row r="275" spans="1:21" x14ac:dyDescent="0.35">
      <c r="A275" s="29"/>
      <c r="B275" s="29"/>
      <c r="C275" s="29"/>
      <c r="D275" s="29"/>
      <c r="E275" s="29"/>
      <c r="F275" s="29"/>
      <c r="G275" s="29"/>
      <c r="H275" s="31">
        <f>IF(base!F275&lt;&gt;"",VLOOKUP(F275,de_para!$A$1:$B$31,2,0)*base!G275,0)</f>
        <v>0</v>
      </c>
      <c r="I275" s="38"/>
      <c r="J275" s="29"/>
      <c r="K275" s="31">
        <f>IF(base!I275&lt;&gt;"",VLOOKUP(I275,de_para!$A$1:$B$31,2,0)*base!J275,0)</f>
        <v>0</v>
      </c>
      <c r="L275" s="38"/>
      <c r="M275" s="29"/>
      <c r="N275" s="31">
        <f>IF(base!L275&lt;&gt;"",VLOOKUP(L275,de_para!$A$1:$B$31,2,0)*base!M275,0)</f>
        <v>0</v>
      </c>
      <c r="O275" s="38"/>
      <c r="P275" s="29"/>
      <c r="Q275" s="31">
        <f>IF(base!O275&lt;&gt;"",VLOOKUP(O275,de_para!$A$1:$B$31,2,0)*base!P275,0)</f>
        <v>0</v>
      </c>
      <c r="R275" s="38"/>
      <c r="S275" s="29"/>
      <c r="T275" s="31">
        <f>IF(base!R275&lt;&gt;"",VLOOKUP(R275,de_para!$A$1:$B$31,2,0)*base!S275,0)</f>
        <v>0</v>
      </c>
      <c r="U275" s="30">
        <f t="shared" si="5"/>
        <v>0</v>
      </c>
    </row>
    <row r="276" spans="1:21" x14ac:dyDescent="0.35">
      <c r="A276" s="29"/>
      <c r="B276" s="29"/>
      <c r="C276" s="29"/>
      <c r="D276" s="29"/>
      <c r="E276" s="29"/>
      <c r="F276" s="29"/>
      <c r="G276" s="29"/>
      <c r="H276" s="31">
        <f>IF(base!F276&lt;&gt;"",VLOOKUP(F276,de_para!$A$1:$B$31,2,0)*base!G276,0)</f>
        <v>0</v>
      </c>
      <c r="I276" s="38"/>
      <c r="J276" s="29"/>
      <c r="K276" s="31">
        <f>IF(base!I276&lt;&gt;"",VLOOKUP(I276,de_para!$A$1:$B$31,2,0)*base!J276,0)</f>
        <v>0</v>
      </c>
      <c r="L276" s="38"/>
      <c r="M276" s="29"/>
      <c r="N276" s="31">
        <f>IF(base!L276&lt;&gt;"",VLOOKUP(L276,de_para!$A$1:$B$31,2,0)*base!M276,0)</f>
        <v>0</v>
      </c>
      <c r="O276" s="38"/>
      <c r="P276" s="29"/>
      <c r="Q276" s="31">
        <f>IF(base!O276&lt;&gt;"",VLOOKUP(O276,de_para!$A$1:$B$31,2,0)*base!P276,0)</f>
        <v>0</v>
      </c>
      <c r="R276" s="38"/>
      <c r="S276" s="29"/>
      <c r="T276" s="31">
        <f>IF(base!R276&lt;&gt;"",VLOOKUP(R276,de_para!$A$1:$B$31,2,0)*base!S276,0)</f>
        <v>0</v>
      </c>
      <c r="U276" s="30">
        <f t="shared" si="5"/>
        <v>0</v>
      </c>
    </row>
    <row r="277" spans="1:21" x14ac:dyDescent="0.35">
      <c r="A277" s="29"/>
      <c r="B277" s="29"/>
      <c r="C277" s="29"/>
      <c r="D277" s="29"/>
      <c r="E277" s="29"/>
      <c r="F277" s="29"/>
      <c r="G277" s="29"/>
      <c r="H277" s="31">
        <f>IF(base!F277&lt;&gt;"",VLOOKUP(F277,de_para!$A$1:$B$31,2,0)*base!G277,0)</f>
        <v>0</v>
      </c>
      <c r="I277" s="38"/>
      <c r="J277" s="29"/>
      <c r="K277" s="31">
        <f>IF(base!I277&lt;&gt;"",VLOOKUP(I277,de_para!$A$1:$B$31,2,0)*base!J277,0)</f>
        <v>0</v>
      </c>
      <c r="L277" s="38"/>
      <c r="M277" s="29"/>
      <c r="N277" s="31">
        <f>IF(base!L277&lt;&gt;"",VLOOKUP(L277,de_para!$A$1:$B$31,2,0)*base!M277,0)</f>
        <v>0</v>
      </c>
      <c r="O277" s="38"/>
      <c r="P277" s="29"/>
      <c r="Q277" s="31">
        <f>IF(base!O277&lt;&gt;"",VLOOKUP(O277,de_para!$A$1:$B$31,2,0)*base!P277,0)</f>
        <v>0</v>
      </c>
      <c r="R277" s="38"/>
      <c r="S277" s="29"/>
      <c r="T277" s="31">
        <f>IF(base!R277&lt;&gt;"",VLOOKUP(R277,de_para!$A$1:$B$31,2,0)*base!S277,0)</f>
        <v>0</v>
      </c>
      <c r="U277" s="30">
        <f t="shared" si="5"/>
        <v>0</v>
      </c>
    </row>
    <row r="278" spans="1:21" x14ac:dyDescent="0.35">
      <c r="A278" s="29"/>
      <c r="B278" s="29"/>
      <c r="C278" s="29"/>
      <c r="D278" s="29"/>
      <c r="E278" s="29"/>
      <c r="F278" s="29"/>
      <c r="G278" s="29"/>
      <c r="H278" s="31">
        <f>IF(base!F278&lt;&gt;"",VLOOKUP(F278,de_para!$A$1:$B$31,2,0)*base!G278,0)</f>
        <v>0</v>
      </c>
      <c r="I278" s="38"/>
      <c r="J278" s="29"/>
      <c r="K278" s="31">
        <f>IF(base!I278&lt;&gt;"",VLOOKUP(I278,de_para!$A$1:$B$31,2,0)*base!J278,0)</f>
        <v>0</v>
      </c>
      <c r="L278" s="38"/>
      <c r="M278" s="29"/>
      <c r="N278" s="31">
        <f>IF(base!L278&lt;&gt;"",VLOOKUP(L278,de_para!$A$1:$B$31,2,0)*base!M278,0)</f>
        <v>0</v>
      </c>
      <c r="O278" s="38"/>
      <c r="P278" s="29"/>
      <c r="Q278" s="31">
        <f>IF(base!O278&lt;&gt;"",VLOOKUP(O278,de_para!$A$1:$B$31,2,0)*base!P278,0)</f>
        <v>0</v>
      </c>
      <c r="R278" s="38"/>
      <c r="S278" s="29"/>
      <c r="T278" s="31">
        <f>IF(base!R278&lt;&gt;"",VLOOKUP(R278,de_para!$A$1:$B$31,2,0)*base!S278,0)</f>
        <v>0</v>
      </c>
      <c r="U278" s="30">
        <f t="shared" si="5"/>
        <v>0</v>
      </c>
    </row>
    <row r="279" spans="1:21" x14ac:dyDescent="0.35">
      <c r="A279" s="29"/>
      <c r="B279" s="29"/>
      <c r="C279" s="29"/>
      <c r="D279" s="29"/>
      <c r="E279" s="29"/>
      <c r="F279" s="29"/>
      <c r="G279" s="29"/>
      <c r="H279" s="31">
        <f>IF(base!F279&lt;&gt;"",VLOOKUP(F279,de_para!$A$1:$B$31,2,0)*base!G279,0)</f>
        <v>0</v>
      </c>
      <c r="I279" s="38"/>
      <c r="J279" s="29"/>
      <c r="K279" s="31">
        <f>IF(base!I279&lt;&gt;"",VLOOKUP(I279,de_para!$A$1:$B$31,2,0)*base!J279,0)</f>
        <v>0</v>
      </c>
      <c r="L279" s="38"/>
      <c r="M279" s="29"/>
      <c r="N279" s="31">
        <f>IF(base!L279&lt;&gt;"",VLOOKUP(L279,de_para!$A$1:$B$31,2,0)*base!M279,0)</f>
        <v>0</v>
      </c>
      <c r="O279" s="38"/>
      <c r="P279" s="29"/>
      <c r="Q279" s="31">
        <f>IF(base!O279&lt;&gt;"",VLOOKUP(O279,de_para!$A$1:$B$31,2,0)*base!P279,0)</f>
        <v>0</v>
      </c>
      <c r="R279" s="38"/>
      <c r="S279" s="29"/>
      <c r="T279" s="31">
        <f>IF(base!R279&lt;&gt;"",VLOOKUP(R279,de_para!$A$1:$B$31,2,0)*base!S279,0)</f>
        <v>0</v>
      </c>
      <c r="U279" s="30">
        <f t="shared" si="5"/>
        <v>0</v>
      </c>
    </row>
    <row r="280" spans="1:21" x14ac:dyDescent="0.35">
      <c r="A280" s="29"/>
      <c r="B280" s="29"/>
      <c r="C280" s="29"/>
      <c r="D280" s="29"/>
      <c r="E280" s="29"/>
      <c r="F280" s="29"/>
      <c r="G280" s="29"/>
      <c r="H280" s="31">
        <f>IF(base!F280&lt;&gt;"",VLOOKUP(F280,de_para!$A$1:$B$31,2,0)*base!G280,0)</f>
        <v>0</v>
      </c>
      <c r="I280" s="38"/>
      <c r="J280" s="29"/>
      <c r="K280" s="31">
        <f>IF(base!I280&lt;&gt;"",VLOOKUP(I280,de_para!$A$1:$B$31,2,0)*base!J280,0)</f>
        <v>0</v>
      </c>
      <c r="L280" s="38"/>
      <c r="M280" s="29"/>
      <c r="N280" s="31">
        <f>IF(base!L280&lt;&gt;"",VLOOKUP(L280,de_para!$A$1:$B$31,2,0)*base!M280,0)</f>
        <v>0</v>
      </c>
      <c r="O280" s="38"/>
      <c r="P280" s="29"/>
      <c r="Q280" s="31">
        <f>IF(base!O280&lt;&gt;"",VLOOKUP(O280,de_para!$A$1:$B$31,2,0)*base!P280,0)</f>
        <v>0</v>
      </c>
      <c r="R280" s="38"/>
      <c r="S280" s="29"/>
      <c r="T280" s="31">
        <f>IF(base!R280&lt;&gt;"",VLOOKUP(R280,de_para!$A$1:$B$31,2,0)*base!S280,0)</f>
        <v>0</v>
      </c>
      <c r="U280" s="30">
        <f t="shared" si="5"/>
        <v>0</v>
      </c>
    </row>
    <row r="281" spans="1:21" x14ac:dyDescent="0.35">
      <c r="A281" s="29"/>
      <c r="B281" s="29"/>
      <c r="C281" s="29"/>
      <c r="D281" s="29"/>
      <c r="E281" s="29"/>
      <c r="F281" s="29"/>
      <c r="G281" s="29"/>
      <c r="H281" s="31">
        <f>IF(base!F281&lt;&gt;"",VLOOKUP(F281,de_para!$A$1:$B$31,2,0)*base!G281,0)</f>
        <v>0</v>
      </c>
      <c r="I281" s="38"/>
      <c r="J281" s="29"/>
      <c r="K281" s="31">
        <f>IF(base!I281&lt;&gt;"",VLOOKUP(I281,de_para!$A$1:$B$31,2,0)*base!J281,0)</f>
        <v>0</v>
      </c>
      <c r="L281" s="38"/>
      <c r="M281" s="29"/>
      <c r="N281" s="31">
        <f>IF(base!L281&lt;&gt;"",VLOOKUP(L281,de_para!$A$1:$B$31,2,0)*base!M281,0)</f>
        <v>0</v>
      </c>
      <c r="O281" s="38"/>
      <c r="P281" s="29"/>
      <c r="Q281" s="31">
        <f>IF(base!O281&lt;&gt;"",VLOOKUP(O281,de_para!$A$1:$B$31,2,0)*base!P281,0)</f>
        <v>0</v>
      </c>
      <c r="R281" s="38"/>
      <c r="S281" s="29"/>
      <c r="T281" s="31">
        <f>IF(base!R281&lt;&gt;"",VLOOKUP(R281,de_para!$A$1:$B$31,2,0)*base!S281,0)</f>
        <v>0</v>
      </c>
      <c r="U281" s="30">
        <f t="shared" si="5"/>
        <v>0</v>
      </c>
    </row>
    <row r="282" spans="1:21" x14ac:dyDescent="0.35">
      <c r="A282" s="29"/>
      <c r="B282" s="29"/>
      <c r="C282" s="29"/>
      <c r="D282" s="29"/>
      <c r="E282" s="29"/>
      <c r="F282" s="29"/>
      <c r="G282" s="29"/>
      <c r="H282" s="31">
        <f>IF(base!F282&lt;&gt;"",VLOOKUP(F282,de_para!$A$1:$B$31,2,0)*base!G282,0)</f>
        <v>0</v>
      </c>
      <c r="I282" s="38"/>
      <c r="J282" s="29"/>
      <c r="K282" s="31">
        <f>IF(base!I282&lt;&gt;"",VLOOKUP(I282,de_para!$A$1:$B$31,2,0)*base!J282,0)</f>
        <v>0</v>
      </c>
      <c r="L282" s="38"/>
      <c r="M282" s="29"/>
      <c r="N282" s="31">
        <f>IF(base!L282&lt;&gt;"",VLOOKUP(L282,de_para!$A$1:$B$31,2,0)*base!M282,0)</f>
        <v>0</v>
      </c>
      <c r="O282" s="38"/>
      <c r="P282" s="29"/>
      <c r="Q282" s="31">
        <f>IF(base!O282&lt;&gt;"",VLOOKUP(O282,de_para!$A$1:$B$31,2,0)*base!P282,0)</f>
        <v>0</v>
      </c>
      <c r="R282" s="38"/>
      <c r="S282" s="29"/>
      <c r="T282" s="31">
        <f>IF(base!R282&lt;&gt;"",VLOOKUP(R282,de_para!$A$1:$B$31,2,0)*base!S282,0)</f>
        <v>0</v>
      </c>
      <c r="U282" s="30">
        <f t="shared" si="5"/>
        <v>0</v>
      </c>
    </row>
    <row r="283" spans="1:21" x14ac:dyDescent="0.35">
      <c r="A283" s="29"/>
      <c r="B283" s="29"/>
      <c r="C283" s="29"/>
      <c r="D283" s="29"/>
      <c r="E283" s="29"/>
      <c r="F283" s="29"/>
      <c r="G283" s="29"/>
      <c r="H283" s="31">
        <f>IF(base!F283&lt;&gt;"",VLOOKUP(F283,de_para!$A$1:$B$31,2,0)*base!G283,0)</f>
        <v>0</v>
      </c>
      <c r="I283" s="38"/>
      <c r="J283" s="29"/>
      <c r="K283" s="31">
        <f>IF(base!I283&lt;&gt;"",VLOOKUP(I283,de_para!$A$1:$B$31,2,0)*base!J283,0)</f>
        <v>0</v>
      </c>
      <c r="L283" s="38"/>
      <c r="M283" s="29"/>
      <c r="N283" s="31">
        <f>IF(base!L283&lt;&gt;"",VLOOKUP(L283,de_para!$A$1:$B$31,2,0)*base!M283,0)</f>
        <v>0</v>
      </c>
      <c r="O283" s="38"/>
      <c r="P283" s="29"/>
      <c r="Q283" s="31">
        <f>IF(base!O283&lt;&gt;"",VLOOKUP(O283,de_para!$A$1:$B$31,2,0)*base!P283,0)</f>
        <v>0</v>
      </c>
      <c r="R283" s="38"/>
      <c r="S283" s="29"/>
      <c r="T283" s="31">
        <f>IF(base!R283&lt;&gt;"",VLOOKUP(R283,de_para!$A$1:$B$31,2,0)*base!S283,0)</f>
        <v>0</v>
      </c>
      <c r="U283" s="30">
        <f t="shared" si="5"/>
        <v>0</v>
      </c>
    </row>
    <row r="284" spans="1:21" x14ac:dyDescent="0.35">
      <c r="A284" s="29"/>
      <c r="B284" s="29"/>
      <c r="C284" s="29"/>
      <c r="D284" s="29"/>
      <c r="E284" s="29"/>
      <c r="F284" s="29"/>
      <c r="G284" s="29"/>
      <c r="H284" s="31">
        <f>IF(base!F284&lt;&gt;"",VLOOKUP(F284,de_para!$A$1:$B$31,2,0)*base!G284,0)</f>
        <v>0</v>
      </c>
      <c r="I284" s="38"/>
      <c r="J284" s="29"/>
      <c r="K284" s="31">
        <f>IF(base!I284&lt;&gt;"",VLOOKUP(I284,de_para!$A$1:$B$31,2,0)*base!J284,0)</f>
        <v>0</v>
      </c>
      <c r="L284" s="38"/>
      <c r="M284" s="29"/>
      <c r="N284" s="31">
        <f>IF(base!L284&lt;&gt;"",VLOOKUP(L284,de_para!$A$1:$B$31,2,0)*base!M284,0)</f>
        <v>0</v>
      </c>
      <c r="O284" s="38"/>
      <c r="P284" s="29"/>
      <c r="Q284" s="31">
        <f>IF(base!O284&lt;&gt;"",VLOOKUP(O284,de_para!$A$1:$B$31,2,0)*base!P284,0)</f>
        <v>0</v>
      </c>
      <c r="R284" s="38"/>
      <c r="S284" s="29"/>
      <c r="T284" s="31">
        <f>IF(base!R284&lt;&gt;"",VLOOKUP(R284,de_para!$A$1:$B$31,2,0)*base!S284,0)</f>
        <v>0</v>
      </c>
      <c r="U284" s="30">
        <f t="shared" si="5"/>
        <v>0</v>
      </c>
    </row>
    <row r="285" spans="1:21" x14ac:dyDescent="0.35">
      <c r="A285" s="29"/>
      <c r="B285" s="29"/>
      <c r="C285" s="29"/>
      <c r="D285" s="29"/>
      <c r="E285" s="29"/>
      <c r="F285" s="29"/>
      <c r="G285" s="29"/>
      <c r="H285" s="31">
        <f>IF(base!F285&lt;&gt;"",VLOOKUP(F285,de_para!$A$1:$B$31,2,0)*base!G285,0)</f>
        <v>0</v>
      </c>
      <c r="I285" s="38"/>
      <c r="J285" s="29"/>
      <c r="K285" s="31">
        <f>IF(base!I285&lt;&gt;"",VLOOKUP(I285,de_para!$A$1:$B$31,2,0)*base!J285,0)</f>
        <v>0</v>
      </c>
      <c r="L285" s="38"/>
      <c r="M285" s="29"/>
      <c r="N285" s="31">
        <f>IF(base!L285&lt;&gt;"",VLOOKUP(L285,de_para!$A$1:$B$31,2,0)*base!M285,0)</f>
        <v>0</v>
      </c>
      <c r="O285" s="38"/>
      <c r="P285" s="29"/>
      <c r="Q285" s="31">
        <f>IF(base!O285&lt;&gt;"",VLOOKUP(O285,de_para!$A$1:$B$31,2,0)*base!P285,0)</f>
        <v>0</v>
      </c>
      <c r="R285" s="38"/>
      <c r="S285" s="29"/>
      <c r="T285" s="31">
        <f>IF(base!R285&lt;&gt;"",VLOOKUP(R285,de_para!$A$1:$B$31,2,0)*base!S285,0)</f>
        <v>0</v>
      </c>
      <c r="U285" s="30">
        <f t="shared" si="5"/>
        <v>0</v>
      </c>
    </row>
    <row r="286" spans="1:21" x14ac:dyDescent="0.35">
      <c r="A286" s="29"/>
      <c r="B286" s="29"/>
      <c r="C286" s="29"/>
      <c r="D286" s="29"/>
      <c r="E286" s="29"/>
      <c r="F286" s="29"/>
      <c r="G286" s="29"/>
      <c r="H286" s="31">
        <f>IF(base!F286&lt;&gt;"",VLOOKUP(F286,de_para!$A$1:$B$31,2,0)*base!G286,0)</f>
        <v>0</v>
      </c>
      <c r="I286" s="38"/>
      <c r="J286" s="29"/>
      <c r="K286" s="31">
        <f>IF(base!I286&lt;&gt;"",VLOOKUP(I286,de_para!$A$1:$B$31,2,0)*base!J286,0)</f>
        <v>0</v>
      </c>
      <c r="L286" s="38"/>
      <c r="M286" s="29"/>
      <c r="N286" s="31">
        <f>IF(base!L286&lt;&gt;"",VLOOKUP(L286,de_para!$A$1:$B$31,2,0)*base!M286,0)</f>
        <v>0</v>
      </c>
      <c r="O286" s="38"/>
      <c r="P286" s="29"/>
      <c r="Q286" s="31">
        <f>IF(base!O286&lt;&gt;"",VLOOKUP(O286,de_para!$A$1:$B$31,2,0)*base!P286,0)</f>
        <v>0</v>
      </c>
      <c r="R286" s="38"/>
      <c r="S286" s="29"/>
      <c r="T286" s="31">
        <f>IF(base!R286&lt;&gt;"",VLOOKUP(R286,de_para!$A$1:$B$31,2,0)*base!S286,0)</f>
        <v>0</v>
      </c>
      <c r="U286" s="30">
        <f t="shared" si="5"/>
        <v>0</v>
      </c>
    </row>
    <row r="287" spans="1:21" x14ac:dyDescent="0.35">
      <c r="A287" s="29"/>
      <c r="B287" s="29"/>
      <c r="C287" s="29"/>
      <c r="D287" s="29"/>
      <c r="E287" s="29"/>
      <c r="F287" s="29"/>
      <c r="G287" s="29"/>
      <c r="H287" s="31">
        <f>IF(base!F287&lt;&gt;"",VLOOKUP(F287,de_para!$A$1:$B$31,2,0)*base!G287,0)</f>
        <v>0</v>
      </c>
      <c r="I287" s="38"/>
      <c r="J287" s="29"/>
      <c r="K287" s="31">
        <f>IF(base!I287&lt;&gt;"",VLOOKUP(I287,de_para!$A$1:$B$31,2,0)*base!J287,0)</f>
        <v>0</v>
      </c>
      <c r="L287" s="38"/>
      <c r="M287" s="29"/>
      <c r="N287" s="31">
        <f>IF(base!L287&lt;&gt;"",VLOOKUP(L287,de_para!$A$1:$B$31,2,0)*base!M287,0)</f>
        <v>0</v>
      </c>
      <c r="O287" s="38"/>
      <c r="P287" s="29"/>
      <c r="Q287" s="31">
        <f>IF(base!O287&lt;&gt;"",VLOOKUP(O287,de_para!$A$1:$B$31,2,0)*base!P287,0)</f>
        <v>0</v>
      </c>
      <c r="R287" s="38"/>
      <c r="S287" s="29"/>
      <c r="T287" s="31">
        <f>IF(base!R287&lt;&gt;"",VLOOKUP(R287,de_para!$A$1:$B$31,2,0)*base!S287,0)</f>
        <v>0</v>
      </c>
      <c r="U287" s="30">
        <f t="shared" si="5"/>
        <v>0</v>
      </c>
    </row>
    <row r="288" spans="1:21" x14ac:dyDescent="0.35">
      <c r="A288" s="29"/>
      <c r="B288" s="29"/>
      <c r="C288" s="29"/>
      <c r="D288" s="29"/>
      <c r="E288" s="29"/>
      <c r="F288" s="29"/>
      <c r="G288" s="29"/>
      <c r="H288" s="31">
        <f>IF(base!F288&lt;&gt;"",VLOOKUP(F288,de_para!$A$1:$B$31,2,0)*base!G288,0)</f>
        <v>0</v>
      </c>
      <c r="I288" s="38"/>
      <c r="J288" s="29"/>
      <c r="K288" s="31">
        <f>IF(base!I288&lt;&gt;"",VLOOKUP(I288,de_para!$A$1:$B$31,2,0)*base!J288,0)</f>
        <v>0</v>
      </c>
      <c r="L288" s="38"/>
      <c r="M288" s="29"/>
      <c r="N288" s="31">
        <f>IF(base!L288&lt;&gt;"",VLOOKUP(L288,de_para!$A$1:$B$31,2,0)*base!M288,0)</f>
        <v>0</v>
      </c>
      <c r="O288" s="38"/>
      <c r="P288" s="29"/>
      <c r="Q288" s="31">
        <f>IF(base!O288&lt;&gt;"",VLOOKUP(O288,de_para!$A$1:$B$31,2,0)*base!P288,0)</f>
        <v>0</v>
      </c>
      <c r="R288" s="38"/>
      <c r="S288" s="29"/>
      <c r="T288" s="31">
        <f>IF(base!R288&lt;&gt;"",VLOOKUP(R288,de_para!$A$1:$B$31,2,0)*base!S288,0)</f>
        <v>0</v>
      </c>
      <c r="U288" s="30">
        <f t="shared" si="5"/>
        <v>0</v>
      </c>
    </row>
    <row r="289" spans="1:21" x14ac:dyDescent="0.35">
      <c r="A289" s="29"/>
      <c r="B289" s="29"/>
      <c r="C289" s="29"/>
      <c r="D289" s="29"/>
      <c r="E289" s="29"/>
      <c r="F289" s="29"/>
      <c r="G289" s="29"/>
      <c r="H289" s="31">
        <f>IF(base!F289&lt;&gt;"",VLOOKUP(F289,de_para!$A$1:$B$31,2,0)*base!G289,0)</f>
        <v>0</v>
      </c>
      <c r="I289" s="38"/>
      <c r="J289" s="29"/>
      <c r="K289" s="31">
        <f>IF(base!I289&lt;&gt;"",VLOOKUP(I289,de_para!$A$1:$B$31,2,0)*base!J289,0)</f>
        <v>0</v>
      </c>
      <c r="L289" s="38"/>
      <c r="M289" s="29"/>
      <c r="N289" s="31">
        <f>IF(base!L289&lt;&gt;"",VLOOKUP(L289,de_para!$A$1:$B$31,2,0)*base!M289,0)</f>
        <v>0</v>
      </c>
      <c r="O289" s="38"/>
      <c r="P289" s="29"/>
      <c r="Q289" s="31">
        <f>IF(base!O289&lt;&gt;"",VLOOKUP(O289,de_para!$A$1:$B$31,2,0)*base!P289,0)</f>
        <v>0</v>
      </c>
      <c r="R289" s="38"/>
      <c r="S289" s="29"/>
      <c r="T289" s="31">
        <f>IF(base!R289&lt;&gt;"",VLOOKUP(R289,de_para!$A$1:$B$31,2,0)*base!S289,0)</f>
        <v>0</v>
      </c>
      <c r="U289" s="30">
        <f t="shared" si="5"/>
        <v>0</v>
      </c>
    </row>
    <row r="290" spans="1:21" x14ac:dyDescent="0.35">
      <c r="A290" s="29"/>
      <c r="B290" s="29"/>
      <c r="C290" s="29"/>
      <c r="D290" s="29"/>
      <c r="E290" s="29"/>
      <c r="F290" s="29"/>
      <c r="G290" s="29"/>
      <c r="H290" s="31">
        <f>IF(base!F290&lt;&gt;"",VLOOKUP(F290,de_para!$A$1:$B$31,2,0)*base!G290,0)</f>
        <v>0</v>
      </c>
      <c r="I290" s="38"/>
      <c r="J290" s="29"/>
      <c r="K290" s="31">
        <f>IF(base!I290&lt;&gt;"",VLOOKUP(I290,de_para!$A$1:$B$31,2,0)*base!J290,0)</f>
        <v>0</v>
      </c>
      <c r="L290" s="38"/>
      <c r="M290" s="29"/>
      <c r="N290" s="31">
        <f>IF(base!L290&lt;&gt;"",VLOOKUP(L290,de_para!$A$1:$B$31,2,0)*base!M290,0)</f>
        <v>0</v>
      </c>
      <c r="O290" s="38"/>
      <c r="P290" s="29"/>
      <c r="Q290" s="31">
        <f>IF(base!O290&lt;&gt;"",VLOOKUP(O290,de_para!$A$1:$B$31,2,0)*base!P290,0)</f>
        <v>0</v>
      </c>
      <c r="R290" s="38"/>
      <c r="S290" s="29"/>
      <c r="T290" s="31">
        <f>IF(base!R290&lt;&gt;"",VLOOKUP(R290,de_para!$A$1:$B$31,2,0)*base!S290,0)</f>
        <v>0</v>
      </c>
      <c r="U290" s="30">
        <f t="shared" si="5"/>
        <v>0</v>
      </c>
    </row>
    <row r="291" spans="1:21" x14ac:dyDescent="0.35">
      <c r="A291" s="29"/>
      <c r="B291" s="29"/>
      <c r="C291" s="29"/>
      <c r="D291" s="29"/>
      <c r="E291" s="29"/>
      <c r="F291" s="29"/>
      <c r="G291" s="29"/>
      <c r="H291" s="31">
        <f>IF(base!F291&lt;&gt;"",VLOOKUP(F291,de_para!$A$1:$B$31,2,0)*base!G291,0)</f>
        <v>0</v>
      </c>
      <c r="I291" s="38"/>
      <c r="J291" s="29"/>
      <c r="K291" s="31">
        <f>IF(base!I291&lt;&gt;"",VLOOKUP(I291,de_para!$A$1:$B$31,2,0)*base!J291,0)</f>
        <v>0</v>
      </c>
      <c r="L291" s="38"/>
      <c r="M291" s="29"/>
      <c r="N291" s="31">
        <f>IF(base!L291&lt;&gt;"",VLOOKUP(L291,de_para!$A$1:$B$31,2,0)*base!M291,0)</f>
        <v>0</v>
      </c>
      <c r="O291" s="38"/>
      <c r="P291" s="29"/>
      <c r="Q291" s="31">
        <f>IF(base!O291&lt;&gt;"",VLOOKUP(O291,de_para!$A$1:$B$31,2,0)*base!P291,0)</f>
        <v>0</v>
      </c>
      <c r="R291" s="38"/>
      <c r="S291" s="29"/>
      <c r="T291" s="31">
        <f>IF(base!R291&lt;&gt;"",VLOOKUP(R291,de_para!$A$1:$B$31,2,0)*base!S291,0)</f>
        <v>0</v>
      </c>
      <c r="U291" s="30">
        <f t="shared" si="5"/>
        <v>0</v>
      </c>
    </row>
    <row r="292" spans="1:21" x14ac:dyDescent="0.35">
      <c r="A292" s="29"/>
      <c r="B292" s="29"/>
      <c r="C292" s="29"/>
      <c r="D292" s="29"/>
      <c r="E292" s="29"/>
      <c r="F292" s="29"/>
      <c r="G292" s="29"/>
      <c r="H292" s="31">
        <f>IF(base!F292&lt;&gt;"",VLOOKUP(F292,de_para!$A$1:$B$31,2,0)*base!G292,0)</f>
        <v>0</v>
      </c>
      <c r="I292" s="38"/>
      <c r="J292" s="29"/>
      <c r="K292" s="31">
        <f>IF(base!I292&lt;&gt;"",VLOOKUP(I292,de_para!$A$1:$B$31,2,0)*base!J292,0)</f>
        <v>0</v>
      </c>
      <c r="L292" s="38"/>
      <c r="M292" s="29"/>
      <c r="N292" s="31">
        <f>IF(base!L292&lt;&gt;"",VLOOKUP(L292,de_para!$A$1:$B$31,2,0)*base!M292,0)</f>
        <v>0</v>
      </c>
      <c r="O292" s="38"/>
      <c r="P292" s="29"/>
      <c r="Q292" s="31">
        <f>IF(base!O292&lt;&gt;"",VLOOKUP(O292,de_para!$A$1:$B$31,2,0)*base!P292,0)</f>
        <v>0</v>
      </c>
      <c r="R292" s="38"/>
      <c r="S292" s="29"/>
      <c r="T292" s="31">
        <f>IF(base!R292&lt;&gt;"",VLOOKUP(R292,de_para!$A$1:$B$31,2,0)*base!S292,0)</f>
        <v>0</v>
      </c>
      <c r="U292" s="30">
        <f t="shared" si="5"/>
        <v>0</v>
      </c>
    </row>
    <row r="293" spans="1:21" x14ac:dyDescent="0.35">
      <c r="A293" s="29"/>
      <c r="B293" s="29"/>
      <c r="C293" s="29"/>
      <c r="D293" s="29"/>
      <c r="E293" s="29"/>
      <c r="F293" s="29"/>
      <c r="G293" s="29"/>
      <c r="H293" s="31">
        <f>IF(base!F293&lt;&gt;"",VLOOKUP(F293,de_para!$A$1:$B$31,2,0)*base!G293,0)</f>
        <v>0</v>
      </c>
      <c r="I293" s="38"/>
      <c r="J293" s="29"/>
      <c r="K293" s="31">
        <f>IF(base!I293&lt;&gt;"",VLOOKUP(I293,de_para!$A$1:$B$31,2,0)*base!J293,0)</f>
        <v>0</v>
      </c>
      <c r="L293" s="38"/>
      <c r="M293" s="29"/>
      <c r="N293" s="31">
        <f>IF(base!L293&lt;&gt;"",VLOOKUP(L293,de_para!$A$1:$B$31,2,0)*base!M293,0)</f>
        <v>0</v>
      </c>
      <c r="O293" s="38"/>
      <c r="P293" s="29"/>
      <c r="Q293" s="31">
        <f>IF(base!O293&lt;&gt;"",VLOOKUP(O293,de_para!$A$1:$B$31,2,0)*base!P293,0)</f>
        <v>0</v>
      </c>
      <c r="R293" s="38"/>
      <c r="S293" s="29"/>
      <c r="T293" s="31">
        <f>IF(base!R293&lt;&gt;"",VLOOKUP(R293,de_para!$A$1:$B$31,2,0)*base!S293,0)</f>
        <v>0</v>
      </c>
      <c r="U293" s="30">
        <f t="shared" si="5"/>
        <v>0</v>
      </c>
    </row>
    <row r="294" spans="1:21" x14ac:dyDescent="0.35">
      <c r="A294" s="29"/>
      <c r="B294" s="29"/>
      <c r="C294" s="29"/>
      <c r="D294" s="29"/>
      <c r="E294" s="29"/>
      <c r="F294" s="29"/>
      <c r="G294" s="29"/>
      <c r="H294" s="31">
        <f>IF(base!F294&lt;&gt;"",VLOOKUP(F294,de_para!$A$1:$B$31,2,0)*base!G294,0)</f>
        <v>0</v>
      </c>
      <c r="I294" s="38"/>
      <c r="J294" s="29"/>
      <c r="K294" s="31">
        <f>IF(base!I294&lt;&gt;"",VLOOKUP(I294,de_para!$A$1:$B$31,2,0)*base!J294,0)</f>
        <v>0</v>
      </c>
      <c r="L294" s="38"/>
      <c r="M294" s="29"/>
      <c r="N294" s="31">
        <f>IF(base!L294&lt;&gt;"",VLOOKUP(L294,de_para!$A$1:$B$31,2,0)*base!M294,0)</f>
        <v>0</v>
      </c>
      <c r="O294" s="38"/>
      <c r="P294" s="29"/>
      <c r="Q294" s="31">
        <f>IF(base!O294&lt;&gt;"",VLOOKUP(O294,de_para!$A$1:$B$31,2,0)*base!P294,0)</f>
        <v>0</v>
      </c>
      <c r="R294" s="38"/>
      <c r="S294" s="29"/>
      <c r="T294" s="31">
        <f>IF(base!R294&lt;&gt;"",VLOOKUP(R294,de_para!$A$1:$B$31,2,0)*base!S294,0)</f>
        <v>0</v>
      </c>
      <c r="U294" s="30">
        <f t="shared" si="5"/>
        <v>0</v>
      </c>
    </row>
    <row r="295" spans="1:21" x14ac:dyDescent="0.35">
      <c r="A295" s="29"/>
      <c r="B295" s="29"/>
      <c r="C295" s="29"/>
      <c r="D295" s="29"/>
      <c r="E295" s="29"/>
      <c r="F295" s="29"/>
      <c r="G295" s="29"/>
      <c r="H295" s="31">
        <f>IF(base!F295&lt;&gt;"",VLOOKUP(F295,de_para!$A$1:$B$31,2,0)*base!G295,0)</f>
        <v>0</v>
      </c>
      <c r="I295" s="38"/>
      <c r="J295" s="29"/>
      <c r="K295" s="31">
        <f>IF(base!I295&lt;&gt;"",VLOOKUP(I295,de_para!$A$1:$B$31,2,0)*base!J295,0)</f>
        <v>0</v>
      </c>
      <c r="L295" s="38"/>
      <c r="M295" s="29"/>
      <c r="N295" s="31">
        <f>IF(base!L295&lt;&gt;"",VLOOKUP(L295,de_para!$A$1:$B$31,2,0)*base!M295,0)</f>
        <v>0</v>
      </c>
      <c r="O295" s="38"/>
      <c r="P295" s="29"/>
      <c r="Q295" s="31">
        <f>IF(base!O295&lt;&gt;"",VLOOKUP(O295,de_para!$A$1:$B$31,2,0)*base!P295,0)</f>
        <v>0</v>
      </c>
      <c r="R295" s="38"/>
      <c r="S295" s="29"/>
      <c r="T295" s="31">
        <f>IF(base!R295&lt;&gt;"",VLOOKUP(R295,de_para!$A$1:$B$31,2,0)*base!S295,0)</f>
        <v>0</v>
      </c>
      <c r="U295" s="30">
        <f t="shared" si="5"/>
        <v>0</v>
      </c>
    </row>
    <row r="296" spans="1:21" x14ac:dyDescent="0.35">
      <c r="A296" s="29"/>
      <c r="B296" s="29"/>
      <c r="C296" s="29"/>
      <c r="D296" s="29"/>
      <c r="E296" s="29"/>
      <c r="F296" s="29"/>
      <c r="G296" s="29"/>
      <c r="H296" s="31">
        <f>IF(base!F296&lt;&gt;"",VLOOKUP(F296,de_para!$A$1:$B$31,2,0)*base!G296,0)</f>
        <v>0</v>
      </c>
      <c r="I296" s="38"/>
      <c r="J296" s="29"/>
      <c r="K296" s="31">
        <f>IF(base!I296&lt;&gt;"",VLOOKUP(I296,de_para!$A$1:$B$31,2,0)*base!J296,0)</f>
        <v>0</v>
      </c>
      <c r="L296" s="38"/>
      <c r="M296" s="29"/>
      <c r="N296" s="31">
        <f>IF(base!L296&lt;&gt;"",VLOOKUP(L296,de_para!$A$1:$B$31,2,0)*base!M296,0)</f>
        <v>0</v>
      </c>
      <c r="O296" s="38"/>
      <c r="P296" s="29"/>
      <c r="Q296" s="31">
        <f>IF(base!O296&lt;&gt;"",VLOOKUP(O296,de_para!$A$1:$B$31,2,0)*base!P296,0)</f>
        <v>0</v>
      </c>
      <c r="R296" s="38"/>
      <c r="S296" s="29"/>
      <c r="T296" s="31">
        <f>IF(base!R296&lt;&gt;"",VLOOKUP(R296,de_para!$A$1:$B$31,2,0)*base!S296,0)</f>
        <v>0</v>
      </c>
      <c r="U296" s="30">
        <f t="shared" si="5"/>
        <v>0</v>
      </c>
    </row>
    <row r="297" spans="1:21" x14ac:dyDescent="0.35">
      <c r="A297" s="29"/>
      <c r="B297" s="29"/>
      <c r="C297" s="29"/>
      <c r="D297" s="29"/>
      <c r="E297" s="29"/>
      <c r="F297" s="29"/>
      <c r="G297" s="29"/>
      <c r="H297" s="31">
        <f>IF(base!F297&lt;&gt;"",VLOOKUP(F297,de_para!$A$1:$B$31,2,0)*base!G297,0)</f>
        <v>0</v>
      </c>
      <c r="I297" s="38"/>
      <c r="J297" s="29"/>
      <c r="K297" s="31">
        <f>IF(base!I297&lt;&gt;"",VLOOKUP(I297,de_para!$A$1:$B$31,2,0)*base!J297,0)</f>
        <v>0</v>
      </c>
      <c r="L297" s="38"/>
      <c r="M297" s="29"/>
      <c r="N297" s="31">
        <f>IF(base!L297&lt;&gt;"",VLOOKUP(L297,de_para!$A$1:$B$31,2,0)*base!M297,0)</f>
        <v>0</v>
      </c>
      <c r="O297" s="38"/>
      <c r="P297" s="29"/>
      <c r="Q297" s="31">
        <f>IF(base!O297&lt;&gt;"",VLOOKUP(O297,de_para!$A$1:$B$31,2,0)*base!P297,0)</f>
        <v>0</v>
      </c>
      <c r="R297" s="38"/>
      <c r="S297" s="29"/>
      <c r="T297" s="31">
        <f>IF(base!R297&lt;&gt;"",VLOOKUP(R297,de_para!$A$1:$B$31,2,0)*base!S297,0)</f>
        <v>0</v>
      </c>
      <c r="U297" s="30">
        <f t="shared" si="5"/>
        <v>0</v>
      </c>
    </row>
    <row r="298" spans="1:21" x14ac:dyDescent="0.35">
      <c r="A298" s="29"/>
      <c r="B298" s="29"/>
      <c r="C298" s="29"/>
      <c r="D298" s="29"/>
      <c r="E298" s="29"/>
      <c r="F298" s="29"/>
      <c r="G298" s="29"/>
      <c r="H298" s="31">
        <f>IF(base!F298&lt;&gt;"",VLOOKUP(F298,de_para!$A$1:$B$31,2,0)*base!G298,0)</f>
        <v>0</v>
      </c>
      <c r="I298" s="38"/>
      <c r="J298" s="29"/>
      <c r="K298" s="31">
        <f>IF(base!I298&lt;&gt;"",VLOOKUP(I298,de_para!$A$1:$B$31,2,0)*base!J298,0)</f>
        <v>0</v>
      </c>
      <c r="L298" s="38"/>
      <c r="M298" s="29"/>
      <c r="N298" s="31">
        <f>IF(base!L298&lt;&gt;"",VLOOKUP(L298,de_para!$A$1:$B$31,2,0)*base!M298,0)</f>
        <v>0</v>
      </c>
      <c r="O298" s="38"/>
      <c r="P298" s="29"/>
      <c r="Q298" s="31">
        <f>IF(base!O298&lt;&gt;"",VLOOKUP(O298,de_para!$A$1:$B$31,2,0)*base!P298,0)</f>
        <v>0</v>
      </c>
      <c r="R298" s="38"/>
      <c r="S298" s="29"/>
      <c r="T298" s="31">
        <f>IF(base!R298&lt;&gt;"",VLOOKUP(R298,de_para!$A$1:$B$31,2,0)*base!S298,0)</f>
        <v>0</v>
      </c>
      <c r="U298" s="30">
        <f t="shared" si="5"/>
        <v>0</v>
      </c>
    </row>
    <row r="299" spans="1:21" x14ac:dyDescent="0.35">
      <c r="A299" s="29"/>
      <c r="B299" s="29"/>
      <c r="C299" s="29"/>
      <c r="D299" s="29"/>
      <c r="E299" s="29"/>
      <c r="F299" s="29"/>
      <c r="G299" s="29"/>
      <c r="H299" s="31">
        <f>IF(base!F299&lt;&gt;"",VLOOKUP(F299,de_para!$A$1:$B$31,2,0)*base!G299,0)</f>
        <v>0</v>
      </c>
      <c r="I299" s="38"/>
      <c r="J299" s="29"/>
      <c r="K299" s="31">
        <f>IF(base!I299&lt;&gt;"",VLOOKUP(I299,de_para!$A$1:$B$31,2,0)*base!J299,0)</f>
        <v>0</v>
      </c>
      <c r="L299" s="38"/>
      <c r="M299" s="29"/>
      <c r="N299" s="31">
        <f>IF(base!L299&lt;&gt;"",VLOOKUP(L299,de_para!$A$1:$B$31,2,0)*base!M299,0)</f>
        <v>0</v>
      </c>
      <c r="O299" s="38"/>
      <c r="P299" s="29"/>
      <c r="Q299" s="31">
        <f>IF(base!O299&lt;&gt;"",VLOOKUP(O299,de_para!$A$1:$B$31,2,0)*base!P299,0)</f>
        <v>0</v>
      </c>
      <c r="R299" s="38"/>
      <c r="S299" s="29"/>
      <c r="T299" s="31">
        <f>IF(base!R299&lt;&gt;"",VLOOKUP(R299,de_para!$A$1:$B$31,2,0)*base!S299,0)</f>
        <v>0</v>
      </c>
      <c r="U299" s="30">
        <f t="shared" si="5"/>
        <v>0</v>
      </c>
    </row>
    <row r="300" spans="1:21" x14ac:dyDescent="0.35">
      <c r="A300" s="29"/>
      <c r="B300" s="29"/>
      <c r="C300" s="29"/>
      <c r="D300" s="29"/>
      <c r="E300" s="29"/>
      <c r="F300" s="29"/>
      <c r="G300" s="29"/>
      <c r="H300" s="31">
        <f>IF(base!F300&lt;&gt;"",VLOOKUP(F300,de_para!$A$1:$B$31,2,0)*base!G300,0)</f>
        <v>0</v>
      </c>
      <c r="I300" s="38"/>
      <c r="J300" s="29"/>
      <c r="K300" s="31">
        <f>IF(base!I300&lt;&gt;"",VLOOKUP(I300,de_para!$A$1:$B$31,2,0)*base!J300,0)</f>
        <v>0</v>
      </c>
      <c r="L300" s="38"/>
      <c r="M300" s="29"/>
      <c r="N300" s="31">
        <f>IF(base!L300&lt;&gt;"",VLOOKUP(L300,de_para!$A$1:$B$31,2,0)*base!M300,0)</f>
        <v>0</v>
      </c>
      <c r="O300" s="38"/>
      <c r="P300" s="29"/>
      <c r="Q300" s="31">
        <f>IF(base!O300&lt;&gt;"",VLOOKUP(O300,de_para!$A$1:$B$31,2,0)*base!P300,0)</f>
        <v>0</v>
      </c>
      <c r="R300" s="38"/>
      <c r="S300" s="29"/>
      <c r="T300" s="31">
        <f>IF(base!R300&lt;&gt;"",VLOOKUP(R300,de_para!$A$1:$B$31,2,0)*base!S300,0)</f>
        <v>0</v>
      </c>
      <c r="U300" s="30">
        <f t="shared" si="5"/>
        <v>0</v>
      </c>
    </row>
    <row r="301" spans="1:21" x14ac:dyDescent="0.35">
      <c r="A301" s="29"/>
      <c r="B301" s="29"/>
      <c r="C301" s="29"/>
      <c r="D301" s="29"/>
      <c r="E301" s="29"/>
      <c r="F301" s="29"/>
      <c r="G301" s="29"/>
      <c r="H301" s="31">
        <f>IF(base!F301&lt;&gt;"",VLOOKUP(F301,de_para!$A$1:$B$31,2,0)*base!G301,0)</f>
        <v>0</v>
      </c>
      <c r="I301" s="38"/>
      <c r="J301" s="29"/>
      <c r="K301" s="31">
        <f>IF(base!I301&lt;&gt;"",VLOOKUP(I301,de_para!$A$1:$B$31,2,0)*base!J301,0)</f>
        <v>0</v>
      </c>
      <c r="L301" s="38"/>
      <c r="M301" s="29"/>
      <c r="N301" s="31">
        <f>IF(base!L301&lt;&gt;"",VLOOKUP(L301,de_para!$A$1:$B$31,2,0)*base!M301,0)</f>
        <v>0</v>
      </c>
      <c r="O301" s="38"/>
      <c r="P301" s="29"/>
      <c r="Q301" s="31">
        <f>IF(base!O301&lt;&gt;"",VLOOKUP(O301,de_para!$A$1:$B$31,2,0)*base!P301,0)</f>
        <v>0</v>
      </c>
      <c r="R301" s="38"/>
      <c r="S301" s="29"/>
      <c r="T301" s="31">
        <f>IF(base!R301&lt;&gt;"",VLOOKUP(R301,de_para!$A$1:$B$31,2,0)*base!S301,0)</f>
        <v>0</v>
      </c>
      <c r="U301" s="30">
        <f t="shared" si="5"/>
        <v>0</v>
      </c>
    </row>
    <row r="302" spans="1:21" x14ac:dyDescent="0.35">
      <c r="A302" s="29"/>
      <c r="B302" s="29"/>
      <c r="C302" s="29"/>
      <c r="D302" s="29"/>
      <c r="E302" s="29"/>
      <c r="F302" s="29"/>
      <c r="G302" s="29"/>
      <c r="H302" s="31">
        <f>IF(base!F302&lt;&gt;"",VLOOKUP(F302,de_para!$A$1:$B$31,2,0)*base!G302,0)</f>
        <v>0</v>
      </c>
      <c r="I302" s="38"/>
      <c r="J302" s="29"/>
      <c r="K302" s="31">
        <f>IF(base!I302&lt;&gt;"",VLOOKUP(I302,de_para!$A$1:$B$31,2,0)*base!J302,0)</f>
        <v>0</v>
      </c>
      <c r="L302" s="38"/>
      <c r="M302" s="29"/>
      <c r="N302" s="31">
        <f>IF(base!L302&lt;&gt;"",VLOOKUP(L302,de_para!$A$1:$B$31,2,0)*base!M302,0)</f>
        <v>0</v>
      </c>
      <c r="O302" s="38"/>
      <c r="P302" s="29"/>
      <c r="Q302" s="31">
        <f>IF(base!O302&lt;&gt;"",VLOOKUP(O302,de_para!$A$1:$B$31,2,0)*base!P302,0)</f>
        <v>0</v>
      </c>
      <c r="R302" s="38"/>
      <c r="S302" s="29"/>
      <c r="T302" s="31">
        <f>IF(base!R302&lt;&gt;"",VLOOKUP(R302,de_para!$A$1:$B$31,2,0)*base!S302,0)</f>
        <v>0</v>
      </c>
      <c r="U302" s="30">
        <f t="shared" si="5"/>
        <v>0</v>
      </c>
    </row>
    <row r="303" spans="1:21" x14ac:dyDescent="0.35">
      <c r="A303" s="29"/>
      <c r="B303" s="29"/>
      <c r="C303" s="29"/>
      <c r="D303" s="29"/>
      <c r="E303" s="29"/>
      <c r="F303" s="29"/>
      <c r="G303" s="29"/>
      <c r="H303" s="31">
        <f>IF(base!F303&lt;&gt;"",VLOOKUP(F303,de_para!$A$1:$B$31,2,0)*base!G303,0)</f>
        <v>0</v>
      </c>
      <c r="I303" s="38"/>
      <c r="J303" s="29"/>
      <c r="K303" s="31">
        <f>IF(base!I303&lt;&gt;"",VLOOKUP(I303,de_para!$A$1:$B$31,2,0)*base!J303,0)</f>
        <v>0</v>
      </c>
      <c r="L303" s="38"/>
      <c r="M303" s="29"/>
      <c r="N303" s="31">
        <f>IF(base!L303&lt;&gt;"",VLOOKUP(L303,de_para!$A$1:$B$31,2,0)*base!M303,0)</f>
        <v>0</v>
      </c>
      <c r="O303" s="38"/>
      <c r="P303" s="29"/>
      <c r="Q303" s="31">
        <f>IF(base!O303&lt;&gt;"",VLOOKUP(O303,de_para!$A$1:$B$31,2,0)*base!P303,0)</f>
        <v>0</v>
      </c>
      <c r="R303" s="38"/>
      <c r="S303" s="29"/>
      <c r="T303" s="31">
        <f>IF(base!R303&lt;&gt;"",VLOOKUP(R303,de_para!$A$1:$B$31,2,0)*base!S303,0)</f>
        <v>0</v>
      </c>
      <c r="U303" s="30">
        <f t="shared" si="5"/>
        <v>0</v>
      </c>
    </row>
    <row r="304" spans="1:21" x14ac:dyDescent="0.35">
      <c r="A304" s="29"/>
      <c r="B304" s="29"/>
      <c r="C304" s="29"/>
      <c r="D304" s="29"/>
      <c r="E304" s="29"/>
      <c r="F304" s="29"/>
      <c r="G304" s="29"/>
      <c r="H304" s="31">
        <f>IF(base!F304&lt;&gt;"",VLOOKUP(F304,de_para!$A$1:$B$31,2,0)*base!G304,0)</f>
        <v>0</v>
      </c>
      <c r="I304" s="38"/>
      <c r="J304" s="29"/>
      <c r="K304" s="31">
        <f>IF(base!I304&lt;&gt;"",VLOOKUP(I304,de_para!$A$1:$B$31,2,0)*base!J304,0)</f>
        <v>0</v>
      </c>
      <c r="L304" s="38"/>
      <c r="M304" s="29"/>
      <c r="N304" s="31">
        <f>IF(base!L304&lt;&gt;"",VLOOKUP(L304,de_para!$A$1:$B$31,2,0)*base!M304,0)</f>
        <v>0</v>
      </c>
      <c r="O304" s="38"/>
      <c r="P304" s="29"/>
      <c r="Q304" s="31">
        <f>IF(base!O304&lt;&gt;"",VLOOKUP(O304,de_para!$A$1:$B$31,2,0)*base!P304,0)</f>
        <v>0</v>
      </c>
      <c r="R304" s="38"/>
      <c r="S304" s="29"/>
      <c r="T304" s="31">
        <f>IF(base!R304&lt;&gt;"",VLOOKUP(R304,de_para!$A$1:$B$31,2,0)*base!S304,0)</f>
        <v>0</v>
      </c>
      <c r="U304" s="30">
        <f t="shared" si="5"/>
        <v>0</v>
      </c>
    </row>
    <row r="305" spans="1:21" x14ac:dyDescent="0.35">
      <c r="A305" s="29"/>
      <c r="B305" s="29"/>
      <c r="C305" s="29"/>
      <c r="D305" s="29"/>
      <c r="E305" s="29"/>
      <c r="F305" s="29"/>
      <c r="G305" s="29"/>
      <c r="H305" s="31">
        <f>IF(base!F305&lt;&gt;"",VLOOKUP(F305,de_para!$A$1:$B$31,2,0)*base!G305,0)</f>
        <v>0</v>
      </c>
      <c r="I305" s="38"/>
      <c r="J305" s="29"/>
      <c r="K305" s="31">
        <f>IF(base!I305&lt;&gt;"",VLOOKUP(I305,de_para!$A$1:$B$31,2,0)*base!J305,0)</f>
        <v>0</v>
      </c>
      <c r="L305" s="38"/>
      <c r="M305" s="29"/>
      <c r="N305" s="31">
        <f>IF(base!L305&lt;&gt;"",VLOOKUP(L305,de_para!$A$1:$B$31,2,0)*base!M305,0)</f>
        <v>0</v>
      </c>
      <c r="O305" s="38"/>
      <c r="P305" s="29"/>
      <c r="Q305" s="31">
        <f>IF(base!O305&lt;&gt;"",VLOOKUP(O305,de_para!$A$1:$B$31,2,0)*base!P305,0)</f>
        <v>0</v>
      </c>
      <c r="R305" s="38"/>
      <c r="S305" s="29"/>
      <c r="T305" s="31">
        <f>IF(base!R305&lt;&gt;"",VLOOKUP(R305,de_para!$A$1:$B$31,2,0)*base!S305,0)</f>
        <v>0</v>
      </c>
      <c r="U305" s="30">
        <f t="shared" si="5"/>
        <v>0</v>
      </c>
    </row>
    <row r="306" spans="1:21" x14ac:dyDescent="0.35">
      <c r="A306" s="29"/>
      <c r="B306" s="29"/>
      <c r="C306" s="29"/>
      <c r="D306" s="29"/>
      <c r="E306" s="29"/>
      <c r="F306" s="29"/>
      <c r="G306" s="29"/>
      <c r="H306" s="31">
        <f>IF(base!F306&lt;&gt;"",VLOOKUP(F306,de_para!$A$1:$B$31,2,0)*base!G306,0)</f>
        <v>0</v>
      </c>
      <c r="I306" s="38"/>
      <c r="J306" s="29"/>
      <c r="K306" s="31">
        <f>IF(base!I306&lt;&gt;"",VLOOKUP(I306,de_para!$A$1:$B$31,2,0)*base!J306,0)</f>
        <v>0</v>
      </c>
      <c r="L306" s="38"/>
      <c r="M306" s="29"/>
      <c r="N306" s="31">
        <f>IF(base!L306&lt;&gt;"",VLOOKUP(L306,de_para!$A$1:$B$31,2,0)*base!M306,0)</f>
        <v>0</v>
      </c>
      <c r="O306" s="38"/>
      <c r="P306" s="29"/>
      <c r="Q306" s="31">
        <f>IF(base!O306&lt;&gt;"",VLOOKUP(O306,de_para!$A$1:$B$31,2,0)*base!P306,0)</f>
        <v>0</v>
      </c>
      <c r="R306" s="38"/>
      <c r="S306" s="29"/>
      <c r="T306" s="31">
        <f>IF(base!R306&lt;&gt;"",VLOOKUP(R306,de_para!$A$1:$B$31,2,0)*base!S306,0)</f>
        <v>0</v>
      </c>
      <c r="U306" s="30">
        <f t="shared" si="5"/>
        <v>0</v>
      </c>
    </row>
    <row r="307" spans="1:21" x14ac:dyDescent="0.35">
      <c r="A307" s="29"/>
      <c r="B307" s="29"/>
      <c r="C307" s="29"/>
      <c r="D307" s="29"/>
      <c r="E307" s="29"/>
      <c r="F307" s="29"/>
      <c r="G307" s="29"/>
      <c r="H307" s="31">
        <f>IF(base!F307&lt;&gt;"",VLOOKUP(F307,de_para!$A$1:$B$31,2,0)*base!G307,0)</f>
        <v>0</v>
      </c>
      <c r="I307" s="38"/>
      <c r="J307" s="29"/>
      <c r="K307" s="31">
        <f>IF(base!I307&lt;&gt;"",VLOOKUP(I307,de_para!$A$1:$B$31,2,0)*base!J307,0)</f>
        <v>0</v>
      </c>
      <c r="L307" s="38"/>
      <c r="M307" s="29"/>
      <c r="N307" s="31">
        <f>IF(base!L307&lt;&gt;"",VLOOKUP(L307,de_para!$A$1:$B$31,2,0)*base!M307,0)</f>
        <v>0</v>
      </c>
      <c r="O307" s="38"/>
      <c r="P307" s="29"/>
      <c r="Q307" s="31">
        <f>IF(base!O307&lt;&gt;"",VLOOKUP(O307,de_para!$A$1:$B$31,2,0)*base!P307,0)</f>
        <v>0</v>
      </c>
      <c r="R307" s="38"/>
      <c r="S307" s="29"/>
      <c r="T307" s="31">
        <f>IF(base!R307&lt;&gt;"",VLOOKUP(R307,de_para!$A$1:$B$31,2,0)*base!S307,0)</f>
        <v>0</v>
      </c>
      <c r="U307" s="30">
        <f t="shared" si="5"/>
        <v>0</v>
      </c>
    </row>
    <row r="308" spans="1:21" x14ac:dyDescent="0.35">
      <c r="A308" s="29"/>
      <c r="B308" s="29"/>
      <c r="C308" s="29"/>
      <c r="D308" s="29"/>
      <c r="E308" s="29"/>
      <c r="F308" s="29"/>
      <c r="G308" s="29"/>
      <c r="H308" s="31">
        <f>IF(base!F308&lt;&gt;"",VLOOKUP(F308,de_para!$A$1:$B$31,2,0)*base!G308,0)</f>
        <v>0</v>
      </c>
      <c r="I308" s="38"/>
      <c r="J308" s="29"/>
      <c r="K308" s="31">
        <f>IF(base!I308&lt;&gt;"",VLOOKUP(I308,de_para!$A$1:$B$31,2,0)*base!J308,0)</f>
        <v>0</v>
      </c>
      <c r="L308" s="38"/>
      <c r="M308" s="29"/>
      <c r="N308" s="31">
        <f>IF(base!L308&lt;&gt;"",VLOOKUP(L308,de_para!$A$1:$B$31,2,0)*base!M308,0)</f>
        <v>0</v>
      </c>
      <c r="O308" s="38"/>
      <c r="P308" s="29"/>
      <c r="Q308" s="31">
        <f>IF(base!O308&lt;&gt;"",VLOOKUP(O308,de_para!$A$1:$B$31,2,0)*base!P308,0)</f>
        <v>0</v>
      </c>
      <c r="R308" s="38"/>
      <c r="S308" s="29"/>
      <c r="T308" s="31">
        <f>IF(base!R308&lt;&gt;"",VLOOKUP(R308,de_para!$A$1:$B$31,2,0)*base!S308,0)</f>
        <v>0</v>
      </c>
      <c r="U308" s="30">
        <f t="shared" si="5"/>
        <v>0</v>
      </c>
    </row>
    <row r="309" spans="1:21" x14ac:dyDescent="0.35">
      <c r="A309" s="29"/>
      <c r="B309" s="29"/>
      <c r="C309" s="29"/>
      <c r="D309" s="29"/>
      <c r="E309" s="29"/>
      <c r="F309" s="29"/>
      <c r="G309" s="29"/>
      <c r="H309" s="31">
        <f>IF(base!F309&lt;&gt;"",VLOOKUP(F309,de_para!$A$1:$B$31,2,0)*base!G309,0)</f>
        <v>0</v>
      </c>
      <c r="I309" s="38"/>
      <c r="J309" s="29"/>
      <c r="K309" s="31">
        <f>IF(base!I309&lt;&gt;"",VLOOKUP(I309,de_para!$A$1:$B$31,2,0)*base!J309,0)</f>
        <v>0</v>
      </c>
      <c r="L309" s="38"/>
      <c r="M309" s="29"/>
      <c r="N309" s="31">
        <f>IF(base!L309&lt;&gt;"",VLOOKUP(L309,de_para!$A$1:$B$31,2,0)*base!M309,0)</f>
        <v>0</v>
      </c>
      <c r="O309" s="38"/>
      <c r="P309" s="29"/>
      <c r="Q309" s="31">
        <f>IF(base!O309&lt;&gt;"",VLOOKUP(O309,de_para!$A$1:$B$31,2,0)*base!P309,0)</f>
        <v>0</v>
      </c>
      <c r="R309" s="38"/>
      <c r="S309" s="29"/>
      <c r="T309" s="31">
        <f>IF(base!R309&lt;&gt;"",VLOOKUP(R309,de_para!$A$1:$B$31,2,0)*base!S309,0)</f>
        <v>0</v>
      </c>
      <c r="U309" s="30">
        <f t="shared" si="5"/>
        <v>0</v>
      </c>
    </row>
    <row r="310" spans="1:21" x14ac:dyDescent="0.35">
      <c r="A310" s="29"/>
      <c r="B310" s="29"/>
      <c r="C310" s="29"/>
      <c r="D310" s="29"/>
      <c r="E310" s="29"/>
      <c r="F310" s="29"/>
      <c r="G310" s="29"/>
      <c r="H310" s="31">
        <f>IF(base!F310&lt;&gt;"",VLOOKUP(F310,de_para!$A$1:$B$31,2,0)*base!G310,0)</f>
        <v>0</v>
      </c>
      <c r="I310" s="38"/>
      <c r="J310" s="29"/>
      <c r="K310" s="31">
        <f>IF(base!I310&lt;&gt;"",VLOOKUP(I310,de_para!$A$1:$B$31,2,0)*base!J310,0)</f>
        <v>0</v>
      </c>
      <c r="L310" s="38"/>
      <c r="M310" s="29"/>
      <c r="N310" s="31">
        <f>IF(base!L310&lt;&gt;"",VLOOKUP(L310,de_para!$A$1:$B$31,2,0)*base!M310,0)</f>
        <v>0</v>
      </c>
      <c r="O310" s="38"/>
      <c r="P310" s="29"/>
      <c r="Q310" s="31">
        <f>IF(base!O310&lt;&gt;"",VLOOKUP(O310,de_para!$A$1:$B$31,2,0)*base!P310,0)</f>
        <v>0</v>
      </c>
      <c r="R310" s="38"/>
      <c r="S310" s="29"/>
      <c r="T310" s="31">
        <f>IF(base!R310&lt;&gt;"",VLOOKUP(R310,de_para!$A$1:$B$31,2,0)*base!S310,0)</f>
        <v>0</v>
      </c>
      <c r="U310" s="30">
        <f t="shared" si="5"/>
        <v>0</v>
      </c>
    </row>
    <row r="311" spans="1:21" x14ac:dyDescent="0.35">
      <c r="A311" s="29"/>
      <c r="B311" s="29"/>
      <c r="C311" s="29"/>
      <c r="D311" s="29"/>
      <c r="E311" s="29"/>
      <c r="F311" s="29"/>
      <c r="G311" s="29"/>
      <c r="H311" s="31">
        <f>IF(base!F311&lt;&gt;"",VLOOKUP(F311,de_para!$A$1:$B$31,2,0)*base!G311,0)</f>
        <v>0</v>
      </c>
      <c r="I311" s="38"/>
      <c r="J311" s="29"/>
      <c r="K311" s="31">
        <f>IF(base!I311&lt;&gt;"",VLOOKUP(I311,de_para!$A$1:$B$31,2,0)*base!J311,0)</f>
        <v>0</v>
      </c>
      <c r="L311" s="38"/>
      <c r="M311" s="29"/>
      <c r="N311" s="31">
        <f>IF(base!L311&lt;&gt;"",VLOOKUP(L311,de_para!$A$1:$B$31,2,0)*base!M311,0)</f>
        <v>0</v>
      </c>
      <c r="O311" s="38"/>
      <c r="P311" s="29"/>
      <c r="Q311" s="31">
        <f>IF(base!O311&lt;&gt;"",VLOOKUP(O311,de_para!$A$1:$B$31,2,0)*base!P311,0)</f>
        <v>0</v>
      </c>
      <c r="R311" s="38"/>
      <c r="S311" s="29"/>
      <c r="T311" s="31">
        <f>IF(base!R311&lt;&gt;"",VLOOKUP(R311,de_para!$A$1:$B$31,2,0)*base!S311,0)</f>
        <v>0</v>
      </c>
      <c r="U311" s="30">
        <f t="shared" ref="U311:U374" si="6">H311+K311+N311+Q311+T311</f>
        <v>0</v>
      </c>
    </row>
    <row r="312" spans="1:21" x14ac:dyDescent="0.35">
      <c r="A312" s="29"/>
      <c r="B312" s="29"/>
      <c r="C312" s="29"/>
      <c r="D312" s="29"/>
      <c r="E312" s="29"/>
      <c r="F312" s="29"/>
      <c r="G312" s="29"/>
      <c r="H312" s="31">
        <f>IF(base!F312&lt;&gt;"",VLOOKUP(F312,de_para!$A$1:$B$31,2,0)*base!G312,0)</f>
        <v>0</v>
      </c>
      <c r="I312" s="38"/>
      <c r="J312" s="29"/>
      <c r="K312" s="31">
        <f>IF(base!I312&lt;&gt;"",VLOOKUP(I312,de_para!$A$1:$B$31,2,0)*base!J312,0)</f>
        <v>0</v>
      </c>
      <c r="L312" s="38"/>
      <c r="M312" s="29"/>
      <c r="N312" s="31">
        <f>IF(base!L312&lt;&gt;"",VLOOKUP(L312,de_para!$A$1:$B$31,2,0)*base!M312,0)</f>
        <v>0</v>
      </c>
      <c r="O312" s="38"/>
      <c r="P312" s="29"/>
      <c r="Q312" s="31">
        <f>IF(base!O312&lt;&gt;"",VLOOKUP(O312,de_para!$A$1:$B$31,2,0)*base!P312,0)</f>
        <v>0</v>
      </c>
      <c r="R312" s="38"/>
      <c r="S312" s="29"/>
      <c r="T312" s="31">
        <f>IF(base!R312&lt;&gt;"",VLOOKUP(R312,de_para!$A$1:$B$31,2,0)*base!S312,0)</f>
        <v>0</v>
      </c>
      <c r="U312" s="30">
        <f t="shared" si="6"/>
        <v>0</v>
      </c>
    </row>
    <row r="313" spans="1:21" x14ac:dyDescent="0.35">
      <c r="A313" s="29"/>
      <c r="B313" s="29"/>
      <c r="C313" s="29"/>
      <c r="D313" s="29"/>
      <c r="E313" s="29"/>
      <c r="F313" s="29"/>
      <c r="G313" s="29"/>
      <c r="H313" s="31">
        <f>IF(base!F313&lt;&gt;"",VLOOKUP(F313,de_para!$A$1:$B$31,2,0)*base!G313,0)</f>
        <v>0</v>
      </c>
      <c r="I313" s="38"/>
      <c r="J313" s="29"/>
      <c r="K313" s="31">
        <f>IF(base!I313&lt;&gt;"",VLOOKUP(I313,de_para!$A$1:$B$31,2,0)*base!J313,0)</f>
        <v>0</v>
      </c>
      <c r="L313" s="38"/>
      <c r="M313" s="29"/>
      <c r="N313" s="31">
        <f>IF(base!L313&lt;&gt;"",VLOOKUP(L313,de_para!$A$1:$B$31,2,0)*base!M313,0)</f>
        <v>0</v>
      </c>
      <c r="O313" s="38"/>
      <c r="P313" s="29"/>
      <c r="Q313" s="31">
        <f>IF(base!O313&lt;&gt;"",VLOOKUP(O313,de_para!$A$1:$B$31,2,0)*base!P313,0)</f>
        <v>0</v>
      </c>
      <c r="R313" s="38"/>
      <c r="S313" s="29"/>
      <c r="T313" s="31">
        <f>IF(base!R313&lt;&gt;"",VLOOKUP(R313,de_para!$A$1:$B$31,2,0)*base!S313,0)</f>
        <v>0</v>
      </c>
      <c r="U313" s="30">
        <f t="shared" si="6"/>
        <v>0</v>
      </c>
    </row>
    <row r="314" spans="1:21" x14ac:dyDescent="0.35">
      <c r="A314" s="29"/>
      <c r="B314" s="29"/>
      <c r="C314" s="29"/>
      <c r="D314" s="29"/>
      <c r="E314" s="29"/>
      <c r="F314" s="29"/>
      <c r="G314" s="29"/>
      <c r="H314" s="31">
        <f>IF(base!F314&lt;&gt;"",VLOOKUP(F314,de_para!$A$1:$B$31,2,0)*base!G314,0)</f>
        <v>0</v>
      </c>
      <c r="I314" s="38"/>
      <c r="J314" s="29"/>
      <c r="K314" s="31">
        <f>IF(base!I314&lt;&gt;"",VLOOKUP(I314,de_para!$A$1:$B$31,2,0)*base!J314,0)</f>
        <v>0</v>
      </c>
      <c r="L314" s="38"/>
      <c r="M314" s="29"/>
      <c r="N314" s="31">
        <f>IF(base!L314&lt;&gt;"",VLOOKUP(L314,de_para!$A$1:$B$31,2,0)*base!M314,0)</f>
        <v>0</v>
      </c>
      <c r="O314" s="38"/>
      <c r="P314" s="29"/>
      <c r="Q314" s="31">
        <f>IF(base!O314&lt;&gt;"",VLOOKUP(O314,de_para!$A$1:$B$31,2,0)*base!P314,0)</f>
        <v>0</v>
      </c>
      <c r="R314" s="38"/>
      <c r="S314" s="29"/>
      <c r="T314" s="31">
        <f>IF(base!R314&lt;&gt;"",VLOOKUP(R314,de_para!$A$1:$B$31,2,0)*base!S314,0)</f>
        <v>0</v>
      </c>
      <c r="U314" s="30">
        <f t="shared" si="6"/>
        <v>0</v>
      </c>
    </row>
    <row r="315" spans="1:21" x14ac:dyDescent="0.35">
      <c r="A315" s="29"/>
      <c r="B315" s="29"/>
      <c r="C315" s="29"/>
      <c r="D315" s="29"/>
      <c r="E315" s="29"/>
      <c r="F315" s="29"/>
      <c r="G315" s="29"/>
      <c r="H315" s="31">
        <f>IF(base!F315&lt;&gt;"",VLOOKUP(F315,de_para!$A$1:$B$31,2,0)*base!G315,0)</f>
        <v>0</v>
      </c>
      <c r="I315" s="38"/>
      <c r="J315" s="29"/>
      <c r="K315" s="31">
        <f>IF(base!I315&lt;&gt;"",VLOOKUP(I315,de_para!$A$1:$B$31,2,0)*base!J315,0)</f>
        <v>0</v>
      </c>
      <c r="L315" s="38"/>
      <c r="M315" s="29"/>
      <c r="N315" s="31">
        <f>IF(base!L315&lt;&gt;"",VLOOKUP(L315,de_para!$A$1:$B$31,2,0)*base!M315,0)</f>
        <v>0</v>
      </c>
      <c r="O315" s="38"/>
      <c r="P315" s="29"/>
      <c r="Q315" s="31">
        <f>IF(base!O315&lt;&gt;"",VLOOKUP(O315,de_para!$A$1:$B$31,2,0)*base!P315,0)</f>
        <v>0</v>
      </c>
      <c r="R315" s="38"/>
      <c r="S315" s="29"/>
      <c r="T315" s="31">
        <f>IF(base!R315&lt;&gt;"",VLOOKUP(R315,de_para!$A$1:$B$31,2,0)*base!S315,0)</f>
        <v>0</v>
      </c>
      <c r="U315" s="30">
        <f t="shared" si="6"/>
        <v>0</v>
      </c>
    </row>
    <row r="316" spans="1:21" x14ac:dyDescent="0.35">
      <c r="A316" s="29"/>
      <c r="B316" s="29"/>
      <c r="C316" s="29"/>
      <c r="D316" s="29"/>
      <c r="E316" s="29"/>
      <c r="F316" s="29"/>
      <c r="G316" s="29"/>
      <c r="H316" s="31">
        <f>IF(base!F316&lt;&gt;"",VLOOKUP(F316,de_para!$A$1:$B$31,2,0)*base!G316,0)</f>
        <v>0</v>
      </c>
      <c r="I316" s="38"/>
      <c r="J316" s="29"/>
      <c r="K316" s="31">
        <f>IF(base!I316&lt;&gt;"",VLOOKUP(I316,de_para!$A$1:$B$31,2,0)*base!J316,0)</f>
        <v>0</v>
      </c>
      <c r="L316" s="38"/>
      <c r="M316" s="29"/>
      <c r="N316" s="31">
        <f>IF(base!L316&lt;&gt;"",VLOOKUP(L316,de_para!$A$1:$B$31,2,0)*base!M316,0)</f>
        <v>0</v>
      </c>
      <c r="O316" s="38"/>
      <c r="P316" s="29"/>
      <c r="Q316" s="31">
        <f>IF(base!O316&lt;&gt;"",VLOOKUP(O316,de_para!$A$1:$B$31,2,0)*base!P316,0)</f>
        <v>0</v>
      </c>
      <c r="R316" s="38"/>
      <c r="S316" s="29"/>
      <c r="T316" s="31">
        <f>IF(base!R316&lt;&gt;"",VLOOKUP(R316,de_para!$A$1:$B$31,2,0)*base!S316,0)</f>
        <v>0</v>
      </c>
      <c r="U316" s="30">
        <f t="shared" si="6"/>
        <v>0</v>
      </c>
    </row>
    <row r="317" spans="1:21" x14ac:dyDescent="0.35">
      <c r="A317" s="29"/>
      <c r="B317" s="29"/>
      <c r="C317" s="29"/>
      <c r="D317" s="29"/>
      <c r="E317" s="29"/>
      <c r="F317" s="29"/>
      <c r="G317" s="29"/>
      <c r="H317" s="31">
        <f>IF(base!F317&lt;&gt;"",VLOOKUP(F317,de_para!$A$1:$B$31,2,0)*base!G317,0)</f>
        <v>0</v>
      </c>
      <c r="I317" s="38"/>
      <c r="J317" s="29"/>
      <c r="K317" s="31">
        <f>IF(base!I317&lt;&gt;"",VLOOKUP(I317,de_para!$A$1:$B$31,2,0)*base!J317,0)</f>
        <v>0</v>
      </c>
      <c r="L317" s="38"/>
      <c r="M317" s="29"/>
      <c r="N317" s="31">
        <f>IF(base!L317&lt;&gt;"",VLOOKUP(L317,de_para!$A$1:$B$31,2,0)*base!M317,0)</f>
        <v>0</v>
      </c>
      <c r="O317" s="38"/>
      <c r="P317" s="29"/>
      <c r="Q317" s="31">
        <f>IF(base!O317&lt;&gt;"",VLOOKUP(O317,de_para!$A$1:$B$31,2,0)*base!P317,0)</f>
        <v>0</v>
      </c>
      <c r="R317" s="38"/>
      <c r="S317" s="29"/>
      <c r="T317" s="31">
        <f>IF(base!R317&lt;&gt;"",VLOOKUP(R317,de_para!$A$1:$B$31,2,0)*base!S317,0)</f>
        <v>0</v>
      </c>
      <c r="U317" s="30">
        <f t="shared" si="6"/>
        <v>0</v>
      </c>
    </row>
    <row r="318" spans="1:21" x14ac:dyDescent="0.35">
      <c r="A318" s="29"/>
      <c r="B318" s="29"/>
      <c r="C318" s="29"/>
      <c r="D318" s="29"/>
      <c r="E318" s="29"/>
      <c r="F318" s="29"/>
      <c r="G318" s="29"/>
      <c r="H318" s="31">
        <f>IF(base!F318&lt;&gt;"",VLOOKUP(F318,de_para!$A$1:$B$31,2,0)*base!G318,0)</f>
        <v>0</v>
      </c>
      <c r="I318" s="38"/>
      <c r="J318" s="29"/>
      <c r="K318" s="31">
        <f>IF(base!I318&lt;&gt;"",VLOOKUP(I318,de_para!$A$1:$B$31,2,0)*base!J318,0)</f>
        <v>0</v>
      </c>
      <c r="L318" s="38"/>
      <c r="M318" s="29"/>
      <c r="N318" s="31">
        <f>IF(base!L318&lt;&gt;"",VLOOKUP(L318,de_para!$A$1:$B$31,2,0)*base!M318,0)</f>
        <v>0</v>
      </c>
      <c r="O318" s="38"/>
      <c r="P318" s="29"/>
      <c r="Q318" s="31">
        <f>IF(base!O318&lt;&gt;"",VLOOKUP(O318,de_para!$A$1:$B$31,2,0)*base!P318,0)</f>
        <v>0</v>
      </c>
      <c r="R318" s="38"/>
      <c r="S318" s="29"/>
      <c r="T318" s="31">
        <f>IF(base!R318&lt;&gt;"",VLOOKUP(R318,de_para!$A$1:$B$31,2,0)*base!S318,0)</f>
        <v>0</v>
      </c>
      <c r="U318" s="30">
        <f t="shared" si="6"/>
        <v>0</v>
      </c>
    </row>
    <row r="319" spans="1:21" x14ac:dyDescent="0.35">
      <c r="A319" s="29"/>
      <c r="B319" s="29"/>
      <c r="C319" s="29"/>
      <c r="D319" s="29"/>
      <c r="E319" s="29"/>
      <c r="F319" s="29"/>
      <c r="G319" s="29"/>
      <c r="H319" s="31">
        <f>IF(base!F319&lt;&gt;"",VLOOKUP(F319,de_para!$A$1:$B$31,2,0)*base!G319,0)</f>
        <v>0</v>
      </c>
      <c r="I319" s="38"/>
      <c r="J319" s="29"/>
      <c r="K319" s="31">
        <f>IF(base!I319&lt;&gt;"",VLOOKUP(I319,de_para!$A$1:$B$31,2,0)*base!J319,0)</f>
        <v>0</v>
      </c>
      <c r="L319" s="38"/>
      <c r="M319" s="29"/>
      <c r="N319" s="31">
        <f>IF(base!L319&lt;&gt;"",VLOOKUP(L319,de_para!$A$1:$B$31,2,0)*base!M319,0)</f>
        <v>0</v>
      </c>
      <c r="O319" s="38"/>
      <c r="P319" s="29"/>
      <c r="Q319" s="31">
        <f>IF(base!O319&lt;&gt;"",VLOOKUP(O319,de_para!$A$1:$B$31,2,0)*base!P319,0)</f>
        <v>0</v>
      </c>
      <c r="R319" s="38"/>
      <c r="S319" s="29"/>
      <c r="T319" s="31">
        <f>IF(base!R319&lt;&gt;"",VLOOKUP(R319,de_para!$A$1:$B$31,2,0)*base!S319,0)</f>
        <v>0</v>
      </c>
      <c r="U319" s="30">
        <f t="shared" si="6"/>
        <v>0</v>
      </c>
    </row>
    <row r="320" spans="1:21" x14ac:dyDescent="0.35">
      <c r="A320" s="29"/>
      <c r="B320" s="29"/>
      <c r="C320" s="29"/>
      <c r="D320" s="29"/>
      <c r="E320" s="29"/>
      <c r="F320" s="29"/>
      <c r="G320" s="29"/>
      <c r="H320" s="31">
        <f>IF(base!F320&lt;&gt;"",VLOOKUP(F320,de_para!$A$1:$B$31,2,0)*base!G320,0)</f>
        <v>0</v>
      </c>
      <c r="I320" s="38"/>
      <c r="J320" s="29"/>
      <c r="K320" s="31">
        <f>IF(base!I320&lt;&gt;"",VLOOKUP(I320,de_para!$A$1:$B$31,2,0)*base!J320,0)</f>
        <v>0</v>
      </c>
      <c r="L320" s="38"/>
      <c r="M320" s="29"/>
      <c r="N320" s="31">
        <f>IF(base!L320&lt;&gt;"",VLOOKUP(L320,de_para!$A$1:$B$31,2,0)*base!M320,0)</f>
        <v>0</v>
      </c>
      <c r="O320" s="38"/>
      <c r="P320" s="29"/>
      <c r="Q320" s="31">
        <f>IF(base!O320&lt;&gt;"",VLOOKUP(O320,de_para!$A$1:$B$31,2,0)*base!P320,0)</f>
        <v>0</v>
      </c>
      <c r="R320" s="38"/>
      <c r="S320" s="29"/>
      <c r="T320" s="31">
        <f>IF(base!R320&lt;&gt;"",VLOOKUP(R320,de_para!$A$1:$B$31,2,0)*base!S320,0)</f>
        <v>0</v>
      </c>
      <c r="U320" s="30">
        <f t="shared" si="6"/>
        <v>0</v>
      </c>
    </row>
    <row r="321" spans="1:21" x14ac:dyDescent="0.35">
      <c r="A321" s="29"/>
      <c r="B321" s="29"/>
      <c r="C321" s="29"/>
      <c r="D321" s="29"/>
      <c r="E321" s="29"/>
      <c r="F321" s="29"/>
      <c r="G321" s="29"/>
      <c r="H321" s="31">
        <f>IF(base!F321&lt;&gt;"",VLOOKUP(F321,de_para!$A$1:$B$31,2,0)*base!G321,0)</f>
        <v>0</v>
      </c>
      <c r="I321" s="38"/>
      <c r="J321" s="29"/>
      <c r="K321" s="31">
        <f>IF(base!I321&lt;&gt;"",VLOOKUP(I321,de_para!$A$1:$B$31,2,0)*base!J321,0)</f>
        <v>0</v>
      </c>
      <c r="L321" s="38"/>
      <c r="M321" s="29"/>
      <c r="N321" s="31">
        <f>IF(base!L321&lt;&gt;"",VLOOKUP(L321,de_para!$A$1:$B$31,2,0)*base!M321,0)</f>
        <v>0</v>
      </c>
      <c r="O321" s="38"/>
      <c r="P321" s="29"/>
      <c r="Q321" s="31">
        <f>IF(base!O321&lt;&gt;"",VLOOKUP(O321,de_para!$A$1:$B$31,2,0)*base!P321,0)</f>
        <v>0</v>
      </c>
      <c r="R321" s="38"/>
      <c r="S321" s="29"/>
      <c r="T321" s="31">
        <f>IF(base!R321&lt;&gt;"",VLOOKUP(R321,de_para!$A$1:$B$31,2,0)*base!S321,0)</f>
        <v>0</v>
      </c>
      <c r="U321" s="30">
        <f t="shared" si="6"/>
        <v>0</v>
      </c>
    </row>
    <row r="322" spans="1:21" x14ac:dyDescent="0.35">
      <c r="A322" s="29"/>
      <c r="B322" s="29"/>
      <c r="C322" s="29"/>
      <c r="D322" s="29"/>
      <c r="E322" s="29"/>
      <c r="F322" s="29"/>
      <c r="G322" s="29"/>
      <c r="H322" s="31">
        <f>IF(base!F322&lt;&gt;"",VLOOKUP(F322,de_para!$A$1:$B$31,2,0)*base!G322,0)</f>
        <v>0</v>
      </c>
      <c r="I322" s="38"/>
      <c r="J322" s="29"/>
      <c r="K322" s="31">
        <f>IF(base!I322&lt;&gt;"",VLOOKUP(I322,de_para!$A$1:$B$31,2,0)*base!J322,0)</f>
        <v>0</v>
      </c>
      <c r="L322" s="38"/>
      <c r="M322" s="29"/>
      <c r="N322" s="31">
        <f>IF(base!L322&lt;&gt;"",VLOOKUP(L322,de_para!$A$1:$B$31,2,0)*base!M322,0)</f>
        <v>0</v>
      </c>
      <c r="O322" s="38"/>
      <c r="P322" s="29"/>
      <c r="Q322" s="31">
        <f>IF(base!O322&lt;&gt;"",VLOOKUP(O322,de_para!$A$1:$B$31,2,0)*base!P322,0)</f>
        <v>0</v>
      </c>
      <c r="R322" s="38"/>
      <c r="S322" s="29"/>
      <c r="T322" s="31">
        <f>IF(base!R322&lt;&gt;"",VLOOKUP(R322,de_para!$A$1:$B$31,2,0)*base!S322,0)</f>
        <v>0</v>
      </c>
      <c r="U322" s="30">
        <f t="shared" si="6"/>
        <v>0</v>
      </c>
    </row>
    <row r="323" spans="1:21" x14ac:dyDescent="0.35">
      <c r="A323" s="29"/>
      <c r="B323" s="29"/>
      <c r="C323" s="29"/>
      <c r="D323" s="29"/>
      <c r="E323" s="29"/>
      <c r="F323" s="29"/>
      <c r="G323" s="29"/>
      <c r="H323" s="31">
        <f>IF(base!F323&lt;&gt;"",VLOOKUP(F323,de_para!$A$1:$B$31,2,0)*base!G323,0)</f>
        <v>0</v>
      </c>
      <c r="I323" s="38"/>
      <c r="J323" s="29"/>
      <c r="K323" s="31">
        <f>IF(base!I323&lt;&gt;"",VLOOKUP(I323,de_para!$A$1:$B$31,2,0)*base!J323,0)</f>
        <v>0</v>
      </c>
      <c r="L323" s="38"/>
      <c r="M323" s="29"/>
      <c r="N323" s="31">
        <f>IF(base!L323&lt;&gt;"",VLOOKUP(L323,de_para!$A$1:$B$31,2,0)*base!M323,0)</f>
        <v>0</v>
      </c>
      <c r="O323" s="38"/>
      <c r="P323" s="29"/>
      <c r="Q323" s="31">
        <f>IF(base!O323&lt;&gt;"",VLOOKUP(O323,de_para!$A$1:$B$31,2,0)*base!P323,0)</f>
        <v>0</v>
      </c>
      <c r="R323" s="38"/>
      <c r="S323" s="29"/>
      <c r="T323" s="31">
        <f>IF(base!R323&lt;&gt;"",VLOOKUP(R323,de_para!$A$1:$B$31,2,0)*base!S323,0)</f>
        <v>0</v>
      </c>
      <c r="U323" s="30">
        <f t="shared" si="6"/>
        <v>0</v>
      </c>
    </row>
    <row r="324" spans="1:21" x14ac:dyDescent="0.35">
      <c r="A324" s="29"/>
      <c r="B324" s="29"/>
      <c r="C324" s="29"/>
      <c r="D324" s="29"/>
      <c r="E324" s="29"/>
      <c r="F324" s="29"/>
      <c r="G324" s="29"/>
      <c r="H324" s="31">
        <f>IF(base!F324&lt;&gt;"",VLOOKUP(F324,de_para!$A$1:$B$31,2,0)*base!G324,0)</f>
        <v>0</v>
      </c>
      <c r="I324" s="38"/>
      <c r="J324" s="29"/>
      <c r="K324" s="31">
        <f>IF(base!I324&lt;&gt;"",VLOOKUP(I324,de_para!$A$1:$B$31,2,0)*base!J324,0)</f>
        <v>0</v>
      </c>
      <c r="L324" s="38"/>
      <c r="M324" s="29"/>
      <c r="N324" s="31">
        <f>IF(base!L324&lt;&gt;"",VLOOKUP(L324,de_para!$A$1:$B$31,2,0)*base!M324,0)</f>
        <v>0</v>
      </c>
      <c r="O324" s="38"/>
      <c r="P324" s="29"/>
      <c r="Q324" s="31">
        <f>IF(base!O324&lt;&gt;"",VLOOKUP(O324,de_para!$A$1:$B$31,2,0)*base!P324,0)</f>
        <v>0</v>
      </c>
      <c r="R324" s="38"/>
      <c r="S324" s="29"/>
      <c r="T324" s="31">
        <f>IF(base!R324&lt;&gt;"",VLOOKUP(R324,de_para!$A$1:$B$31,2,0)*base!S324,0)</f>
        <v>0</v>
      </c>
      <c r="U324" s="30">
        <f t="shared" si="6"/>
        <v>0</v>
      </c>
    </row>
    <row r="325" spans="1:21" x14ac:dyDescent="0.35">
      <c r="A325" s="29"/>
      <c r="B325" s="29"/>
      <c r="C325" s="29"/>
      <c r="D325" s="29"/>
      <c r="E325" s="29"/>
      <c r="F325" s="29"/>
      <c r="G325" s="29"/>
      <c r="H325" s="31">
        <f>IF(base!F325&lt;&gt;"",VLOOKUP(F325,de_para!$A$1:$B$31,2,0)*base!G325,0)</f>
        <v>0</v>
      </c>
      <c r="I325" s="38"/>
      <c r="J325" s="29"/>
      <c r="K325" s="31">
        <f>IF(base!I325&lt;&gt;"",VLOOKUP(I325,de_para!$A$1:$B$31,2,0)*base!J325,0)</f>
        <v>0</v>
      </c>
      <c r="L325" s="38"/>
      <c r="M325" s="29"/>
      <c r="N325" s="31">
        <f>IF(base!L325&lt;&gt;"",VLOOKUP(L325,de_para!$A$1:$B$31,2,0)*base!M325,0)</f>
        <v>0</v>
      </c>
      <c r="O325" s="38"/>
      <c r="P325" s="29"/>
      <c r="Q325" s="31">
        <f>IF(base!O325&lt;&gt;"",VLOOKUP(O325,de_para!$A$1:$B$31,2,0)*base!P325,0)</f>
        <v>0</v>
      </c>
      <c r="R325" s="38"/>
      <c r="S325" s="29"/>
      <c r="T325" s="31">
        <f>IF(base!R325&lt;&gt;"",VLOOKUP(R325,de_para!$A$1:$B$31,2,0)*base!S325,0)</f>
        <v>0</v>
      </c>
      <c r="U325" s="30">
        <f t="shared" si="6"/>
        <v>0</v>
      </c>
    </row>
    <row r="326" spans="1:21" x14ac:dyDescent="0.35">
      <c r="A326" s="29"/>
      <c r="B326" s="29"/>
      <c r="C326" s="29"/>
      <c r="D326" s="29"/>
      <c r="E326" s="29"/>
      <c r="F326" s="29"/>
      <c r="G326" s="29"/>
      <c r="H326" s="31">
        <f>IF(base!F326&lt;&gt;"",VLOOKUP(F326,de_para!$A$1:$B$31,2,0)*base!G326,0)</f>
        <v>0</v>
      </c>
      <c r="I326" s="38"/>
      <c r="J326" s="29"/>
      <c r="K326" s="31">
        <f>IF(base!I326&lt;&gt;"",VLOOKUP(I326,de_para!$A$1:$B$31,2,0)*base!J326,0)</f>
        <v>0</v>
      </c>
      <c r="L326" s="38"/>
      <c r="M326" s="29"/>
      <c r="N326" s="31">
        <f>IF(base!L326&lt;&gt;"",VLOOKUP(L326,de_para!$A$1:$B$31,2,0)*base!M326,0)</f>
        <v>0</v>
      </c>
      <c r="O326" s="38"/>
      <c r="P326" s="29"/>
      <c r="Q326" s="31">
        <f>IF(base!O326&lt;&gt;"",VLOOKUP(O326,de_para!$A$1:$B$31,2,0)*base!P326,0)</f>
        <v>0</v>
      </c>
      <c r="R326" s="38"/>
      <c r="S326" s="29"/>
      <c r="T326" s="31">
        <f>IF(base!R326&lt;&gt;"",VLOOKUP(R326,de_para!$A$1:$B$31,2,0)*base!S326,0)</f>
        <v>0</v>
      </c>
      <c r="U326" s="30">
        <f t="shared" si="6"/>
        <v>0</v>
      </c>
    </row>
    <row r="327" spans="1:21" x14ac:dyDescent="0.35">
      <c r="A327" s="29"/>
      <c r="B327" s="29"/>
      <c r="C327" s="29"/>
      <c r="D327" s="29"/>
      <c r="E327" s="29"/>
      <c r="F327" s="29"/>
      <c r="G327" s="29"/>
      <c r="H327" s="31">
        <f>IF(base!F327&lt;&gt;"",VLOOKUP(F327,de_para!$A$1:$B$31,2,0)*base!G327,0)</f>
        <v>0</v>
      </c>
      <c r="I327" s="38"/>
      <c r="J327" s="29"/>
      <c r="K327" s="31">
        <f>IF(base!I327&lt;&gt;"",VLOOKUP(I327,de_para!$A$1:$B$31,2,0)*base!J327,0)</f>
        <v>0</v>
      </c>
      <c r="L327" s="38"/>
      <c r="M327" s="29"/>
      <c r="N327" s="31">
        <f>IF(base!L327&lt;&gt;"",VLOOKUP(L327,de_para!$A$1:$B$31,2,0)*base!M327,0)</f>
        <v>0</v>
      </c>
      <c r="O327" s="38"/>
      <c r="P327" s="29"/>
      <c r="Q327" s="31">
        <f>IF(base!O327&lt;&gt;"",VLOOKUP(O327,de_para!$A$1:$B$31,2,0)*base!P327,0)</f>
        <v>0</v>
      </c>
      <c r="R327" s="38"/>
      <c r="S327" s="29"/>
      <c r="T327" s="31">
        <f>IF(base!R327&lt;&gt;"",VLOOKUP(R327,de_para!$A$1:$B$31,2,0)*base!S327,0)</f>
        <v>0</v>
      </c>
      <c r="U327" s="30">
        <f t="shared" si="6"/>
        <v>0</v>
      </c>
    </row>
    <row r="328" spans="1:21" x14ac:dyDescent="0.35">
      <c r="A328" s="29"/>
      <c r="B328" s="29"/>
      <c r="C328" s="29"/>
      <c r="D328" s="29"/>
      <c r="E328" s="29"/>
      <c r="F328" s="29"/>
      <c r="G328" s="29"/>
      <c r="H328" s="31">
        <f>IF(base!F328&lt;&gt;"",VLOOKUP(F328,de_para!$A$1:$B$31,2,0)*base!G328,0)</f>
        <v>0</v>
      </c>
      <c r="I328" s="38"/>
      <c r="J328" s="29"/>
      <c r="K328" s="31">
        <f>IF(base!I328&lt;&gt;"",VLOOKUP(I328,de_para!$A$1:$B$31,2,0)*base!J328,0)</f>
        <v>0</v>
      </c>
      <c r="L328" s="38"/>
      <c r="M328" s="29"/>
      <c r="N328" s="31">
        <f>IF(base!L328&lt;&gt;"",VLOOKUP(L328,de_para!$A$1:$B$31,2,0)*base!M328,0)</f>
        <v>0</v>
      </c>
      <c r="O328" s="38"/>
      <c r="P328" s="29"/>
      <c r="Q328" s="31">
        <f>IF(base!O328&lt;&gt;"",VLOOKUP(O328,de_para!$A$1:$B$31,2,0)*base!P328,0)</f>
        <v>0</v>
      </c>
      <c r="R328" s="38"/>
      <c r="S328" s="29"/>
      <c r="T328" s="31">
        <f>IF(base!R328&lt;&gt;"",VLOOKUP(R328,de_para!$A$1:$B$31,2,0)*base!S328,0)</f>
        <v>0</v>
      </c>
      <c r="U328" s="30">
        <f t="shared" si="6"/>
        <v>0</v>
      </c>
    </row>
    <row r="329" spans="1:21" x14ac:dyDescent="0.35">
      <c r="A329" s="29"/>
      <c r="B329" s="29"/>
      <c r="C329" s="29"/>
      <c r="D329" s="29"/>
      <c r="E329" s="29"/>
      <c r="F329" s="29"/>
      <c r="G329" s="29"/>
      <c r="H329" s="31">
        <f>IF(base!F329&lt;&gt;"",VLOOKUP(F329,de_para!$A$1:$B$31,2,0)*base!G329,0)</f>
        <v>0</v>
      </c>
      <c r="I329" s="38"/>
      <c r="J329" s="29"/>
      <c r="K329" s="31">
        <f>IF(base!I329&lt;&gt;"",VLOOKUP(I329,de_para!$A$1:$B$31,2,0)*base!J329,0)</f>
        <v>0</v>
      </c>
      <c r="L329" s="38"/>
      <c r="M329" s="29"/>
      <c r="N329" s="31">
        <f>IF(base!L329&lt;&gt;"",VLOOKUP(L329,de_para!$A$1:$B$31,2,0)*base!M329,0)</f>
        <v>0</v>
      </c>
      <c r="O329" s="38"/>
      <c r="P329" s="29"/>
      <c r="Q329" s="31">
        <f>IF(base!O329&lt;&gt;"",VLOOKUP(O329,de_para!$A$1:$B$31,2,0)*base!P329,0)</f>
        <v>0</v>
      </c>
      <c r="R329" s="38"/>
      <c r="S329" s="29"/>
      <c r="T329" s="31">
        <f>IF(base!R329&lt;&gt;"",VLOOKUP(R329,de_para!$A$1:$B$31,2,0)*base!S329,0)</f>
        <v>0</v>
      </c>
      <c r="U329" s="30">
        <f t="shared" si="6"/>
        <v>0</v>
      </c>
    </row>
    <row r="330" spans="1:21" x14ac:dyDescent="0.35">
      <c r="A330" s="29"/>
      <c r="B330" s="29"/>
      <c r="C330" s="29"/>
      <c r="D330" s="29"/>
      <c r="E330" s="29"/>
      <c r="F330" s="29"/>
      <c r="G330" s="29"/>
      <c r="H330" s="31">
        <f>IF(base!F330&lt;&gt;"",VLOOKUP(F330,de_para!$A$1:$B$31,2,0)*base!G330,0)</f>
        <v>0</v>
      </c>
      <c r="I330" s="38"/>
      <c r="J330" s="29"/>
      <c r="K330" s="31">
        <f>IF(base!I330&lt;&gt;"",VLOOKUP(I330,de_para!$A$1:$B$31,2,0)*base!J330,0)</f>
        <v>0</v>
      </c>
      <c r="L330" s="38"/>
      <c r="M330" s="29"/>
      <c r="N330" s="31">
        <f>IF(base!L330&lt;&gt;"",VLOOKUP(L330,de_para!$A$1:$B$31,2,0)*base!M330,0)</f>
        <v>0</v>
      </c>
      <c r="O330" s="38"/>
      <c r="P330" s="29"/>
      <c r="Q330" s="31">
        <f>IF(base!O330&lt;&gt;"",VLOOKUP(O330,de_para!$A$1:$B$31,2,0)*base!P330,0)</f>
        <v>0</v>
      </c>
      <c r="R330" s="38"/>
      <c r="S330" s="29"/>
      <c r="T330" s="31">
        <f>IF(base!R330&lt;&gt;"",VLOOKUP(R330,de_para!$A$1:$B$31,2,0)*base!S330,0)</f>
        <v>0</v>
      </c>
      <c r="U330" s="30">
        <f t="shared" si="6"/>
        <v>0</v>
      </c>
    </row>
    <row r="331" spans="1:21" x14ac:dyDescent="0.35">
      <c r="A331" s="29"/>
      <c r="B331" s="29"/>
      <c r="C331" s="29"/>
      <c r="D331" s="29"/>
      <c r="E331" s="29"/>
      <c r="F331" s="29"/>
      <c r="G331" s="29"/>
      <c r="H331" s="31">
        <f>IF(base!F331&lt;&gt;"",VLOOKUP(F331,de_para!$A$1:$B$31,2,0)*base!G331,0)</f>
        <v>0</v>
      </c>
      <c r="I331" s="38"/>
      <c r="J331" s="29"/>
      <c r="K331" s="31">
        <f>IF(base!I331&lt;&gt;"",VLOOKUP(I331,de_para!$A$1:$B$31,2,0)*base!J331,0)</f>
        <v>0</v>
      </c>
      <c r="L331" s="38"/>
      <c r="M331" s="29"/>
      <c r="N331" s="31">
        <f>IF(base!L331&lt;&gt;"",VLOOKUP(L331,de_para!$A$1:$B$31,2,0)*base!M331,0)</f>
        <v>0</v>
      </c>
      <c r="O331" s="38"/>
      <c r="P331" s="29"/>
      <c r="Q331" s="31">
        <f>IF(base!O331&lt;&gt;"",VLOOKUP(O331,de_para!$A$1:$B$31,2,0)*base!P331,0)</f>
        <v>0</v>
      </c>
      <c r="R331" s="38"/>
      <c r="S331" s="29"/>
      <c r="T331" s="31">
        <f>IF(base!R331&lt;&gt;"",VLOOKUP(R331,de_para!$A$1:$B$31,2,0)*base!S331,0)</f>
        <v>0</v>
      </c>
      <c r="U331" s="30">
        <f t="shared" si="6"/>
        <v>0</v>
      </c>
    </row>
    <row r="332" spans="1:21" x14ac:dyDescent="0.35">
      <c r="A332" s="29"/>
      <c r="B332" s="29"/>
      <c r="C332" s="29"/>
      <c r="D332" s="29"/>
      <c r="E332" s="29"/>
      <c r="F332" s="29"/>
      <c r="G332" s="29"/>
      <c r="H332" s="31">
        <f>IF(base!F332&lt;&gt;"",VLOOKUP(F332,de_para!$A$1:$B$31,2,0)*base!G332,0)</f>
        <v>0</v>
      </c>
      <c r="I332" s="38"/>
      <c r="J332" s="29"/>
      <c r="K332" s="31">
        <f>IF(base!I332&lt;&gt;"",VLOOKUP(I332,de_para!$A$1:$B$31,2,0)*base!J332,0)</f>
        <v>0</v>
      </c>
      <c r="L332" s="38"/>
      <c r="M332" s="29"/>
      <c r="N332" s="31">
        <f>IF(base!L332&lt;&gt;"",VLOOKUP(L332,de_para!$A$1:$B$31,2,0)*base!M332,0)</f>
        <v>0</v>
      </c>
      <c r="O332" s="38"/>
      <c r="P332" s="29"/>
      <c r="Q332" s="31">
        <f>IF(base!O332&lt;&gt;"",VLOOKUP(O332,de_para!$A$1:$B$31,2,0)*base!P332,0)</f>
        <v>0</v>
      </c>
      <c r="R332" s="38"/>
      <c r="S332" s="29"/>
      <c r="T332" s="31">
        <f>IF(base!R332&lt;&gt;"",VLOOKUP(R332,de_para!$A$1:$B$31,2,0)*base!S332,0)</f>
        <v>0</v>
      </c>
      <c r="U332" s="30">
        <f t="shared" si="6"/>
        <v>0</v>
      </c>
    </row>
    <row r="333" spans="1:21" x14ac:dyDescent="0.35">
      <c r="A333" s="29"/>
      <c r="B333" s="29"/>
      <c r="C333" s="29"/>
      <c r="D333" s="29"/>
      <c r="E333" s="29"/>
      <c r="F333" s="29"/>
      <c r="G333" s="29"/>
      <c r="H333" s="31">
        <f>IF(base!F333&lt;&gt;"",VLOOKUP(F333,de_para!$A$1:$B$31,2,0)*base!G333,0)</f>
        <v>0</v>
      </c>
      <c r="I333" s="38"/>
      <c r="J333" s="29"/>
      <c r="K333" s="31">
        <f>IF(base!I333&lt;&gt;"",VLOOKUP(I333,de_para!$A$1:$B$31,2,0)*base!J333,0)</f>
        <v>0</v>
      </c>
      <c r="L333" s="38"/>
      <c r="M333" s="29"/>
      <c r="N333" s="31">
        <f>IF(base!L333&lt;&gt;"",VLOOKUP(L333,de_para!$A$1:$B$31,2,0)*base!M333,0)</f>
        <v>0</v>
      </c>
      <c r="O333" s="38"/>
      <c r="P333" s="29"/>
      <c r="Q333" s="31">
        <f>IF(base!O333&lt;&gt;"",VLOOKUP(O333,de_para!$A$1:$B$31,2,0)*base!P333,0)</f>
        <v>0</v>
      </c>
      <c r="R333" s="38"/>
      <c r="S333" s="29"/>
      <c r="T333" s="31">
        <f>IF(base!R333&lt;&gt;"",VLOOKUP(R333,de_para!$A$1:$B$31,2,0)*base!S333,0)</f>
        <v>0</v>
      </c>
      <c r="U333" s="30">
        <f t="shared" si="6"/>
        <v>0</v>
      </c>
    </row>
    <row r="334" spans="1:21" x14ac:dyDescent="0.35">
      <c r="A334" s="29"/>
      <c r="B334" s="29"/>
      <c r="C334" s="29"/>
      <c r="D334" s="29"/>
      <c r="E334" s="29"/>
      <c r="F334" s="29"/>
      <c r="G334" s="29"/>
      <c r="H334" s="31">
        <f>IF(base!F334&lt;&gt;"",VLOOKUP(F334,de_para!$A$1:$B$31,2,0)*base!G334,0)</f>
        <v>0</v>
      </c>
      <c r="I334" s="38"/>
      <c r="J334" s="29"/>
      <c r="K334" s="31">
        <f>IF(base!I334&lt;&gt;"",VLOOKUP(I334,de_para!$A$1:$B$31,2,0)*base!J334,0)</f>
        <v>0</v>
      </c>
      <c r="L334" s="38"/>
      <c r="M334" s="29"/>
      <c r="N334" s="31">
        <f>IF(base!L334&lt;&gt;"",VLOOKUP(L334,de_para!$A$1:$B$31,2,0)*base!M334,0)</f>
        <v>0</v>
      </c>
      <c r="O334" s="38"/>
      <c r="P334" s="29"/>
      <c r="Q334" s="31">
        <f>IF(base!O334&lt;&gt;"",VLOOKUP(O334,de_para!$A$1:$B$31,2,0)*base!P334,0)</f>
        <v>0</v>
      </c>
      <c r="R334" s="38"/>
      <c r="S334" s="29"/>
      <c r="T334" s="31">
        <f>IF(base!R334&lt;&gt;"",VLOOKUP(R334,de_para!$A$1:$B$31,2,0)*base!S334,0)</f>
        <v>0</v>
      </c>
      <c r="U334" s="30">
        <f t="shared" si="6"/>
        <v>0</v>
      </c>
    </row>
    <row r="335" spans="1:21" x14ac:dyDescent="0.35">
      <c r="A335" s="29"/>
      <c r="B335" s="29"/>
      <c r="C335" s="29"/>
      <c r="D335" s="29"/>
      <c r="E335" s="29"/>
      <c r="F335" s="29"/>
      <c r="G335" s="29"/>
      <c r="H335" s="31">
        <f>IF(base!F335&lt;&gt;"",VLOOKUP(F335,de_para!$A$1:$B$31,2,0)*base!G335,0)</f>
        <v>0</v>
      </c>
      <c r="I335" s="38"/>
      <c r="J335" s="29"/>
      <c r="K335" s="31">
        <f>IF(base!I335&lt;&gt;"",VLOOKUP(I335,de_para!$A$1:$B$31,2,0)*base!J335,0)</f>
        <v>0</v>
      </c>
      <c r="L335" s="38"/>
      <c r="M335" s="29"/>
      <c r="N335" s="31">
        <f>IF(base!L335&lt;&gt;"",VLOOKUP(L335,de_para!$A$1:$B$31,2,0)*base!M335,0)</f>
        <v>0</v>
      </c>
      <c r="O335" s="38"/>
      <c r="P335" s="29"/>
      <c r="Q335" s="31">
        <f>IF(base!O335&lt;&gt;"",VLOOKUP(O335,de_para!$A$1:$B$31,2,0)*base!P335,0)</f>
        <v>0</v>
      </c>
      <c r="R335" s="38"/>
      <c r="S335" s="29"/>
      <c r="T335" s="31">
        <f>IF(base!R335&lt;&gt;"",VLOOKUP(R335,de_para!$A$1:$B$31,2,0)*base!S335,0)</f>
        <v>0</v>
      </c>
      <c r="U335" s="30">
        <f t="shared" si="6"/>
        <v>0</v>
      </c>
    </row>
    <row r="336" spans="1:21" x14ac:dyDescent="0.35">
      <c r="A336" s="29"/>
      <c r="B336" s="29"/>
      <c r="C336" s="29"/>
      <c r="D336" s="29"/>
      <c r="E336" s="29"/>
      <c r="F336" s="29"/>
      <c r="G336" s="29"/>
      <c r="H336" s="31">
        <f>IF(base!F336&lt;&gt;"",VLOOKUP(F336,de_para!$A$1:$B$31,2,0)*base!G336,0)</f>
        <v>0</v>
      </c>
      <c r="I336" s="38"/>
      <c r="J336" s="29"/>
      <c r="K336" s="31">
        <f>IF(base!I336&lt;&gt;"",VLOOKUP(I336,de_para!$A$1:$B$31,2,0)*base!J336,0)</f>
        <v>0</v>
      </c>
      <c r="L336" s="38"/>
      <c r="M336" s="29"/>
      <c r="N336" s="31">
        <f>IF(base!L336&lt;&gt;"",VLOOKUP(L336,de_para!$A$1:$B$31,2,0)*base!M336,0)</f>
        <v>0</v>
      </c>
      <c r="O336" s="38"/>
      <c r="P336" s="29"/>
      <c r="Q336" s="31">
        <f>IF(base!O336&lt;&gt;"",VLOOKUP(O336,de_para!$A$1:$B$31,2,0)*base!P336,0)</f>
        <v>0</v>
      </c>
      <c r="R336" s="38"/>
      <c r="S336" s="29"/>
      <c r="T336" s="31">
        <f>IF(base!R336&lt;&gt;"",VLOOKUP(R336,de_para!$A$1:$B$31,2,0)*base!S336,0)</f>
        <v>0</v>
      </c>
      <c r="U336" s="30">
        <f t="shared" si="6"/>
        <v>0</v>
      </c>
    </row>
    <row r="337" spans="1:21" x14ac:dyDescent="0.35">
      <c r="A337" s="29"/>
      <c r="B337" s="29"/>
      <c r="C337" s="29"/>
      <c r="D337" s="29"/>
      <c r="E337" s="29"/>
      <c r="F337" s="29"/>
      <c r="G337" s="29"/>
      <c r="H337" s="31">
        <f>IF(base!F337&lt;&gt;"",VLOOKUP(F337,de_para!$A$1:$B$31,2,0)*base!G337,0)</f>
        <v>0</v>
      </c>
      <c r="I337" s="38"/>
      <c r="J337" s="29"/>
      <c r="K337" s="31">
        <f>IF(base!I337&lt;&gt;"",VLOOKUP(I337,de_para!$A$1:$B$31,2,0)*base!J337,0)</f>
        <v>0</v>
      </c>
      <c r="L337" s="38"/>
      <c r="M337" s="29"/>
      <c r="N337" s="31">
        <f>IF(base!L337&lt;&gt;"",VLOOKUP(L337,de_para!$A$1:$B$31,2,0)*base!M337,0)</f>
        <v>0</v>
      </c>
      <c r="O337" s="38"/>
      <c r="P337" s="29"/>
      <c r="Q337" s="31">
        <f>IF(base!O337&lt;&gt;"",VLOOKUP(O337,de_para!$A$1:$B$31,2,0)*base!P337,0)</f>
        <v>0</v>
      </c>
      <c r="R337" s="38"/>
      <c r="S337" s="29"/>
      <c r="T337" s="31">
        <f>IF(base!R337&lt;&gt;"",VLOOKUP(R337,de_para!$A$1:$B$31,2,0)*base!S337,0)</f>
        <v>0</v>
      </c>
      <c r="U337" s="30">
        <f t="shared" si="6"/>
        <v>0</v>
      </c>
    </row>
    <row r="338" spans="1:21" x14ac:dyDescent="0.35">
      <c r="A338" s="29"/>
      <c r="B338" s="29"/>
      <c r="C338" s="29"/>
      <c r="D338" s="29"/>
      <c r="E338" s="29"/>
      <c r="F338" s="29"/>
      <c r="G338" s="29"/>
      <c r="H338" s="31">
        <f>IF(base!F338&lt;&gt;"",VLOOKUP(F338,de_para!$A$1:$B$31,2,0)*base!G338,0)</f>
        <v>0</v>
      </c>
      <c r="I338" s="38"/>
      <c r="J338" s="29"/>
      <c r="K338" s="31">
        <f>IF(base!I338&lt;&gt;"",VLOOKUP(I338,de_para!$A$1:$B$31,2,0)*base!J338,0)</f>
        <v>0</v>
      </c>
      <c r="L338" s="38"/>
      <c r="M338" s="29"/>
      <c r="N338" s="31">
        <f>IF(base!L338&lt;&gt;"",VLOOKUP(L338,de_para!$A$1:$B$31,2,0)*base!M338,0)</f>
        <v>0</v>
      </c>
      <c r="O338" s="38"/>
      <c r="P338" s="29"/>
      <c r="Q338" s="31">
        <f>IF(base!O338&lt;&gt;"",VLOOKUP(O338,de_para!$A$1:$B$31,2,0)*base!P338,0)</f>
        <v>0</v>
      </c>
      <c r="R338" s="38"/>
      <c r="S338" s="29"/>
      <c r="T338" s="31">
        <f>IF(base!R338&lt;&gt;"",VLOOKUP(R338,de_para!$A$1:$B$31,2,0)*base!S338,0)</f>
        <v>0</v>
      </c>
      <c r="U338" s="30">
        <f t="shared" si="6"/>
        <v>0</v>
      </c>
    </row>
    <row r="339" spans="1:21" x14ac:dyDescent="0.35">
      <c r="A339" s="29"/>
      <c r="B339" s="29"/>
      <c r="C339" s="29"/>
      <c r="D339" s="29"/>
      <c r="E339" s="29"/>
      <c r="F339" s="29"/>
      <c r="G339" s="29"/>
      <c r="H339" s="31">
        <f>IF(base!F339&lt;&gt;"",VLOOKUP(F339,de_para!$A$1:$B$31,2,0)*base!G339,0)</f>
        <v>0</v>
      </c>
      <c r="I339" s="38"/>
      <c r="J339" s="29"/>
      <c r="K339" s="31">
        <f>IF(base!I339&lt;&gt;"",VLOOKUP(I339,de_para!$A$1:$B$31,2,0)*base!J339,0)</f>
        <v>0</v>
      </c>
      <c r="L339" s="38"/>
      <c r="M339" s="29"/>
      <c r="N339" s="31">
        <f>IF(base!L339&lt;&gt;"",VLOOKUP(L339,de_para!$A$1:$B$31,2,0)*base!M339,0)</f>
        <v>0</v>
      </c>
      <c r="O339" s="38"/>
      <c r="P339" s="29"/>
      <c r="Q339" s="31">
        <f>IF(base!O339&lt;&gt;"",VLOOKUP(O339,de_para!$A$1:$B$31,2,0)*base!P339,0)</f>
        <v>0</v>
      </c>
      <c r="R339" s="38"/>
      <c r="S339" s="29"/>
      <c r="T339" s="31">
        <f>IF(base!R339&lt;&gt;"",VLOOKUP(R339,de_para!$A$1:$B$31,2,0)*base!S339,0)</f>
        <v>0</v>
      </c>
      <c r="U339" s="30">
        <f t="shared" si="6"/>
        <v>0</v>
      </c>
    </row>
    <row r="340" spans="1:21" x14ac:dyDescent="0.35">
      <c r="A340" s="29"/>
      <c r="B340" s="29"/>
      <c r="C340" s="29"/>
      <c r="D340" s="29"/>
      <c r="E340" s="29"/>
      <c r="F340" s="29"/>
      <c r="G340" s="29"/>
      <c r="H340" s="31">
        <f>IF(base!F340&lt;&gt;"",VLOOKUP(F340,de_para!$A$1:$B$31,2,0)*base!G340,0)</f>
        <v>0</v>
      </c>
      <c r="I340" s="38"/>
      <c r="J340" s="29"/>
      <c r="K340" s="31">
        <f>IF(base!I340&lt;&gt;"",VLOOKUP(I340,de_para!$A$1:$B$31,2,0)*base!J340,0)</f>
        <v>0</v>
      </c>
      <c r="L340" s="38"/>
      <c r="M340" s="29"/>
      <c r="N340" s="31">
        <f>IF(base!L340&lt;&gt;"",VLOOKUP(L340,de_para!$A$1:$B$31,2,0)*base!M340,0)</f>
        <v>0</v>
      </c>
      <c r="O340" s="38"/>
      <c r="P340" s="29"/>
      <c r="Q340" s="31">
        <f>IF(base!O340&lt;&gt;"",VLOOKUP(O340,de_para!$A$1:$B$31,2,0)*base!P340,0)</f>
        <v>0</v>
      </c>
      <c r="R340" s="38"/>
      <c r="S340" s="29"/>
      <c r="T340" s="31">
        <f>IF(base!R340&lt;&gt;"",VLOOKUP(R340,de_para!$A$1:$B$31,2,0)*base!S340,0)</f>
        <v>0</v>
      </c>
      <c r="U340" s="30">
        <f t="shared" si="6"/>
        <v>0</v>
      </c>
    </row>
    <row r="341" spans="1:21" x14ac:dyDescent="0.35">
      <c r="A341" s="29"/>
      <c r="B341" s="29"/>
      <c r="C341" s="29"/>
      <c r="D341" s="29"/>
      <c r="E341" s="29"/>
      <c r="F341" s="29"/>
      <c r="G341" s="29"/>
      <c r="H341" s="31">
        <f>IF(base!F341&lt;&gt;"",VLOOKUP(F341,de_para!$A$1:$B$31,2,0)*base!G341,0)</f>
        <v>0</v>
      </c>
      <c r="I341" s="38"/>
      <c r="J341" s="29"/>
      <c r="K341" s="31">
        <f>IF(base!I341&lt;&gt;"",VLOOKUP(I341,de_para!$A$1:$B$31,2,0)*base!J341,0)</f>
        <v>0</v>
      </c>
      <c r="L341" s="38"/>
      <c r="M341" s="29"/>
      <c r="N341" s="31">
        <f>IF(base!L341&lt;&gt;"",VLOOKUP(L341,de_para!$A$1:$B$31,2,0)*base!M341,0)</f>
        <v>0</v>
      </c>
      <c r="O341" s="38"/>
      <c r="P341" s="29"/>
      <c r="Q341" s="31">
        <f>IF(base!O341&lt;&gt;"",VLOOKUP(O341,de_para!$A$1:$B$31,2,0)*base!P341,0)</f>
        <v>0</v>
      </c>
      <c r="R341" s="38"/>
      <c r="S341" s="29"/>
      <c r="T341" s="31">
        <f>IF(base!R341&lt;&gt;"",VLOOKUP(R341,de_para!$A$1:$B$31,2,0)*base!S341,0)</f>
        <v>0</v>
      </c>
      <c r="U341" s="30">
        <f t="shared" si="6"/>
        <v>0</v>
      </c>
    </row>
    <row r="342" spans="1:21" x14ac:dyDescent="0.35">
      <c r="A342" s="29"/>
      <c r="B342" s="29"/>
      <c r="C342" s="29"/>
      <c r="D342" s="29"/>
      <c r="E342" s="29"/>
      <c r="F342" s="29"/>
      <c r="G342" s="29"/>
      <c r="H342" s="31">
        <f>IF(base!F342&lt;&gt;"",VLOOKUP(F342,de_para!$A$1:$B$31,2,0)*base!G342,0)</f>
        <v>0</v>
      </c>
      <c r="I342" s="38"/>
      <c r="J342" s="29"/>
      <c r="K342" s="31">
        <f>IF(base!I342&lt;&gt;"",VLOOKUP(I342,de_para!$A$1:$B$31,2,0)*base!J342,0)</f>
        <v>0</v>
      </c>
      <c r="L342" s="38"/>
      <c r="M342" s="29"/>
      <c r="N342" s="31">
        <f>IF(base!L342&lt;&gt;"",VLOOKUP(L342,de_para!$A$1:$B$31,2,0)*base!M342,0)</f>
        <v>0</v>
      </c>
      <c r="O342" s="38"/>
      <c r="P342" s="29"/>
      <c r="Q342" s="31">
        <f>IF(base!O342&lt;&gt;"",VLOOKUP(O342,de_para!$A$1:$B$31,2,0)*base!P342,0)</f>
        <v>0</v>
      </c>
      <c r="R342" s="38"/>
      <c r="S342" s="29"/>
      <c r="T342" s="31">
        <f>IF(base!R342&lt;&gt;"",VLOOKUP(R342,de_para!$A$1:$B$31,2,0)*base!S342,0)</f>
        <v>0</v>
      </c>
      <c r="U342" s="30">
        <f t="shared" si="6"/>
        <v>0</v>
      </c>
    </row>
    <row r="343" spans="1:21" x14ac:dyDescent="0.35">
      <c r="A343" s="29"/>
      <c r="B343" s="29"/>
      <c r="C343" s="29"/>
      <c r="D343" s="29"/>
      <c r="E343" s="29"/>
      <c r="F343" s="29"/>
      <c r="G343" s="29"/>
      <c r="H343" s="31">
        <f>IF(base!F343&lt;&gt;"",VLOOKUP(F343,de_para!$A$1:$B$31,2,0)*base!G343,0)</f>
        <v>0</v>
      </c>
      <c r="I343" s="38"/>
      <c r="J343" s="29"/>
      <c r="K343" s="31">
        <f>IF(base!I343&lt;&gt;"",VLOOKUP(I343,de_para!$A$1:$B$31,2,0)*base!J343,0)</f>
        <v>0</v>
      </c>
      <c r="L343" s="38"/>
      <c r="M343" s="29"/>
      <c r="N343" s="31">
        <f>IF(base!L343&lt;&gt;"",VLOOKUP(L343,de_para!$A$1:$B$31,2,0)*base!M343,0)</f>
        <v>0</v>
      </c>
      <c r="O343" s="38"/>
      <c r="P343" s="29"/>
      <c r="Q343" s="31">
        <f>IF(base!O343&lt;&gt;"",VLOOKUP(O343,de_para!$A$1:$B$31,2,0)*base!P343,0)</f>
        <v>0</v>
      </c>
      <c r="R343" s="38"/>
      <c r="S343" s="29"/>
      <c r="T343" s="31">
        <f>IF(base!R343&lt;&gt;"",VLOOKUP(R343,de_para!$A$1:$B$31,2,0)*base!S343,0)</f>
        <v>0</v>
      </c>
      <c r="U343" s="30">
        <f t="shared" si="6"/>
        <v>0</v>
      </c>
    </row>
    <row r="344" spans="1:21" x14ac:dyDescent="0.35">
      <c r="A344" s="29"/>
      <c r="B344" s="29"/>
      <c r="C344" s="29"/>
      <c r="D344" s="29"/>
      <c r="E344" s="29"/>
      <c r="F344" s="29"/>
      <c r="G344" s="29"/>
      <c r="H344" s="31">
        <f>IF(base!F344&lt;&gt;"",VLOOKUP(F344,de_para!$A$1:$B$31,2,0)*base!G344,0)</f>
        <v>0</v>
      </c>
      <c r="I344" s="38"/>
      <c r="J344" s="29"/>
      <c r="K344" s="31">
        <f>IF(base!I344&lt;&gt;"",VLOOKUP(I344,de_para!$A$1:$B$31,2,0)*base!J344,0)</f>
        <v>0</v>
      </c>
      <c r="L344" s="38"/>
      <c r="M344" s="29"/>
      <c r="N344" s="31">
        <f>IF(base!L344&lt;&gt;"",VLOOKUP(L344,de_para!$A$1:$B$31,2,0)*base!M344,0)</f>
        <v>0</v>
      </c>
      <c r="O344" s="38"/>
      <c r="P344" s="29"/>
      <c r="Q344" s="31">
        <f>IF(base!O344&lt;&gt;"",VLOOKUP(O344,de_para!$A$1:$B$31,2,0)*base!P344,0)</f>
        <v>0</v>
      </c>
      <c r="R344" s="38"/>
      <c r="S344" s="29"/>
      <c r="T344" s="31">
        <f>IF(base!R344&lt;&gt;"",VLOOKUP(R344,de_para!$A$1:$B$31,2,0)*base!S344,0)</f>
        <v>0</v>
      </c>
      <c r="U344" s="30">
        <f t="shared" si="6"/>
        <v>0</v>
      </c>
    </row>
    <row r="345" spans="1:21" x14ac:dyDescent="0.35">
      <c r="A345" s="29"/>
      <c r="B345" s="29"/>
      <c r="C345" s="29"/>
      <c r="D345" s="29"/>
      <c r="E345" s="29"/>
      <c r="F345" s="29"/>
      <c r="G345" s="29"/>
      <c r="H345" s="31">
        <f>IF(base!F345&lt;&gt;"",VLOOKUP(F345,de_para!$A$1:$B$31,2,0)*base!G345,0)</f>
        <v>0</v>
      </c>
      <c r="I345" s="38"/>
      <c r="J345" s="29"/>
      <c r="K345" s="31">
        <f>IF(base!I345&lt;&gt;"",VLOOKUP(I345,de_para!$A$1:$B$31,2,0)*base!J345,0)</f>
        <v>0</v>
      </c>
      <c r="L345" s="38"/>
      <c r="M345" s="29"/>
      <c r="N345" s="31">
        <f>IF(base!L345&lt;&gt;"",VLOOKUP(L345,de_para!$A$1:$B$31,2,0)*base!M345,0)</f>
        <v>0</v>
      </c>
      <c r="O345" s="38"/>
      <c r="P345" s="29"/>
      <c r="Q345" s="31">
        <f>IF(base!O345&lt;&gt;"",VLOOKUP(O345,de_para!$A$1:$B$31,2,0)*base!P345,0)</f>
        <v>0</v>
      </c>
      <c r="R345" s="38"/>
      <c r="S345" s="29"/>
      <c r="T345" s="31">
        <f>IF(base!R345&lt;&gt;"",VLOOKUP(R345,de_para!$A$1:$B$31,2,0)*base!S345,0)</f>
        <v>0</v>
      </c>
      <c r="U345" s="30">
        <f t="shared" si="6"/>
        <v>0</v>
      </c>
    </row>
    <row r="346" spans="1:21" x14ac:dyDescent="0.35">
      <c r="A346" s="29"/>
      <c r="B346" s="29"/>
      <c r="C346" s="29"/>
      <c r="D346" s="29"/>
      <c r="E346" s="29"/>
      <c r="F346" s="29"/>
      <c r="G346" s="29"/>
      <c r="H346" s="31">
        <f>IF(base!F346&lt;&gt;"",VLOOKUP(F346,de_para!$A$1:$B$31,2,0)*base!G346,0)</f>
        <v>0</v>
      </c>
      <c r="I346" s="38"/>
      <c r="J346" s="29"/>
      <c r="K346" s="31">
        <f>IF(base!I346&lt;&gt;"",VLOOKUP(I346,de_para!$A$1:$B$31,2,0)*base!J346,0)</f>
        <v>0</v>
      </c>
      <c r="L346" s="38"/>
      <c r="M346" s="29"/>
      <c r="N346" s="31">
        <f>IF(base!L346&lt;&gt;"",VLOOKUP(L346,de_para!$A$1:$B$31,2,0)*base!M346,0)</f>
        <v>0</v>
      </c>
      <c r="O346" s="38"/>
      <c r="P346" s="29"/>
      <c r="Q346" s="31">
        <f>IF(base!O346&lt;&gt;"",VLOOKUP(O346,de_para!$A$1:$B$31,2,0)*base!P346,0)</f>
        <v>0</v>
      </c>
      <c r="R346" s="38"/>
      <c r="S346" s="29"/>
      <c r="T346" s="31">
        <f>IF(base!R346&lt;&gt;"",VLOOKUP(R346,de_para!$A$1:$B$31,2,0)*base!S346,0)</f>
        <v>0</v>
      </c>
      <c r="U346" s="30">
        <f t="shared" si="6"/>
        <v>0</v>
      </c>
    </row>
    <row r="347" spans="1:21" x14ac:dyDescent="0.35">
      <c r="A347" s="29"/>
      <c r="B347" s="29"/>
      <c r="C347" s="29"/>
      <c r="D347" s="29"/>
      <c r="E347" s="29"/>
      <c r="F347" s="29"/>
      <c r="G347" s="29"/>
      <c r="H347" s="31">
        <f>IF(base!F347&lt;&gt;"",VLOOKUP(F347,de_para!$A$1:$B$31,2,0)*base!G347,0)</f>
        <v>0</v>
      </c>
      <c r="I347" s="38"/>
      <c r="J347" s="29"/>
      <c r="K347" s="31">
        <f>IF(base!I347&lt;&gt;"",VLOOKUP(I347,de_para!$A$1:$B$31,2,0)*base!J347,0)</f>
        <v>0</v>
      </c>
      <c r="L347" s="38"/>
      <c r="M347" s="29"/>
      <c r="N347" s="31">
        <f>IF(base!L347&lt;&gt;"",VLOOKUP(L347,de_para!$A$1:$B$31,2,0)*base!M347,0)</f>
        <v>0</v>
      </c>
      <c r="O347" s="38"/>
      <c r="P347" s="29"/>
      <c r="Q347" s="31">
        <f>IF(base!O347&lt;&gt;"",VLOOKUP(O347,de_para!$A$1:$B$31,2,0)*base!P347,0)</f>
        <v>0</v>
      </c>
      <c r="R347" s="38"/>
      <c r="S347" s="29"/>
      <c r="T347" s="31">
        <f>IF(base!R347&lt;&gt;"",VLOOKUP(R347,de_para!$A$1:$B$31,2,0)*base!S347,0)</f>
        <v>0</v>
      </c>
      <c r="U347" s="30">
        <f t="shared" si="6"/>
        <v>0</v>
      </c>
    </row>
    <row r="348" spans="1:21" x14ac:dyDescent="0.35">
      <c r="A348" s="29"/>
      <c r="B348" s="29"/>
      <c r="C348" s="29"/>
      <c r="D348" s="29"/>
      <c r="E348" s="29"/>
      <c r="F348" s="29"/>
      <c r="G348" s="29"/>
      <c r="H348" s="31">
        <f>IF(base!F348&lt;&gt;"",VLOOKUP(F348,de_para!$A$1:$B$31,2,0)*base!G348,0)</f>
        <v>0</v>
      </c>
      <c r="I348" s="38"/>
      <c r="J348" s="29"/>
      <c r="K348" s="31">
        <f>IF(base!I348&lt;&gt;"",VLOOKUP(I348,de_para!$A$1:$B$31,2,0)*base!J348,0)</f>
        <v>0</v>
      </c>
      <c r="L348" s="38"/>
      <c r="M348" s="29"/>
      <c r="N348" s="31">
        <f>IF(base!L348&lt;&gt;"",VLOOKUP(L348,de_para!$A$1:$B$31,2,0)*base!M348,0)</f>
        <v>0</v>
      </c>
      <c r="O348" s="38"/>
      <c r="P348" s="29"/>
      <c r="Q348" s="31">
        <f>IF(base!O348&lt;&gt;"",VLOOKUP(O348,de_para!$A$1:$B$31,2,0)*base!P348,0)</f>
        <v>0</v>
      </c>
      <c r="R348" s="38"/>
      <c r="S348" s="29"/>
      <c r="T348" s="31">
        <f>IF(base!R348&lt;&gt;"",VLOOKUP(R348,de_para!$A$1:$B$31,2,0)*base!S348,0)</f>
        <v>0</v>
      </c>
      <c r="U348" s="30">
        <f t="shared" si="6"/>
        <v>0</v>
      </c>
    </row>
    <row r="349" spans="1:21" x14ac:dyDescent="0.35">
      <c r="A349" s="29"/>
      <c r="B349" s="29"/>
      <c r="C349" s="29"/>
      <c r="D349" s="29"/>
      <c r="E349" s="29"/>
      <c r="F349" s="29"/>
      <c r="G349" s="29"/>
      <c r="H349" s="31">
        <f>IF(base!F349&lt;&gt;"",VLOOKUP(F349,de_para!$A$1:$B$31,2,0)*base!G349,0)</f>
        <v>0</v>
      </c>
      <c r="I349" s="38"/>
      <c r="J349" s="29"/>
      <c r="K349" s="31">
        <f>IF(base!I349&lt;&gt;"",VLOOKUP(I349,de_para!$A$1:$B$31,2,0)*base!J349,0)</f>
        <v>0</v>
      </c>
      <c r="L349" s="38"/>
      <c r="M349" s="29"/>
      <c r="N349" s="31">
        <f>IF(base!L349&lt;&gt;"",VLOOKUP(L349,de_para!$A$1:$B$31,2,0)*base!M349,0)</f>
        <v>0</v>
      </c>
      <c r="O349" s="38"/>
      <c r="P349" s="29"/>
      <c r="Q349" s="31">
        <f>IF(base!O349&lt;&gt;"",VLOOKUP(O349,de_para!$A$1:$B$31,2,0)*base!P349,0)</f>
        <v>0</v>
      </c>
      <c r="R349" s="38"/>
      <c r="S349" s="29"/>
      <c r="T349" s="31">
        <f>IF(base!R349&lt;&gt;"",VLOOKUP(R349,de_para!$A$1:$B$31,2,0)*base!S349,0)</f>
        <v>0</v>
      </c>
      <c r="U349" s="30">
        <f t="shared" si="6"/>
        <v>0</v>
      </c>
    </row>
    <row r="350" spans="1:21" x14ac:dyDescent="0.35">
      <c r="A350" s="29"/>
      <c r="B350" s="29"/>
      <c r="C350" s="29"/>
      <c r="D350" s="29"/>
      <c r="E350" s="29"/>
      <c r="F350" s="29"/>
      <c r="G350" s="29"/>
      <c r="H350" s="31">
        <f>IF(base!F350&lt;&gt;"",VLOOKUP(F350,de_para!$A$1:$B$31,2,0)*base!G350,0)</f>
        <v>0</v>
      </c>
      <c r="I350" s="38"/>
      <c r="J350" s="29"/>
      <c r="K350" s="31">
        <f>IF(base!I350&lt;&gt;"",VLOOKUP(I350,de_para!$A$1:$B$31,2,0)*base!J350,0)</f>
        <v>0</v>
      </c>
      <c r="L350" s="38"/>
      <c r="M350" s="29"/>
      <c r="N350" s="31">
        <f>IF(base!L350&lt;&gt;"",VLOOKUP(L350,de_para!$A$1:$B$31,2,0)*base!M350,0)</f>
        <v>0</v>
      </c>
      <c r="O350" s="38"/>
      <c r="P350" s="29"/>
      <c r="Q350" s="31">
        <f>IF(base!O350&lt;&gt;"",VLOOKUP(O350,de_para!$A$1:$B$31,2,0)*base!P350,0)</f>
        <v>0</v>
      </c>
      <c r="R350" s="38"/>
      <c r="S350" s="29"/>
      <c r="T350" s="31">
        <f>IF(base!R350&lt;&gt;"",VLOOKUP(R350,de_para!$A$1:$B$31,2,0)*base!S350,0)</f>
        <v>0</v>
      </c>
      <c r="U350" s="30">
        <f t="shared" si="6"/>
        <v>0</v>
      </c>
    </row>
    <row r="351" spans="1:21" x14ac:dyDescent="0.35">
      <c r="A351" s="29"/>
      <c r="B351" s="29"/>
      <c r="C351" s="29"/>
      <c r="D351" s="29"/>
      <c r="E351" s="29"/>
      <c r="F351" s="29"/>
      <c r="G351" s="29"/>
      <c r="H351" s="31">
        <f>IF(base!F351&lt;&gt;"",VLOOKUP(F351,de_para!$A$1:$B$31,2,0)*base!G351,0)</f>
        <v>0</v>
      </c>
      <c r="I351" s="38"/>
      <c r="J351" s="29"/>
      <c r="K351" s="31">
        <f>IF(base!I351&lt;&gt;"",VLOOKUP(I351,de_para!$A$1:$B$31,2,0)*base!J351,0)</f>
        <v>0</v>
      </c>
      <c r="L351" s="38"/>
      <c r="M351" s="29"/>
      <c r="N351" s="31">
        <f>IF(base!L351&lt;&gt;"",VLOOKUP(L351,de_para!$A$1:$B$31,2,0)*base!M351,0)</f>
        <v>0</v>
      </c>
      <c r="O351" s="38"/>
      <c r="P351" s="29"/>
      <c r="Q351" s="31">
        <f>IF(base!O351&lt;&gt;"",VLOOKUP(O351,de_para!$A$1:$B$31,2,0)*base!P351,0)</f>
        <v>0</v>
      </c>
      <c r="R351" s="38"/>
      <c r="S351" s="29"/>
      <c r="T351" s="31">
        <f>IF(base!R351&lt;&gt;"",VLOOKUP(R351,de_para!$A$1:$B$31,2,0)*base!S351,0)</f>
        <v>0</v>
      </c>
      <c r="U351" s="30">
        <f t="shared" si="6"/>
        <v>0</v>
      </c>
    </row>
    <row r="352" spans="1:21" x14ac:dyDescent="0.35">
      <c r="A352" s="29"/>
      <c r="B352" s="29"/>
      <c r="C352" s="29"/>
      <c r="D352" s="29"/>
      <c r="E352" s="29"/>
      <c r="F352" s="29"/>
      <c r="G352" s="29"/>
      <c r="H352" s="31">
        <f>IF(base!F352&lt;&gt;"",VLOOKUP(F352,de_para!$A$1:$B$31,2,0)*base!G352,0)</f>
        <v>0</v>
      </c>
      <c r="I352" s="38"/>
      <c r="J352" s="29"/>
      <c r="K352" s="31">
        <f>IF(base!I352&lt;&gt;"",VLOOKUP(I352,de_para!$A$1:$B$31,2,0)*base!J352,0)</f>
        <v>0</v>
      </c>
      <c r="L352" s="38"/>
      <c r="M352" s="29"/>
      <c r="N352" s="31">
        <f>IF(base!L352&lt;&gt;"",VLOOKUP(L352,de_para!$A$1:$B$31,2,0)*base!M352,0)</f>
        <v>0</v>
      </c>
      <c r="O352" s="38"/>
      <c r="P352" s="29"/>
      <c r="Q352" s="31">
        <f>IF(base!O352&lt;&gt;"",VLOOKUP(O352,de_para!$A$1:$B$31,2,0)*base!P352,0)</f>
        <v>0</v>
      </c>
      <c r="R352" s="38"/>
      <c r="S352" s="29"/>
      <c r="T352" s="31">
        <f>IF(base!R352&lt;&gt;"",VLOOKUP(R352,de_para!$A$1:$B$31,2,0)*base!S352,0)</f>
        <v>0</v>
      </c>
      <c r="U352" s="30">
        <f t="shared" si="6"/>
        <v>0</v>
      </c>
    </row>
    <row r="353" spans="1:21" x14ac:dyDescent="0.35">
      <c r="A353" s="29"/>
      <c r="B353" s="29"/>
      <c r="C353" s="29"/>
      <c r="D353" s="29"/>
      <c r="E353" s="29"/>
      <c r="F353" s="29"/>
      <c r="G353" s="29"/>
      <c r="H353" s="31">
        <f>IF(base!F353&lt;&gt;"",VLOOKUP(F353,de_para!$A$1:$B$31,2,0)*base!G353,0)</f>
        <v>0</v>
      </c>
      <c r="I353" s="38"/>
      <c r="J353" s="29"/>
      <c r="K353" s="31">
        <f>IF(base!I353&lt;&gt;"",VLOOKUP(I353,de_para!$A$1:$B$31,2,0)*base!J353,0)</f>
        <v>0</v>
      </c>
      <c r="L353" s="38"/>
      <c r="M353" s="29"/>
      <c r="N353" s="31">
        <f>IF(base!L353&lt;&gt;"",VLOOKUP(L353,de_para!$A$1:$B$31,2,0)*base!M353,0)</f>
        <v>0</v>
      </c>
      <c r="O353" s="38"/>
      <c r="P353" s="29"/>
      <c r="Q353" s="31">
        <f>IF(base!O353&lt;&gt;"",VLOOKUP(O353,de_para!$A$1:$B$31,2,0)*base!P353,0)</f>
        <v>0</v>
      </c>
      <c r="R353" s="38"/>
      <c r="S353" s="29"/>
      <c r="T353" s="31">
        <f>IF(base!R353&lt;&gt;"",VLOOKUP(R353,de_para!$A$1:$B$31,2,0)*base!S353,0)</f>
        <v>0</v>
      </c>
      <c r="U353" s="30">
        <f t="shared" si="6"/>
        <v>0</v>
      </c>
    </row>
    <row r="354" spans="1:21" x14ac:dyDescent="0.35">
      <c r="A354" s="29"/>
      <c r="B354" s="29"/>
      <c r="C354" s="29"/>
      <c r="D354" s="29"/>
      <c r="E354" s="29"/>
      <c r="F354" s="29"/>
      <c r="G354" s="29"/>
      <c r="H354" s="31">
        <f>IF(base!F354&lt;&gt;"",VLOOKUP(F354,de_para!$A$1:$B$31,2,0)*base!G354,0)</f>
        <v>0</v>
      </c>
      <c r="I354" s="38"/>
      <c r="J354" s="29"/>
      <c r="K354" s="31">
        <f>IF(base!I354&lt;&gt;"",VLOOKUP(I354,de_para!$A$1:$B$31,2,0)*base!J354,0)</f>
        <v>0</v>
      </c>
      <c r="L354" s="38"/>
      <c r="M354" s="29"/>
      <c r="N354" s="31">
        <f>IF(base!L354&lt;&gt;"",VLOOKUP(L354,de_para!$A$1:$B$31,2,0)*base!M354,0)</f>
        <v>0</v>
      </c>
      <c r="O354" s="38"/>
      <c r="P354" s="29"/>
      <c r="Q354" s="31">
        <f>IF(base!O354&lt;&gt;"",VLOOKUP(O354,de_para!$A$1:$B$31,2,0)*base!P354,0)</f>
        <v>0</v>
      </c>
      <c r="R354" s="38"/>
      <c r="S354" s="29"/>
      <c r="T354" s="31">
        <f>IF(base!R354&lt;&gt;"",VLOOKUP(R354,de_para!$A$1:$B$31,2,0)*base!S354,0)</f>
        <v>0</v>
      </c>
      <c r="U354" s="30">
        <f t="shared" si="6"/>
        <v>0</v>
      </c>
    </row>
    <row r="355" spans="1:21" x14ac:dyDescent="0.35">
      <c r="A355" s="29"/>
      <c r="B355" s="29"/>
      <c r="C355" s="29"/>
      <c r="D355" s="29"/>
      <c r="E355" s="29"/>
      <c r="F355" s="29"/>
      <c r="G355" s="29"/>
      <c r="H355" s="31">
        <f>IF(base!F355&lt;&gt;"",VLOOKUP(F355,de_para!$A$1:$B$31,2,0)*base!G355,0)</f>
        <v>0</v>
      </c>
      <c r="I355" s="38"/>
      <c r="J355" s="29"/>
      <c r="K355" s="31">
        <f>IF(base!I355&lt;&gt;"",VLOOKUP(I355,de_para!$A$1:$B$31,2,0)*base!J355,0)</f>
        <v>0</v>
      </c>
      <c r="L355" s="38"/>
      <c r="M355" s="29"/>
      <c r="N355" s="31">
        <f>IF(base!L355&lt;&gt;"",VLOOKUP(L355,de_para!$A$1:$B$31,2,0)*base!M355,0)</f>
        <v>0</v>
      </c>
      <c r="O355" s="38"/>
      <c r="P355" s="29"/>
      <c r="Q355" s="31">
        <f>IF(base!O355&lt;&gt;"",VLOOKUP(O355,de_para!$A$1:$B$31,2,0)*base!P355,0)</f>
        <v>0</v>
      </c>
      <c r="R355" s="38"/>
      <c r="S355" s="29"/>
      <c r="T355" s="31">
        <f>IF(base!R355&lt;&gt;"",VLOOKUP(R355,de_para!$A$1:$B$31,2,0)*base!S355,0)</f>
        <v>0</v>
      </c>
      <c r="U355" s="30">
        <f t="shared" si="6"/>
        <v>0</v>
      </c>
    </row>
    <row r="356" spans="1:21" x14ac:dyDescent="0.35">
      <c r="A356" s="29"/>
      <c r="B356" s="29"/>
      <c r="C356" s="29"/>
      <c r="D356" s="29"/>
      <c r="E356" s="29"/>
      <c r="F356" s="29"/>
      <c r="G356" s="29"/>
      <c r="H356" s="31">
        <f>IF(base!F356&lt;&gt;"",VLOOKUP(F356,de_para!$A$1:$B$31,2,0)*base!G356,0)</f>
        <v>0</v>
      </c>
      <c r="I356" s="38"/>
      <c r="J356" s="29"/>
      <c r="K356" s="31">
        <f>IF(base!I356&lt;&gt;"",VLOOKUP(I356,de_para!$A$1:$B$31,2,0)*base!J356,0)</f>
        <v>0</v>
      </c>
      <c r="L356" s="38"/>
      <c r="M356" s="29"/>
      <c r="N356" s="31">
        <f>IF(base!L356&lt;&gt;"",VLOOKUP(L356,de_para!$A$1:$B$31,2,0)*base!M356,0)</f>
        <v>0</v>
      </c>
      <c r="O356" s="38"/>
      <c r="P356" s="29"/>
      <c r="Q356" s="31">
        <f>IF(base!O356&lt;&gt;"",VLOOKUP(O356,de_para!$A$1:$B$31,2,0)*base!P356,0)</f>
        <v>0</v>
      </c>
      <c r="R356" s="38"/>
      <c r="S356" s="29"/>
      <c r="T356" s="31">
        <f>IF(base!R356&lt;&gt;"",VLOOKUP(R356,de_para!$A$1:$B$31,2,0)*base!S356,0)</f>
        <v>0</v>
      </c>
      <c r="U356" s="30">
        <f t="shared" si="6"/>
        <v>0</v>
      </c>
    </row>
    <row r="357" spans="1:21" x14ac:dyDescent="0.35">
      <c r="A357" s="29"/>
      <c r="B357" s="29"/>
      <c r="C357" s="29"/>
      <c r="D357" s="29"/>
      <c r="E357" s="29"/>
      <c r="F357" s="29"/>
      <c r="G357" s="29"/>
      <c r="H357" s="31">
        <f>IF(base!F357&lt;&gt;"",VLOOKUP(F357,de_para!$A$1:$B$31,2,0)*base!G357,0)</f>
        <v>0</v>
      </c>
      <c r="I357" s="38"/>
      <c r="J357" s="29"/>
      <c r="K357" s="31">
        <f>IF(base!I357&lt;&gt;"",VLOOKUP(I357,de_para!$A$1:$B$31,2,0)*base!J357,0)</f>
        <v>0</v>
      </c>
      <c r="L357" s="38"/>
      <c r="M357" s="29"/>
      <c r="N357" s="31">
        <f>IF(base!L357&lt;&gt;"",VLOOKUP(L357,de_para!$A$1:$B$31,2,0)*base!M357,0)</f>
        <v>0</v>
      </c>
      <c r="O357" s="38"/>
      <c r="P357" s="29"/>
      <c r="Q357" s="31">
        <f>IF(base!O357&lt;&gt;"",VLOOKUP(O357,de_para!$A$1:$B$31,2,0)*base!P357,0)</f>
        <v>0</v>
      </c>
      <c r="R357" s="38"/>
      <c r="S357" s="29"/>
      <c r="T357" s="31">
        <f>IF(base!R357&lt;&gt;"",VLOOKUP(R357,de_para!$A$1:$B$31,2,0)*base!S357,0)</f>
        <v>0</v>
      </c>
      <c r="U357" s="30">
        <f t="shared" si="6"/>
        <v>0</v>
      </c>
    </row>
    <row r="358" spans="1:21" x14ac:dyDescent="0.35">
      <c r="A358" s="29"/>
      <c r="B358" s="29"/>
      <c r="C358" s="29"/>
      <c r="D358" s="29"/>
      <c r="E358" s="29"/>
      <c r="F358" s="29"/>
      <c r="G358" s="29"/>
      <c r="H358" s="31">
        <f>IF(base!F358&lt;&gt;"",VLOOKUP(F358,de_para!$A$1:$B$31,2,0)*base!G358,0)</f>
        <v>0</v>
      </c>
      <c r="I358" s="38"/>
      <c r="J358" s="29"/>
      <c r="K358" s="31">
        <f>IF(base!I358&lt;&gt;"",VLOOKUP(I358,de_para!$A$1:$B$31,2,0)*base!J358,0)</f>
        <v>0</v>
      </c>
      <c r="L358" s="38"/>
      <c r="M358" s="29"/>
      <c r="N358" s="31">
        <f>IF(base!L358&lt;&gt;"",VLOOKUP(L358,de_para!$A$1:$B$31,2,0)*base!M358,0)</f>
        <v>0</v>
      </c>
      <c r="O358" s="38"/>
      <c r="P358" s="29"/>
      <c r="Q358" s="31">
        <f>IF(base!O358&lt;&gt;"",VLOOKUP(O358,de_para!$A$1:$B$31,2,0)*base!P358,0)</f>
        <v>0</v>
      </c>
      <c r="R358" s="38"/>
      <c r="S358" s="29"/>
      <c r="T358" s="31">
        <f>IF(base!R358&lt;&gt;"",VLOOKUP(R358,de_para!$A$1:$B$31,2,0)*base!S358,0)</f>
        <v>0</v>
      </c>
      <c r="U358" s="30">
        <f t="shared" si="6"/>
        <v>0</v>
      </c>
    </row>
    <row r="359" spans="1:21" x14ac:dyDescent="0.35">
      <c r="A359" s="29"/>
      <c r="B359" s="29"/>
      <c r="C359" s="29"/>
      <c r="D359" s="29"/>
      <c r="E359" s="29"/>
      <c r="F359" s="29"/>
      <c r="G359" s="29"/>
      <c r="H359" s="31">
        <f>IF(base!F359&lt;&gt;"",VLOOKUP(F359,de_para!$A$1:$B$31,2,0)*base!G359,0)</f>
        <v>0</v>
      </c>
      <c r="I359" s="38"/>
      <c r="J359" s="29"/>
      <c r="K359" s="31">
        <f>IF(base!I359&lt;&gt;"",VLOOKUP(I359,de_para!$A$1:$B$31,2,0)*base!J359,0)</f>
        <v>0</v>
      </c>
      <c r="L359" s="38"/>
      <c r="M359" s="29"/>
      <c r="N359" s="31">
        <f>IF(base!L359&lt;&gt;"",VLOOKUP(L359,de_para!$A$1:$B$31,2,0)*base!M359,0)</f>
        <v>0</v>
      </c>
      <c r="O359" s="38"/>
      <c r="P359" s="29"/>
      <c r="Q359" s="31">
        <f>IF(base!O359&lt;&gt;"",VLOOKUP(O359,de_para!$A$1:$B$31,2,0)*base!P359,0)</f>
        <v>0</v>
      </c>
      <c r="R359" s="38"/>
      <c r="S359" s="29"/>
      <c r="T359" s="31">
        <f>IF(base!R359&lt;&gt;"",VLOOKUP(R359,de_para!$A$1:$B$31,2,0)*base!S359,0)</f>
        <v>0</v>
      </c>
      <c r="U359" s="30">
        <f t="shared" si="6"/>
        <v>0</v>
      </c>
    </row>
    <row r="360" spans="1:21" x14ac:dyDescent="0.35">
      <c r="A360" s="29"/>
      <c r="B360" s="29"/>
      <c r="C360" s="29"/>
      <c r="D360" s="29"/>
      <c r="E360" s="29"/>
      <c r="F360" s="29"/>
      <c r="G360" s="29"/>
      <c r="H360" s="31">
        <f>IF(base!F360&lt;&gt;"",VLOOKUP(F360,de_para!$A$1:$B$31,2,0)*base!G360,0)</f>
        <v>0</v>
      </c>
      <c r="I360" s="38"/>
      <c r="J360" s="29"/>
      <c r="K360" s="31">
        <f>IF(base!I360&lt;&gt;"",VLOOKUP(I360,de_para!$A$1:$B$31,2,0)*base!J360,0)</f>
        <v>0</v>
      </c>
      <c r="L360" s="38"/>
      <c r="M360" s="29"/>
      <c r="N360" s="31">
        <f>IF(base!L360&lt;&gt;"",VLOOKUP(L360,de_para!$A$1:$B$31,2,0)*base!M360,0)</f>
        <v>0</v>
      </c>
      <c r="O360" s="38"/>
      <c r="P360" s="29"/>
      <c r="Q360" s="31">
        <f>IF(base!O360&lt;&gt;"",VLOOKUP(O360,de_para!$A$1:$B$31,2,0)*base!P360,0)</f>
        <v>0</v>
      </c>
      <c r="R360" s="38"/>
      <c r="S360" s="29"/>
      <c r="T360" s="31">
        <f>IF(base!R360&lt;&gt;"",VLOOKUP(R360,de_para!$A$1:$B$31,2,0)*base!S360,0)</f>
        <v>0</v>
      </c>
      <c r="U360" s="30">
        <f t="shared" si="6"/>
        <v>0</v>
      </c>
    </row>
    <row r="361" spans="1:21" x14ac:dyDescent="0.35">
      <c r="A361" s="29"/>
      <c r="B361" s="29"/>
      <c r="C361" s="29"/>
      <c r="D361" s="29"/>
      <c r="E361" s="29"/>
      <c r="F361" s="29"/>
      <c r="G361" s="29"/>
      <c r="H361" s="31">
        <f>IF(base!F361&lt;&gt;"",VLOOKUP(F361,de_para!$A$1:$B$31,2,0)*base!G361,0)</f>
        <v>0</v>
      </c>
      <c r="I361" s="38"/>
      <c r="J361" s="29"/>
      <c r="K361" s="31">
        <f>IF(base!I361&lt;&gt;"",VLOOKUP(I361,de_para!$A$1:$B$31,2,0)*base!J361,0)</f>
        <v>0</v>
      </c>
      <c r="L361" s="38"/>
      <c r="M361" s="29"/>
      <c r="N361" s="31">
        <f>IF(base!L361&lt;&gt;"",VLOOKUP(L361,de_para!$A$1:$B$31,2,0)*base!M361,0)</f>
        <v>0</v>
      </c>
      <c r="O361" s="38"/>
      <c r="P361" s="29"/>
      <c r="Q361" s="31">
        <f>IF(base!O361&lt;&gt;"",VLOOKUP(O361,de_para!$A$1:$B$31,2,0)*base!P361,0)</f>
        <v>0</v>
      </c>
      <c r="R361" s="38"/>
      <c r="S361" s="29"/>
      <c r="T361" s="31">
        <f>IF(base!R361&lt;&gt;"",VLOOKUP(R361,de_para!$A$1:$B$31,2,0)*base!S361,0)</f>
        <v>0</v>
      </c>
      <c r="U361" s="30">
        <f t="shared" si="6"/>
        <v>0</v>
      </c>
    </row>
    <row r="362" spans="1:21" x14ac:dyDescent="0.35">
      <c r="A362" s="29"/>
      <c r="B362" s="29"/>
      <c r="C362" s="29"/>
      <c r="D362" s="29"/>
      <c r="E362" s="29"/>
      <c r="F362" s="29"/>
      <c r="G362" s="29"/>
      <c r="H362" s="31">
        <f>IF(base!F362&lt;&gt;"",VLOOKUP(F362,de_para!$A$1:$B$31,2,0)*base!G362,0)</f>
        <v>0</v>
      </c>
      <c r="I362" s="38"/>
      <c r="J362" s="29"/>
      <c r="K362" s="31">
        <f>IF(base!I362&lt;&gt;"",VLOOKUP(I362,de_para!$A$1:$B$31,2,0)*base!J362,0)</f>
        <v>0</v>
      </c>
      <c r="L362" s="38"/>
      <c r="M362" s="29"/>
      <c r="N362" s="31">
        <f>IF(base!L362&lt;&gt;"",VLOOKUP(L362,de_para!$A$1:$B$31,2,0)*base!M362,0)</f>
        <v>0</v>
      </c>
      <c r="O362" s="38"/>
      <c r="P362" s="29"/>
      <c r="Q362" s="31">
        <f>IF(base!O362&lt;&gt;"",VLOOKUP(O362,de_para!$A$1:$B$31,2,0)*base!P362,0)</f>
        <v>0</v>
      </c>
      <c r="R362" s="38"/>
      <c r="S362" s="29"/>
      <c r="T362" s="31">
        <f>IF(base!R362&lt;&gt;"",VLOOKUP(R362,de_para!$A$1:$B$31,2,0)*base!S362,0)</f>
        <v>0</v>
      </c>
      <c r="U362" s="30">
        <f t="shared" si="6"/>
        <v>0</v>
      </c>
    </row>
    <row r="363" spans="1:21" x14ac:dyDescent="0.35">
      <c r="A363" s="29"/>
      <c r="B363" s="29"/>
      <c r="C363" s="29"/>
      <c r="D363" s="29"/>
      <c r="E363" s="29"/>
      <c r="F363" s="29"/>
      <c r="G363" s="29"/>
      <c r="H363" s="31">
        <f>IF(base!F363&lt;&gt;"",VLOOKUP(F363,de_para!$A$1:$B$31,2,0)*base!G363,0)</f>
        <v>0</v>
      </c>
      <c r="I363" s="38"/>
      <c r="J363" s="29"/>
      <c r="K363" s="31">
        <f>IF(base!I363&lt;&gt;"",VLOOKUP(I363,de_para!$A$1:$B$31,2,0)*base!J363,0)</f>
        <v>0</v>
      </c>
      <c r="L363" s="38"/>
      <c r="M363" s="29"/>
      <c r="N363" s="31">
        <f>IF(base!L363&lt;&gt;"",VLOOKUP(L363,de_para!$A$1:$B$31,2,0)*base!M363,0)</f>
        <v>0</v>
      </c>
      <c r="O363" s="38"/>
      <c r="P363" s="29"/>
      <c r="Q363" s="31">
        <f>IF(base!O363&lt;&gt;"",VLOOKUP(O363,de_para!$A$1:$B$31,2,0)*base!P363,0)</f>
        <v>0</v>
      </c>
      <c r="R363" s="38"/>
      <c r="S363" s="29"/>
      <c r="T363" s="31">
        <f>IF(base!R363&lt;&gt;"",VLOOKUP(R363,de_para!$A$1:$B$31,2,0)*base!S363,0)</f>
        <v>0</v>
      </c>
      <c r="U363" s="30">
        <f t="shared" si="6"/>
        <v>0</v>
      </c>
    </row>
    <row r="364" spans="1:21" x14ac:dyDescent="0.35">
      <c r="A364" s="29"/>
      <c r="B364" s="29"/>
      <c r="C364" s="29"/>
      <c r="D364" s="29"/>
      <c r="E364" s="29"/>
      <c r="F364" s="29"/>
      <c r="G364" s="29"/>
      <c r="H364" s="31">
        <f>IF(base!F364&lt;&gt;"",VLOOKUP(F364,de_para!$A$1:$B$31,2,0)*base!G364,0)</f>
        <v>0</v>
      </c>
      <c r="I364" s="38"/>
      <c r="J364" s="29"/>
      <c r="K364" s="31">
        <f>IF(base!I364&lt;&gt;"",VLOOKUP(I364,de_para!$A$1:$B$31,2,0)*base!J364,0)</f>
        <v>0</v>
      </c>
      <c r="L364" s="38"/>
      <c r="M364" s="29"/>
      <c r="N364" s="31">
        <f>IF(base!L364&lt;&gt;"",VLOOKUP(L364,de_para!$A$1:$B$31,2,0)*base!M364,0)</f>
        <v>0</v>
      </c>
      <c r="O364" s="38"/>
      <c r="P364" s="29"/>
      <c r="Q364" s="31">
        <f>IF(base!O364&lt;&gt;"",VLOOKUP(O364,de_para!$A$1:$B$31,2,0)*base!P364,0)</f>
        <v>0</v>
      </c>
      <c r="R364" s="38"/>
      <c r="S364" s="29"/>
      <c r="T364" s="31">
        <f>IF(base!R364&lt;&gt;"",VLOOKUP(R364,de_para!$A$1:$B$31,2,0)*base!S364,0)</f>
        <v>0</v>
      </c>
      <c r="U364" s="30">
        <f t="shared" si="6"/>
        <v>0</v>
      </c>
    </row>
    <row r="365" spans="1:21" x14ac:dyDescent="0.35">
      <c r="A365" s="29"/>
      <c r="B365" s="29"/>
      <c r="C365" s="29"/>
      <c r="D365" s="29"/>
      <c r="E365" s="29"/>
      <c r="F365" s="29"/>
      <c r="G365" s="29"/>
      <c r="H365" s="31">
        <f>IF(base!F365&lt;&gt;"",VLOOKUP(F365,de_para!$A$1:$B$31,2,0)*base!G365,0)</f>
        <v>0</v>
      </c>
      <c r="I365" s="38"/>
      <c r="J365" s="29"/>
      <c r="K365" s="31">
        <f>IF(base!I365&lt;&gt;"",VLOOKUP(I365,de_para!$A$1:$B$31,2,0)*base!J365,0)</f>
        <v>0</v>
      </c>
      <c r="L365" s="38"/>
      <c r="M365" s="29"/>
      <c r="N365" s="31">
        <f>IF(base!L365&lt;&gt;"",VLOOKUP(L365,de_para!$A$1:$B$31,2,0)*base!M365,0)</f>
        <v>0</v>
      </c>
      <c r="O365" s="38"/>
      <c r="P365" s="29"/>
      <c r="Q365" s="31">
        <f>IF(base!O365&lt;&gt;"",VLOOKUP(O365,de_para!$A$1:$B$31,2,0)*base!P365,0)</f>
        <v>0</v>
      </c>
      <c r="R365" s="38"/>
      <c r="S365" s="29"/>
      <c r="T365" s="31">
        <f>IF(base!R365&lt;&gt;"",VLOOKUP(R365,de_para!$A$1:$B$31,2,0)*base!S365,0)</f>
        <v>0</v>
      </c>
      <c r="U365" s="30">
        <f t="shared" si="6"/>
        <v>0</v>
      </c>
    </row>
    <row r="366" spans="1:21" x14ac:dyDescent="0.35">
      <c r="A366" s="29"/>
      <c r="B366" s="29"/>
      <c r="C366" s="29"/>
      <c r="D366" s="29"/>
      <c r="E366" s="29"/>
      <c r="F366" s="29"/>
      <c r="G366" s="29"/>
      <c r="H366" s="31">
        <f>IF(base!F366&lt;&gt;"",VLOOKUP(F366,de_para!$A$1:$B$31,2,0)*base!G366,0)</f>
        <v>0</v>
      </c>
      <c r="I366" s="38"/>
      <c r="J366" s="29"/>
      <c r="K366" s="31">
        <f>IF(base!I366&lt;&gt;"",VLOOKUP(I366,de_para!$A$1:$B$31,2,0)*base!J366,0)</f>
        <v>0</v>
      </c>
      <c r="L366" s="38"/>
      <c r="M366" s="29"/>
      <c r="N366" s="31">
        <f>IF(base!L366&lt;&gt;"",VLOOKUP(L366,de_para!$A$1:$B$31,2,0)*base!M366,0)</f>
        <v>0</v>
      </c>
      <c r="O366" s="38"/>
      <c r="P366" s="29"/>
      <c r="Q366" s="31">
        <f>IF(base!O366&lt;&gt;"",VLOOKUP(O366,de_para!$A$1:$B$31,2,0)*base!P366,0)</f>
        <v>0</v>
      </c>
      <c r="R366" s="38"/>
      <c r="S366" s="29"/>
      <c r="T366" s="31">
        <f>IF(base!R366&lt;&gt;"",VLOOKUP(R366,de_para!$A$1:$B$31,2,0)*base!S366,0)</f>
        <v>0</v>
      </c>
      <c r="U366" s="30">
        <f t="shared" si="6"/>
        <v>0</v>
      </c>
    </row>
    <row r="367" spans="1:21" x14ac:dyDescent="0.35">
      <c r="A367" s="29"/>
      <c r="B367" s="29"/>
      <c r="C367" s="29"/>
      <c r="D367" s="29"/>
      <c r="E367" s="29"/>
      <c r="F367" s="29"/>
      <c r="G367" s="29"/>
      <c r="H367" s="31">
        <f>IF(base!F367&lt;&gt;"",VLOOKUP(F367,de_para!$A$1:$B$31,2,0)*base!G367,0)</f>
        <v>0</v>
      </c>
      <c r="I367" s="38"/>
      <c r="J367" s="29"/>
      <c r="K367" s="31">
        <f>IF(base!I367&lt;&gt;"",VLOOKUP(I367,de_para!$A$1:$B$31,2,0)*base!J367,0)</f>
        <v>0</v>
      </c>
      <c r="L367" s="38"/>
      <c r="M367" s="29"/>
      <c r="N367" s="31">
        <f>IF(base!L367&lt;&gt;"",VLOOKUP(L367,de_para!$A$1:$B$31,2,0)*base!M367,0)</f>
        <v>0</v>
      </c>
      <c r="O367" s="38"/>
      <c r="P367" s="29"/>
      <c r="Q367" s="31">
        <f>IF(base!O367&lt;&gt;"",VLOOKUP(O367,de_para!$A$1:$B$31,2,0)*base!P367,0)</f>
        <v>0</v>
      </c>
      <c r="R367" s="38"/>
      <c r="S367" s="29"/>
      <c r="T367" s="31">
        <f>IF(base!R367&lt;&gt;"",VLOOKUP(R367,de_para!$A$1:$B$31,2,0)*base!S367,0)</f>
        <v>0</v>
      </c>
      <c r="U367" s="30">
        <f t="shared" si="6"/>
        <v>0</v>
      </c>
    </row>
    <row r="368" spans="1:21" x14ac:dyDescent="0.35">
      <c r="A368" s="29"/>
      <c r="B368" s="29"/>
      <c r="C368" s="29"/>
      <c r="D368" s="29"/>
      <c r="E368" s="29"/>
      <c r="F368" s="29"/>
      <c r="G368" s="29"/>
      <c r="H368" s="31">
        <f>IF(base!F368&lt;&gt;"",VLOOKUP(F368,de_para!$A$1:$B$31,2,0)*base!G368,0)</f>
        <v>0</v>
      </c>
      <c r="I368" s="38"/>
      <c r="J368" s="29"/>
      <c r="K368" s="31">
        <f>IF(base!I368&lt;&gt;"",VLOOKUP(I368,de_para!$A$1:$B$31,2,0)*base!J368,0)</f>
        <v>0</v>
      </c>
      <c r="L368" s="38"/>
      <c r="M368" s="29"/>
      <c r="N368" s="31">
        <f>IF(base!L368&lt;&gt;"",VLOOKUP(L368,de_para!$A$1:$B$31,2,0)*base!M368,0)</f>
        <v>0</v>
      </c>
      <c r="O368" s="38"/>
      <c r="P368" s="29"/>
      <c r="Q368" s="31">
        <f>IF(base!O368&lt;&gt;"",VLOOKUP(O368,de_para!$A$1:$B$31,2,0)*base!P368,0)</f>
        <v>0</v>
      </c>
      <c r="R368" s="38"/>
      <c r="S368" s="29"/>
      <c r="T368" s="31">
        <f>IF(base!R368&lt;&gt;"",VLOOKUP(R368,de_para!$A$1:$B$31,2,0)*base!S368,0)</f>
        <v>0</v>
      </c>
      <c r="U368" s="30">
        <f t="shared" si="6"/>
        <v>0</v>
      </c>
    </row>
    <row r="369" spans="1:21" x14ac:dyDescent="0.35">
      <c r="A369" s="29"/>
      <c r="B369" s="29"/>
      <c r="C369" s="29"/>
      <c r="D369" s="29"/>
      <c r="E369" s="29"/>
      <c r="F369" s="29"/>
      <c r="G369" s="29"/>
      <c r="H369" s="31">
        <f>IF(base!F369&lt;&gt;"",VLOOKUP(F369,de_para!$A$1:$B$31,2,0)*base!G369,0)</f>
        <v>0</v>
      </c>
      <c r="I369" s="38"/>
      <c r="J369" s="29"/>
      <c r="K369" s="31">
        <f>IF(base!I369&lt;&gt;"",VLOOKUP(I369,de_para!$A$1:$B$31,2,0)*base!J369,0)</f>
        <v>0</v>
      </c>
      <c r="L369" s="38"/>
      <c r="M369" s="29"/>
      <c r="N369" s="31">
        <f>IF(base!L369&lt;&gt;"",VLOOKUP(L369,de_para!$A$1:$B$31,2,0)*base!M369,0)</f>
        <v>0</v>
      </c>
      <c r="O369" s="38"/>
      <c r="P369" s="29"/>
      <c r="Q369" s="31">
        <f>IF(base!O369&lt;&gt;"",VLOOKUP(O369,de_para!$A$1:$B$31,2,0)*base!P369,0)</f>
        <v>0</v>
      </c>
      <c r="R369" s="38"/>
      <c r="S369" s="29"/>
      <c r="T369" s="31">
        <f>IF(base!R369&lt;&gt;"",VLOOKUP(R369,de_para!$A$1:$B$31,2,0)*base!S369,0)</f>
        <v>0</v>
      </c>
      <c r="U369" s="30">
        <f t="shared" si="6"/>
        <v>0</v>
      </c>
    </row>
    <row r="370" spans="1:21" x14ac:dyDescent="0.35">
      <c r="A370" s="29"/>
      <c r="B370" s="29"/>
      <c r="C370" s="29"/>
      <c r="D370" s="29"/>
      <c r="E370" s="29"/>
      <c r="F370" s="29"/>
      <c r="G370" s="29"/>
      <c r="H370" s="31">
        <f>IF(base!F370&lt;&gt;"",VLOOKUP(F370,de_para!$A$1:$B$31,2,0)*base!G370,0)</f>
        <v>0</v>
      </c>
      <c r="I370" s="38"/>
      <c r="J370" s="29"/>
      <c r="K370" s="31">
        <f>IF(base!I370&lt;&gt;"",VLOOKUP(I370,de_para!$A$1:$B$31,2,0)*base!J370,0)</f>
        <v>0</v>
      </c>
      <c r="L370" s="38"/>
      <c r="M370" s="29"/>
      <c r="N370" s="31">
        <f>IF(base!L370&lt;&gt;"",VLOOKUP(L370,de_para!$A$1:$B$31,2,0)*base!M370,0)</f>
        <v>0</v>
      </c>
      <c r="O370" s="38"/>
      <c r="P370" s="29"/>
      <c r="Q370" s="31">
        <f>IF(base!O370&lt;&gt;"",VLOOKUP(O370,de_para!$A$1:$B$31,2,0)*base!P370,0)</f>
        <v>0</v>
      </c>
      <c r="R370" s="38"/>
      <c r="S370" s="29"/>
      <c r="T370" s="31">
        <f>IF(base!R370&lt;&gt;"",VLOOKUP(R370,de_para!$A$1:$B$31,2,0)*base!S370,0)</f>
        <v>0</v>
      </c>
      <c r="U370" s="30">
        <f t="shared" si="6"/>
        <v>0</v>
      </c>
    </row>
    <row r="371" spans="1:21" x14ac:dyDescent="0.35">
      <c r="A371" s="29"/>
      <c r="B371" s="29"/>
      <c r="C371" s="29"/>
      <c r="D371" s="29"/>
      <c r="E371" s="29"/>
      <c r="F371" s="29"/>
      <c r="G371" s="29"/>
      <c r="H371" s="31">
        <f>IF(base!F371&lt;&gt;"",VLOOKUP(F371,de_para!$A$1:$B$31,2,0)*base!G371,0)</f>
        <v>0</v>
      </c>
      <c r="I371" s="38"/>
      <c r="J371" s="29"/>
      <c r="K371" s="31">
        <f>IF(base!I371&lt;&gt;"",VLOOKUP(I371,de_para!$A$1:$B$31,2,0)*base!J371,0)</f>
        <v>0</v>
      </c>
      <c r="L371" s="38"/>
      <c r="M371" s="29"/>
      <c r="N371" s="31">
        <f>IF(base!L371&lt;&gt;"",VLOOKUP(L371,de_para!$A$1:$B$31,2,0)*base!M371,0)</f>
        <v>0</v>
      </c>
      <c r="O371" s="38"/>
      <c r="P371" s="29"/>
      <c r="Q371" s="31">
        <f>IF(base!O371&lt;&gt;"",VLOOKUP(O371,de_para!$A$1:$B$31,2,0)*base!P371,0)</f>
        <v>0</v>
      </c>
      <c r="R371" s="38"/>
      <c r="S371" s="29"/>
      <c r="T371" s="31">
        <f>IF(base!R371&lt;&gt;"",VLOOKUP(R371,de_para!$A$1:$B$31,2,0)*base!S371,0)</f>
        <v>0</v>
      </c>
      <c r="U371" s="30">
        <f t="shared" si="6"/>
        <v>0</v>
      </c>
    </row>
    <row r="372" spans="1:21" x14ac:dyDescent="0.35">
      <c r="A372" s="29"/>
      <c r="B372" s="29"/>
      <c r="C372" s="29"/>
      <c r="D372" s="29"/>
      <c r="E372" s="29"/>
      <c r="F372" s="29"/>
      <c r="G372" s="29"/>
      <c r="H372" s="31">
        <f>IF(base!F372&lt;&gt;"",VLOOKUP(F372,de_para!$A$1:$B$31,2,0)*base!G372,0)</f>
        <v>0</v>
      </c>
      <c r="I372" s="38"/>
      <c r="J372" s="29"/>
      <c r="K372" s="31">
        <f>IF(base!I372&lt;&gt;"",VLOOKUP(I372,de_para!$A$1:$B$31,2,0)*base!J372,0)</f>
        <v>0</v>
      </c>
      <c r="L372" s="38"/>
      <c r="M372" s="29"/>
      <c r="N372" s="31">
        <f>IF(base!L372&lt;&gt;"",VLOOKUP(L372,de_para!$A$1:$B$31,2,0)*base!M372,0)</f>
        <v>0</v>
      </c>
      <c r="O372" s="38"/>
      <c r="P372" s="29"/>
      <c r="Q372" s="31">
        <f>IF(base!O372&lt;&gt;"",VLOOKUP(O372,de_para!$A$1:$B$31,2,0)*base!P372,0)</f>
        <v>0</v>
      </c>
      <c r="R372" s="38"/>
      <c r="S372" s="29"/>
      <c r="T372" s="31">
        <f>IF(base!R372&lt;&gt;"",VLOOKUP(R372,de_para!$A$1:$B$31,2,0)*base!S372,0)</f>
        <v>0</v>
      </c>
      <c r="U372" s="30">
        <f t="shared" si="6"/>
        <v>0</v>
      </c>
    </row>
    <row r="373" spans="1:21" x14ac:dyDescent="0.35">
      <c r="A373" s="29"/>
      <c r="B373" s="29"/>
      <c r="C373" s="29"/>
      <c r="D373" s="29"/>
      <c r="E373" s="29"/>
      <c r="F373" s="29"/>
      <c r="G373" s="29"/>
      <c r="H373" s="31">
        <f>IF(base!F373&lt;&gt;"",VLOOKUP(F373,de_para!$A$1:$B$31,2,0)*base!G373,0)</f>
        <v>0</v>
      </c>
      <c r="I373" s="38"/>
      <c r="J373" s="29"/>
      <c r="K373" s="31">
        <f>IF(base!I373&lt;&gt;"",VLOOKUP(I373,de_para!$A$1:$B$31,2,0)*base!J373,0)</f>
        <v>0</v>
      </c>
      <c r="L373" s="38"/>
      <c r="M373" s="29"/>
      <c r="N373" s="31">
        <f>IF(base!L373&lt;&gt;"",VLOOKUP(L373,de_para!$A$1:$B$31,2,0)*base!M373,0)</f>
        <v>0</v>
      </c>
      <c r="O373" s="38"/>
      <c r="P373" s="29"/>
      <c r="Q373" s="31">
        <f>IF(base!O373&lt;&gt;"",VLOOKUP(O373,de_para!$A$1:$B$31,2,0)*base!P373,0)</f>
        <v>0</v>
      </c>
      <c r="R373" s="38"/>
      <c r="S373" s="29"/>
      <c r="T373" s="31">
        <f>IF(base!R373&lt;&gt;"",VLOOKUP(R373,de_para!$A$1:$B$31,2,0)*base!S373,0)</f>
        <v>0</v>
      </c>
      <c r="U373" s="30">
        <f t="shared" si="6"/>
        <v>0</v>
      </c>
    </row>
    <row r="374" spans="1:21" x14ac:dyDescent="0.35">
      <c r="A374" s="29"/>
      <c r="B374" s="29"/>
      <c r="C374" s="29"/>
      <c r="D374" s="29"/>
      <c r="E374" s="29"/>
      <c r="F374" s="29"/>
      <c r="G374" s="29"/>
      <c r="H374" s="31">
        <f>IF(base!F374&lt;&gt;"",VLOOKUP(F374,de_para!$A$1:$B$31,2,0)*base!G374,0)</f>
        <v>0</v>
      </c>
      <c r="I374" s="38"/>
      <c r="J374" s="29"/>
      <c r="K374" s="31">
        <f>IF(base!I374&lt;&gt;"",VLOOKUP(I374,de_para!$A$1:$B$31,2,0)*base!J374,0)</f>
        <v>0</v>
      </c>
      <c r="L374" s="38"/>
      <c r="M374" s="29"/>
      <c r="N374" s="31">
        <f>IF(base!L374&lt;&gt;"",VLOOKUP(L374,de_para!$A$1:$B$31,2,0)*base!M374,0)</f>
        <v>0</v>
      </c>
      <c r="O374" s="38"/>
      <c r="P374" s="29"/>
      <c r="Q374" s="31">
        <f>IF(base!O374&lt;&gt;"",VLOOKUP(O374,de_para!$A$1:$B$31,2,0)*base!P374,0)</f>
        <v>0</v>
      </c>
      <c r="R374" s="38"/>
      <c r="S374" s="29"/>
      <c r="T374" s="31">
        <f>IF(base!R374&lt;&gt;"",VLOOKUP(R374,de_para!$A$1:$B$31,2,0)*base!S374,0)</f>
        <v>0</v>
      </c>
      <c r="U374" s="30">
        <f t="shared" si="6"/>
        <v>0</v>
      </c>
    </row>
    <row r="375" spans="1:21" x14ac:dyDescent="0.35">
      <c r="A375" s="29"/>
      <c r="B375" s="29"/>
      <c r="C375" s="29"/>
      <c r="D375" s="29"/>
      <c r="E375" s="29"/>
      <c r="F375" s="29"/>
      <c r="G375" s="29"/>
      <c r="H375" s="31">
        <f>IF(base!F375&lt;&gt;"",VLOOKUP(F375,de_para!$A$1:$B$31,2,0)*base!G375,0)</f>
        <v>0</v>
      </c>
      <c r="I375" s="38"/>
      <c r="J375" s="29"/>
      <c r="K375" s="31">
        <f>IF(base!I375&lt;&gt;"",VLOOKUP(I375,de_para!$A$1:$B$31,2,0)*base!J375,0)</f>
        <v>0</v>
      </c>
      <c r="L375" s="38"/>
      <c r="M375" s="29"/>
      <c r="N375" s="31">
        <f>IF(base!L375&lt;&gt;"",VLOOKUP(L375,de_para!$A$1:$B$31,2,0)*base!M375,0)</f>
        <v>0</v>
      </c>
      <c r="O375" s="38"/>
      <c r="P375" s="29"/>
      <c r="Q375" s="31">
        <f>IF(base!O375&lt;&gt;"",VLOOKUP(O375,de_para!$A$1:$B$31,2,0)*base!P375,0)</f>
        <v>0</v>
      </c>
      <c r="R375" s="38"/>
      <c r="S375" s="29"/>
      <c r="T375" s="31">
        <f>IF(base!R375&lt;&gt;"",VLOOKUP(R375,de_para!$A$1:$B$31,2,0)*base!S375,0)</f>
        <v>0</v>
      </c>
      <c r="U375" s="30">
        <f t="shared" ref="U375:U438" si="7">H375+K375+N375+Q375+T375</f>
        <v>0</v>
      </c>
    </row>
    <row r="376" spans="1:21" x14ac:dyDescent="0.35">
      <c r="A376" s="29"/>
      <c r="B376" s="29"/>
      <c r="C376" s="29"/>
      <c r="D376" s="29"/>
      <c r="E376" s="29"/>
      <c r="F376" s="29"/>
      <c r="G376" s="29"/>
      <c r="H376" s="31">
        <f>IF(base!F376&lt;&gt;"",VLOOKUP(F376,de_para!$A$1:$B$31,2,0)*base!G376,0)</f>
        <v>0</v>
      </c>
      <c r="I376" s="38"/>
      <c r="J376" s="29"/>
      <c r="K376" s="31">
        <f>IF(base!I376&lt;&gt;"",VLOOKUP(I376,de_para!$A$1:$B$31,2,0)*base!J376,0)</f>
        <v>0</v>
      </c>
      <c r="L376" s="38"/>
      <c r="M376" s="29"/>
      <c r="N376" s="31">
        <f>IF(base!L376&lt;&gt;"",VLOOKUP(L376,de_para!$A$1:$B$31,2,0)*base!M376,0)</f>
        <v>0</v>
      </c>
      <c r="O376" s="38"/>
      <c r="P376" s="29"/>
      <c r="Q376" s="31">
        <f>IF(base!O376&lt;&gt;"",VLOOKUP(O376,de_para!$A$1:$B$31,2,0)*base!P376,0)</f>
        <v>0</v>
      </c>
      <c r="R376" s="38"/>
      <c r="S376" s="29"/>
      <c r="T376" s="31">
        <f>IF(base!R376&lt;&gt;"",VLOOKUP(R376,de_para!$A$1:$B$31,2,0)*base!S376,0)</f>
        <v>0</v>
      </c>
      <c r="U376" s="30">
        <f t="shared" si="7"/>
        <v>0</v>
      </c>
    </row>
    <row r="377" spans="1:21" x14ac:dyDescent="0.35">
      <c r="A377" s="29"/>
      <c r="B377" s="29"/>
      <c r="C377" s="29"/>
      <c r="D377" s="29"/>
      <c r="E377" s="29"/>
      <c r="F377" s="29"/>
      <c r="G377" s="29"/>
      <c r="H377" s="31">
        <f>IF(base!F377&lt;&gt;"",VLOOKUP(F377,de_para!$A$1:$B$31,2,0)*base!G377,0)</f>
        <v>0</v>
      </c>
      <c r="I377" s="38"/>
      <c r="J377" s="29"/>
      <c r="K377" s="31">
        <f>IF(base!I377&lt;&gt;"",VLOOKUP(I377,de_para!$A$1:$B$31,2,0)*base!J377,0)</f>
        <v>0</v>
      </c>
      <c r="L377" s="38"/>
      <c r="M377" s="29"/>
      <c r="N377" s="31">
        <f>IF(base!L377&lt;&gt;"",VLOOKUP(L377,de_para!$A$1:$B$31,2,0)*base!M377,0)</f>
        <v>0</v>
      </c>
      <c r="O377" s="38"/>
      <c r="P377" s="29"/>
      <c r="Q377" s="31">
        <f>IF(base!O377&lt;&gt;"",VLOOKUP(O377,de_para!$A$1:$B$31,2,0)*base!P377,0)</f>
        <v>0</v>
      </c>
      <c r="R377" s="38"/>
      <c r="S377" s="29"/>
      <c r="T377" s="31">
        <f>IF(base!R377&lt;&gt;"",VLOOKUP(R377,de_para!$A$1:$B$31,2,0)*base!S377,0)</f>
        <v>0</v>
      </c>
      <c r="U377" s="30">
        <f t="shared" si="7"/>
        <v>0</v>
      </c>
    </row>
    <row r="378" spans="1:21" x14ac:dyDescent="0.35">
      <c r="A378" s="29"/>
      <c r="B378" s="29"/>
      <c r="C378" s="29"/>
      <c r="D378" s="29"/>
      <c r="E378" s="29"/>
      <c r="F378" s="29"/>
      <c r="G378" s="29"/>
      <c r="H378" s="31">
        <f>IF(base!F378&lt;&gt;"",VLOOKUP(F378,de_para!$A$1:$B$31,2,0)*base!G378,0)</f>
        <v>0</v>
      </c>
      <c r="I378" s="38"/>
      <c r="J378" s="29"/>
      <c r="K378" s="31">
        <f>IF(base!I378&lt;&gt;"",VLOOKUP(I378,de_para!$A$1:$B$31,2,0)*base!J378,0)</f>
        <v>0</v>
      </c>
      <c r="L378" s="38"/>
      <c r="M378" s="29"/>
      <c r="N378" s="31">
        <f>IF(base!L378&lt;&gt;"",VLOOKUP(L378,de_para!$A$1:$B$31,2,0)*base!M378,0)</f>
        <v>0</v>
      </c>
      <c r="O378" s="38"/>
      <c r="P378" s="29"/>
      <c r="Q378" s="31">
        <f>IF(base!O378&lt;&gt;"",VLOOKUP(O378,de_para!$A$1:$B$31,2,0)*base!P378,0)</f>
        <v>0</v>
      </c>
      <c r="R378" s="38"/>
      <c r="S378" s="29"/>
      <c r="T378" s="31">
        <f>IF(base!R378&lt;&gt;"",VLOOKUP(R378,de_para!$A$1:$B$31,2,0)*base!S378,0)</f>
        <v>0</v>
      </c>
      <c r="U378" s="30">
        <f t="shared" si="7"/>
        <v>0</v>
      </c>
    </row>
    <row r="379" spans="1:21" x14ac:dyDescent="0.35">
      <c r="A379" s="29"/>
      <c r="B379" s="29"/>
      <c r="C379" s="29"/>
      <c r="D379" s="29"/>
      <c r="E379" s="29"/>
      <c r="F379" s="29"/>
      <c r="G379" s="29"/>
      <c r="H379" s="31">
        <f>IF(base!F379&lt;&gt;"",VLOOKUP(F379,de_para!$A$1:$B$31,2,0)*base!G379,0)</f>
        <v>0</v>
      </c>
      <c r="I379" s="38"/>
      <c r="J379" s="29"/>
      <c r="K379" s="31">
        <f>IF(base!I379&lt;&gt;"",VLOOKUP(I379,de_para!$A$1:$B$31,2,0)*base!J379,0)</f>
        <v>0</v>
      </c>
      <c r="L379" s="38"/>
      <c r="M379" s="29"/>
      <c r="N379" s="31">
        <f>IF(base!L379&lt;&gt;"",VLOOKUP(L379,de_para!$A$1:$B$31,2,0)*base!M379,0)</f>
        <v>0</v>
      </c>
      <c r="O379" s="38"/>
      <c r="P379" s="29"/>
      <c r="Q379" s="31">
        <f>IF(base!O379&lt;&gt;"",VLOOKUP(O379,de_para!$A$1:$B$31,2,0)*base!P379,0)</f>
        <v>0</v>
      </c>
      <c r="R379" s="38"/>
      <c r="S379" s="29"/>
      <c r="T379" s="31">
        <f>IF(base!R379&lt;&gt;"",VLOOKUP(R379,de_para!$A$1:$B$31,2,0)*base!S379,0)</f>
        <v>0</v>
      </c>
      <c r="U379" s="30">
        <f t="shared" si="7"/>
        <v>0</v>
      </c>
    </row>
    <row r="380" spans="1:21" x14ac:dyDescent="0.35">
      <c r="A380" s="29"/>
      <c r="B380" s="29"/>
      <c r="C380" s="29"/>
      <c r="D380" s="29"/>
      <c r="E380" s="29"/>
      <c r="F380" s="29"/>
      <c r="G380" s="29"/>
      <c r="H380" s="31">
        <f>IF(base!F380&lt;&gt;"",VLOOKUP(F380,de_para!$A$1:$B$31,2,0)*base!G380,0)</f>
        <v>0</v>
      </c>
      <c r="I380" s="38"/>
      <c r="J380" s="29"/>
      <c r="K380" s="31">
        <f>IF(base!I380&lt;&gt;"",VLOOKUP(I380,de_para!$A$1:$B$31,2,0)*base!J380,0)</f>
        <v>0</v>
      </c>
      <c r="L380" s="38"/>
      <c r="M380" s="29"/>
      <c r="N380" s="31">
        <f>IF(base!L380&lt;&gt;"",VLOOKUP(L380,de_para!$A$1:$B$31,2,0)*base!M380,0)</f>
        <v>0</v>
      </c>
      <c r="O380" s="38"/>
      <c r="P380" s="29"/>
      <c r="Q380" s="31">
        <f>IF(base!O380&lt;&gt;"",VLOOKUP(O380,de_para!$A$1:$B$31,2,0)*base!P380,0)</f>
        <v>0</v>
      </c>
      <c r="R380" s="38"/>
      <c r="S380" s="29"/>
      <c r="T380" s="31">
        <f>IF(base!R380&lt;&gt;"",VLOOKUP(R380,de_para!$A$1:$B$31,2,0)*base!S380,0)</f>
        <v>0</v>
      </c>
      <c r="U380" s="30">
        <f t="shared" si="7"/>
        <v>0</v>
      </c>
    </row>
    <row r="381" spans="1:21" x14ac:dyDescent="0.35">
      <c r="A381" s="29"/>
      <c r="B381" s="29"/>
      <c r="C381" s="29"/>
      <c r="D381" s="29"/>
      <c r="E381" s="29"/>
      <c r="F381" s="29"/>
      <c r="G381" s="29"/>
      <c r="H381" s="31">
        <f>IF(base!F381&lt;&gt;"",VLOOKUP(F381,de_para!$A$1:$B$31,2,0)*base!G381,0)</f>
        <v>0</v>
      </c>
      <c r="I381" s="38"/>
      <c r="J381" s="29"/>
      <c r="K381" s="31">
        <f>IF(base!I381&lt;&gt;"",VLOOKUP(I381,de_para!$A$1:$B$31,2,0)*base!J381,0)</f>
        <v>0</v>
      </c>
      <c r="L381" s="38"/>
      <c r="M381" s="29"/>
      <c r="N381" s="31">
        <f>IF(base!L381&lt;&gt;"",VLOOKUP(L381,de_para!$A$1:$B$31,2,0)*base!M381,0)</f>
        <v>0</v>
      </c>
      <c r="O381" s="38"/>
      <c r="P381" s="29"/>
      <c r="Q381" s="31">
        <f>IF(base!O381&lt;&gt;"",VLOOKUP(O381,de_para!$A$1:$B$31,2,0)*base!P381,0)</f>
        <v>0</v>
      </c>
      <c r="R381" s="38"/>
      <c r="S381" s="29"/>
      <c r="T381" s="31">
        <f>IF(base!R381&lt;&gt;"",VLOOKUP(R381,de_para!$A$1:$B$31,2,0)*base!S381,0)</f>
        <v>0</v>
      </c>
      <c r="U381" s="30">
        <f t="shared" si="7"/>
        <v>0</v>
      </c>
    </row>
    <row r="382" spans="1:21" x14ac:dyDescent="0.35">
      <c r="A382" s="29"/>
      <c r="B382" s="29"/>
      <c r="C382" s="29"/>
      <c r="D382" s="29"/>
      <c r="E382" s="29"/>
      <c r="F382" s="29"/>
      <c r="G382" s="29"/>
      <c r="H382" s="31">
        <f>IF(base!F382&lt;&gt;"",VLOOKUP(F382,de_para!$A$1:$B$31,2,0)*base!G382,0)</f>
        <v>0</v>
      </c>
      <c r="I382" s="38"/>
      <c r="J382" s="29"/>
      <c r="K382" s="31">
        <f>IF(base!I382&lt;&gt;"",VLOOKUP(I382,de_para!$A$1:$B$31,2,0)*base!J382,0)</f>
        <v>0</v>
      </c>
      <c r="L382" s="38"/>
      <c r="M382" s="29"/>
      <c r="N382" s="31">
        <f>IF(base!L382&lt;&gt;"",VLOOKUP(L382,de_para!$A$1:$B$31,2,0)*base!M382,0)</f>
        <v>0</v>
      </c>
      <c r="O382" s="38"/>
      <c r="P382" s="29"/>
      <c r="Q382" s="31">
        <f>IF(base!O382&lt;&gt;"",VLOOKUP(O382,de_para!$A$1:$B$31,2,0)*base!P382,0)</f>
        <v>0</v>
      </c>
      <c r="R382" s="38"/>
      <c r="S382" s="29"/>
      <c r="T382" s="31">
        <f>IF(base!R382&lt;&gt;"",VLOOKUP(R382,de_para!$A$1:$B$31,2,0)*base!S382,0)</f>
        <v>0</v>
      </c>
      <c r="U382" s="30">
        <f t="shared" si="7"/>
        <v>0</v>
      </c>
    </row>
    <row r="383" spans="1:21" x14ac:dyDescent="0.35">
      <c r="A383" s="29"/>
      <c r="B383" s="29"/>
      <c r="C383" s="29"/>
      <c r="D383" s="29"/>
      <c r="E383" s="29"/>
      <c r="F383" s="29"/>
      <c r="G383" s="29"/>
      <c r="H383" s="31">
        <f>IF(base!F383&lt;&gt;"",VLOOKUP(F383,de_para!$A$1:$B$31,2,0)*base!G383,0)</f>
        <v>0</v>
      </c>
      <c r="I383" s="38"/>
      <c r="J383" s="29"/>
      <c r="K383" s="31">
        <f>IF(base!I383&lt;&gt;"",VLOOKUP(I383,de_para!$A$1:$B$31,2,0)*base!J383,0)</f>
        <v>0</v>
      </c>
      <c r="L383" s="38"/>
      <c r="M383" s="29"/>
      <c r="N383" s="31">
        <f>IF(base!L383&lt;&gt;"",VLOOKUP(L383,de_para!$A$1:$B$31,2,0)*base!M383,0)</f>
        <v>0</v>
      </c>
      <c r="O383" s="38"/>
      <c r="P383" s="29"/>
      <c r="Q383" s="31">
        <f>IF(base!O383&lt;&gt;"",VLOOKUP(O383,de_para!$A$1:$B$31,2,0)*base!P383,0)</f>
        <v>0</v>
      </c>
      <c r="R383" s="38"/>
      <c r="S383" s="29"/>
      <c r="T383" s="31">
        <f>IF(base!R383&lt;&gt;"",VLOOKUP(R383,de_para!$A$1:$B$31,2,0)*base!S383,0)</f>
        <v>0</v>
      </c>
      <c r="U383" s="30">
        <f t="shared" si="7"/>
        <v>0</v>
      </c>
    </row>
    <row r="384" spans="1:21" x14ac:dyDescent="0.35">
      <c r="A384" s="29"/>
      <c r="B384" s="29"/>
      <c r="C384" s="29"/>
      <c r="D384" s="29"/>
      <c r="E384" s="29"/>
      <c r="F384" s="29"/>
      <c r="G384" s="29"/>
      <c r="H384" s="31">
        <f>IF(base!F384&lt;&gt;"",VLOOKUP(F384,de_para!$A$1:$B$31,2,0)*base!G384,0)</f>
        <v>0</v>
      </c>
      <c r="I384" s="38"/>
      <c r="J384" s="29"/>
      <c r="K384" s="31">
        <f>IF(base!I384&lt;&gt;"",VLOOKUP(I384,de_para!$A$1:$B$31,2,0)*base!J384,0)</f>
        <v>0</v>
      </c>
      <c r="L384" s="38"/>
      <c r="M384" s="29"/>
      <c r="N384" s="31">
        <f>IF(base!L384&lt;&gt;"",VLOOKUP(L384,de_para!$A$1:$B$31,2,0)*base!M384,0)</f>
        <v>0</v>
      </c>
      <c r="O384" s="38"/>
      <c r="P384" s="29"/>
      <c r="Q384" s="31">
        <f>IF(base!O384&lt;&gt;"",VLOOKUP(O384,de_para!$A$1:$B$31,2,0)*base!P384,0)</f>
        <v>0</v>
      </c>
      <c r="R384" s="38"/>
      <c r="S384" s="29"/>
      <c r="T384" s="31">
        <f>IF(base!R384&lt;&gt;"",VLOOKUP(R384,de_para!$A$1:$B$31,2,0)*base!S384,0)</f>
        <v>0</v>
      </c>
      <c r="U384" s="30">
        <f t="shared" si="7"/>
        <v>0</v>
      </c>
    </row>
    <row r="385" spans="1:21" x14ac:dyDescent="0.35">
      <c r="A385" s="29"/>
      <c r="B385" s="29"/>
      <c r="C385" s="29"/>
      <c r="D385" s="29"/>
      <c r="E385" s="29"/>
      <c r="F385" s="29"/>
      <c r="G385" s="29"/>
      <c r="H385" s="31">
        <f>IF(base!F385&lt;&gt;"",VLOOKUP(F385,de_para!$A$1:$B$31,2,0)*base!G385,0)</f>
        <v>0</v>
      </c>
      <c r="I385" s="38"/>
      <c r="J385" s="29"/>
      <c r="K385" s="31">
        <f>IF(base!I385&lt;&gt;"",VLOOKUP(I385,de_para!$A$1:$B$31,2,0)*base!J385,0)</f>
        <v>0</v>
      </c>
      <c r="L385" s="38"/>
      <c r="M385" s="29"/>
      <c r="N385" s="31">
        <f>IF(base!L385&lt;&gt;"",VLOOKUP(L385,de_para!$A$1:$B$31,2,0)*base!M385,0)</f>
        <v>0</v>
      </c>
      <c r="O385" s="38"/>
      <c r="P385" s="29"/>
      <c r="Q385" s="31">
        <f>IF(base!O385&lt;&gt;"",VLOOKUP(O385,de_para!$A$1:$B$31,2,0)*base!P385,0)</f>
        <v>0</v>
      </c>
      <c r="R385" s="38"/>
      <c r="S385" s="29"/>
      <c r="T385" s="31">
        <f>IF(base!R385&lt;&gt;"",VLOOKUP(R385,de_para!$A$1:$B$31,2,0)*base!S385,0)</f>
        <v>0</v>
      </c>
      <c r="U385" s="30">
        <f t="shared" si="7"/>
        <v>0</v>
      </c>
    </row>
    <row r="386" spans="1:21" x14ac:dyDescent="0.35">
      <c r="A386" s="29"/>
      <c r="B386" s="29"/>
      <c r="C386" s="29"/>
      <c r="D386" s="29"/>
      <c r="E386" s="29"/>
      <c r="F386" s="29"/>
      <c r="G386" s="29"/>
      <c r="H386" s="31">
        <f>IF(base!F386&lt;&gt;"",VLOOKUP(F386,de_para!$A$1:$B$31,2,0)*base!G386,0)</f>
        <v>0</v>
      </c>
      <c r="I386" s="38"/>
      <c r="J386" s="29"/>
      <c r="K386" s="31">
        <f>IF(base!I386&lt;&gt;"",VLOOKUP(I386,de_para!$A$1:$B$31,2,0)*base!J386,0)</f>
        <v>0</v>
      </c>
      <c r="L386" s="38"/>
      <c r="M386" s="29"/>
      <c r="N386" s="31">
        <f>IF(base!L386&lt;&gt;"",VLOOKUP(L386,de_para!$A$1:$B$31,2,0)*base!M386,0)</f>
        <v>0</v>
      </c>
      <c r="O386" s="38"/>
      <c r="P386" s="29"/>
      <c r="Q386" s="31">
        <f>IF(base!O386&lt;&gt;"",VLOOKUP(O386,de_para!$A$1:$B$31,2,0)*base!P386,0)</f>
        <v>0</v>
      </c>
      <c r="R386" s="38"/>
      <c r="S386" s="29"/>
      <c r="T386" s="31">
        <f>IF(base!R386&lt;&gt;"",VLOOKUP(R386,de_para!$A$1:$B$31,2,0)*base!S386,0)</f>
        <v>0</v>
      </c>
      <c r="U386" s="30">
        <f t="shared" si="7"/>
        <v>0</v>
      </c>
    </row>
    <row r="387" spans="1:21" x14ac:dyDescent="0.35">
      <c r="A387" s="29"/>
      <c r="B387" s="29"/>
      <c r="C387" s="29"/>
      <c r="D387" s="29"/>
      <c r="E387" s="29"/>
      <c r="F387" s="29"/>
      <c r="G387" s="29"/>
      <c r="H387" s="31">
        <f>IF(base!F387&lt;&gt;"",VLOOKUP(F387,de_para!$A$1:$B$31,2,0)*base!G387,0)</f>
        <v>0</v>
      </c>
      <c r="I387" s="38"/>
      <c r="J387" s="29"/>
      <c r="K387" s="31">
        <f>IF(base!I387&lt;&gt;"",VLOOKUP(I387,de_para!$A$1:$B$31,2,0)*base!J387,0)</f>
        <v>0</v>
      </c>
      <c r="L387" s="38"/>
      <c r="M387" s="29"/>
      <c r="N387" s="31">
        <f>IF(base!L387&lt;&gt;"",VLOOKUP(L387,de_para!$A$1:$B$31,2,0)*base!M387,0)</f>
        <v>0</v>
      </c>
      <c r="O387" s="38"/>
      <c r="P387" s="29"/>
      <c r="Q387" s="31">
        <f>IF(base!O387&lt;&gt;"",VLOOKUP(O387,de_para!$A$1:$B$31,2,0)*base!P387,0)</f>
        <v>0</v>
      </c>
      <c r="R387" s="38"/>
      <c r="S387" s="29"/>
      <c r="T387" s="31">
        <f>IF(base!R387&lt;&gt;"",VLOOKUP(R387,de_para!$A$1:$B$31,2,0)*base!S387,0)</f>
        <v>0</v>
      </c>
      <c r="U387" s="30">
        <f t="shared" si="7"/>
        <v>0</v>
      </c>
    </row>
    <row r="388" spans="1:21" x14ac:dyDescent="0.35">
      <c r="A388" s="29"/>
      <c r="B388" s="29"/>
      <c r="C388" s="29"/>
      <c r="D388" s="29"/>
      <c r="E388" s="29"/>
      <c r="F388" s="29"/>
      <c r="G388" s="29"/>
      <c r="H388" s="31">
        <f>IF(base!F388&lt;&gt;"",VLOOKUP(F388,de_para!$A$1:$B$31,2,0)*base!G388,0)</f>
        <v>0</v>
      </c>
      <c r="I388" s="38"/>
      <c r="J388" s="29"/>
      <c r="K388" s="31">
        <f>IF(base!I388&lt;&gt;"",VLOOKUP(I388,de_para!$A$1:$B$31,2,0)*base!J388,0)</f>
        <v>0</v>
      </c>
      <c r="L388" s="38"/>
      <c r="M388" s="29"/>
      <c r="N388" s="31">
        <f>IF(base!L388&lt;&gt;"",VLOOKUP(L388,de_para!$A$1:$B$31,2,0)*base!M388,0)</f>
        <v>0</v>
      </c>
      <c r="O388" s="38"/>
      <c r="P388" s="29"/>
      <c r="Q388" s="31">
        <f>IF(base!O388&lt;&gt;"",VLOOKUP(O388,de_para!$A$1:$B$31,2,0)*base!P388,0)</f>
        <v>0</v>
      </c>
      <c r="R388" s="38"/>
      <c r="S388" s="29"/>
      <c r="T388" s="31">
        <f>IF(base!R388&lt;&gt;"",VLOOKUP(R388,de_para!$A$1:$B$31,2,0)*base!S388,0)</f>
        <v>0</v>
      </c>
      <c r="U388" s="30">
        <f t="shared" si="7"/>
        <v>0</v>
      </c>
    </row>
    <row r="389" spans="1:21" x14ac:dyDescent="0.35">
      <c r="A389" s="29"/>
      <c r="B389" s="29"/>
      <c r="C389" s="29"/>
      <c r="D389" s="29"/>
      <c r="E389" s="29"/>
      <c r="F389" s="29"/>
      <c r="G389" s="29"/>
      <c r="H389" s="31">
        <f>IF(base!F389&lt;&gt;"",VLOOKUP(F389,de_para!$A$1:$B$31,2,0)*base!G389,0)</f>
        <v>0</v>
      </c>
      <c r="I389" s="38"/>
      <c r="J389" s="29"/>
      <c r="K389" s="31">
        <f>IF(base!I389&lt;&gt;"",VLOOKUP(I389,de_para!$A$1:$B$31,2,0)*base!J389,0)</f>
        <v>0</v>
      </c>
      <c r="L389" s="38"/>
      <c r="M389" s="29"/>
      <c r="N389" s="31">
        <f>IF(base!L389&lt;&gt;"",VLOOKUP(L389,de_para!$A$1:$B$31,2,0)*base!M389,0)</f>
        <v>0</v>
      </c>
      <c r="O389" s="38"/>
      <c r="P389" s="29"/>
      <c r="Q389" s="31">
        <f>IF(base!O389&lt;&gt;"",VLOOKUP(O389,de_para!$A$1:$B$31,2,0)*base!P389,0)</f>
        <v>0</v>
      </c>
      <c r="R389" s="38"/>
      <c r="S389" s="29"/>
      <c r="T389" s="31">
        <f>IF(base!R389&lt;&gt;"",VLOOKUP(R389,de_para!$A$1:$B$31,2,0)*base!S389,0)</f>
        <v>0</v>
      </c>
      <c r="U389" s="30">
        <f t="shared" si="7"/>
        <v>0</v>
      </c>
    </row>
    <row r="390" spans="1:21" x14ac:dyDescent="0.35">
      <c r="A390" s="29"/>
      <c r="B390" s="29"/>
      <c r="C390" s="29"/>
      <c r="D390" s="29"/>
      <c r="E390" s="29"/>
      <c r="F390" s="29"/>
      <c r="G390" s="29"/>
      <c r="H390" s="31">
        <f>IF(base!F390&lt;&gt;"",VLOOKUP(F390,de_para!$A$1:$B$31,2,0)*base!G390,0)</f>
        <v>0</v>
      </c>
      <c r="I390" s="38"/>
      <c r="J390" s="29"/>
      <c r="K390" s="31">
        <f>IF(base!I390&lt;&gt;"",VLOOKUP(I390,de_para!$A$1:$B$31,2,0)*base!J390,0)</f>
        <v>0</v>
      </c>
      <c r="L390" s="38"/>
      <c r="M390" s="29"/>
      <c r="N390" s="31">
        <f>IF(base!L390&lt;&gt;"",VLOOKUP(L390,de_para!$A$1:$B$31,2,0)*base!M390,0)</f>
        <v>0</v>
      </c>
      <c r="O390" s="38"/>
      <c r="P390" s="29"/>
      <c r="Q390" s="31">
        <f>IF(base!O390&lt;&gt;"",VLOOKUP(O390,de_para!$A$1:$B$31,2,0)*base!P390,0)</f>
        <v>0</v>
      </c>
      <c r="R390" s="38"/>
      <c r="S390" s="29"/>
      <c r="T390" s="31">
        <f>IF(base!R390&lt;&gt;"",VLOOKUP(R390,de_para!$A$1:$B$31,2,0)*base!S390,0)</f>
        <v>0</v>
      </c>
      <c r="U390" s="30">
        <f t="shared" si="7"/>
        <v>0</v>
      </c>
    </row>
    <row r="391" spans="1:21" x14ac:dyDescent="0.35">
      <c r="A391" s="29"/>
      <c r="B391" s="29"/>
      <c r="C391" s="29"/>
      <c r="D391" s="29"/>
      <c r="E391" s="29"/>
      <c r="F391" s="29"/>
      <c r="G391" s="29"/>
      <c r="H391" s="31">
        <f>IF(base!F391&lt;&gt;"",VLOOKUP(F391,de_para!$A$1:$B$31,2,0)*base!G391,0)</f>
        <v>0</v>
      </c>
      <c r="I391" s="38"/>
      <c r="J391" s="29"/>
      <c r="K391" s="31">
        <f>IF(base!I391&lt;&gt;"",VLOOKUP(I391,de_para!$A$1:$B$31,2,0)*base!J391,0)</f>
        <v>0</v>
      </c>
      <c r="L391" s="38"/>
      <c r="M391" s="29"/>
      <c r="N391" s="31">
        <f>IF(base!L391&lt;&gt;"",VLOOKUP(L391,de_para!$A$1:$B$31,2,0)*base!M391,0)</f>
        <v>0</v>
      </c>
      <c r="O391" s="38"/>
      <c r="P391" s="29"/>
      <c r="Q391" s="31">
        <f>IF(base!O391&lt;&gt;"",VLOOKUP(O391,de_para!$A$1:$B$31,2,0)*base!P391,0)</f>
        <v>0</v>
      </c>
      <c r="R391" s="38"/>
      <c r="S391" s="29"/>
      <c r="T391" s="31">
        <f>IF(base!R391&lt;&gt;"",VLOOKUP(R391,de_para!$A$1:$B$31,2,0)*base!S391,0)</f>
        <v>0</v>
      </c>
      <c r="U391" s="30">
        <f t="shared" si="7"/>
        <v>0</v>
      </c>
    </row>
    <row r="392" spans="1:21" x14ac:dyDescent="0.35">
      <c r="A392" s="29"/>
      <c r="B392" s="29"/>
      <c r="C392" s="29"/>
      <c r="D392" s="29"/>
      <c r="E392" s="29"/>
      <c r="F392" s="29"/>
      <c r="G392" s="29"/>
      <c r="H392" s="31">
        <f>IF(base!F392&lt;&gt;"",VLOOKUP(F392,de_para!$A$1:$B$31,2,0)*base!G392,0)</f>
        <v>0</v>
      </c>
      <c r="I392" s="38"/>
      <c r="J392" s="29"/>
      <c r="K392" s="31">
        <f>IF(base!I392&lt;&gt;"",VLOOKUP(I392,de_para!$A$1:$B$31,2,0)*base!J392,0)</f>
        <v>0</v>
      </c>
      <c r="L392" s="38"/>
      <c r="M392" s="29"/>
      <c r="N392" s="31">
        <f>IF(base!L392&lt;&gt;"",VLOOKUP(L392,de_para!$A$1:$B$31,2,0)*base!M392,0)</f>
        <v>0</v>
      </c>
      <c r="O392" s="38"/>
      <c r="P392" s="29"/>
      <c r="Q392" s="31">
        <f>IF(base!O392&lt;&gt;"",VLOOKUP(O392,de_para!$A$1:$B$31,2,0)*base!P392,0)</f>
        <v>0</v>
      </c>
      <c r="R392" s="38"/>
      <c r="S392" s="29"/>
      <c r="T392" s="31">
        <f>IF(base!R392&lt;&gt;"",VLOOKUP(R392,de_para!$A$1:$B$31,2,0)*base!S392,0)</f>
        <v>0</v>
      </c>
      <c r="U392" s="30">
        <f t="shared" si="7"/>
        <v>0</v>
      </c>
    </row>
    <row r="393" spans="1:21" x14ac:dyDescent="0.35">
      <c r="A393" s="29"/>
      <c r="B393" s="29"/>
      <c r="C393" s="29"/>
      <c r="D393" s="29"/>
      <c r="E393" s="29"/>
      <c r="F393" s="29"/>
      <c r="G393" s="29"/>
      <c r="H393" s="31">
        <f>IF(base!F393&lt;&gt;"",VLOOKUP(F393,de_para!$A$1:$B$31,2,0)*base!G393,0)</f>
        <v>0</v>
      </c>
      <c r="I393" s="38"/>
      <c r="J393" s="29"/>
      <c r="K393" s="31">
        <f>IF(base!I393&lt;&gt;"",VLOOKUP(I393,de_para!$A$1:$B$31,2,0)*base!J393,0)</f>
        <v>0</v>
      </c>
      <c r="L393" s="38"/>
      <c r="M393" s="29"/>
      <c r="N393" s="31">
        <f>IF(base!L393&lt;&gt;"",VLOOKUP(L393,de_para!$A$1:$B$31,2,0)*base!M393,0)</f>
        <v>0</v>
      </c>
      <c r="O393" s="38"/>
      <c r="P393" s="29"/>
      <c r="Q393" s="31">
        <f>IF(base!O393&lt;&gt;"",VLOOKUP(O393,de_para!$A$1:$B$31,2,0)*base!P393,0)</f>
        <v>0</v>
      </c>
      <c r="R393" s="38"/>
      <c r="S393" s="29"/>
      <c r="T393" s="31">
        <f>IF(base!R393&lt;&gt;"",VLOOKUP(R393,de_para!$A$1:$B$31,2,0)*base!S393,0)</f>
        <v>0</v>
      </c>
      <c r="U393" s="30">
        <f t="shared" si="7"/>
        <v>0</v>
      </c>
    </row>
    <row r="394" spans="1:21" x14ac:dyDescent="0.35">
      <c r="A394" s="29"/>
      <c r="B394" s="29"/>
      <c r="C394" s="29"/>
      <c r="D394" s="29"/>
      <c r="E394" s="29"/>
      <c r="F394" s="29"/>
      <c r="G394" s="29"/>
      <c r="H394" s="31">
        <f>IF(base!F394&lt;&gt;"",VLOOKUP(F394,de_para!$A$1:$B$31,2,0)*base!G394,0)</f>
        <v>0</v>
      </c>
      <c r="I394" s="38"/>
      <c r="J394" s="29"/>
      <c r="K394" s="31">
        <f>IF(base!I394&lt;&gt;"",VLOOKUP(I394,de_para!$A$1:$B$31,2,0)*base!J394,0)</f>
        <v>0</v>
      </c>
      <c r="L394" s="38"/>
      <c r="M394" s="29"/>
      <c r="N394" s="31">
        <f>IF(base!L394&lt;&gt;"",VLOOKUP(L394,de_para!$A$1:$B$31,2,0)*base!M394,0)</f>
        <v>0</v>
      </c>
      <c r="O394" s="38"/>
      <c r="P394" s="29"/>
      <c r="Q394" s="31">
        <f>IF(base!O394&lt;&gt;"",VLOOKUP(O394,de_para!$A$1:$B$31,2,0)*base!P394,0)</f>
        <v>0</v>
      </c>
      <c r="R394" s="38"/>
      <c r="S394" s="29"/>
      <c r="T394" s="31">
        <f>IF(base!R394&lt;&gt;"",VLOOKUP(R394,de_para!$A$1:$B$31,2,0)*base!S394,0)</f>
        <v>0</v>
      </c>
      <c r="U394" s="30">
        <f t="shared" si="7"/>
        <v>0</v>
      </c>
    </row>
    <row r="395" spans="1:21" x14ac:dyDescent="0.35">
      <c r="A395" s="29"/>
      <c r="B395" s="29"/>
      <c r="C395" s="29"/>
      <c r="D395" s="29"/>
      <c r="E395" s="29"/>
      <c r="F395" s="29"/>
      <c r="G395" s="29"/>
      <c r="H395" s="31">
        <f>IF(base!F395&lt;&gt;"",VLOOKUP(F395,de_para!$A$1:$B$31,2,0)*base!G395,0)</f>
        <v>0</v>
      </c>
      <c r="I395" s="38"/>
      <c r="J395" s="29"/>
      <c r="K395" s="31">
        <f>IF(base!I395&lt;&gt;"",VLOOKUP(I395,de_para!$A$1:$B$31,2,0)*base!J395,0)</f>
        <v>0</v>
      </c>
      <c r="L395" s="38"/>
      <c r="M395" s="29"/>
      <c r="N395" s="31">
        <f>IF(base!L395&lt;&gt;"",VLOOKUP(L395,de_para!$A$1:$B$31,2,0)*base!M395,0)</f>
        <v>0</v>
      </c>
      <c r="O395" s="38"/>
      <c r="P395" s="29"/>
      <c r="Q395" s="31">
        <f>IF(base!O395&lt;&gt;"",VLOOKUP(O395,de_para!$A$1:$B$31,2,0)*base!P395,0)</f>
        <v>0</v>
      </c>
      <c r="R395" s="38"/>
      <c r="S395" s="29"/>
      <c r="T395" s="31">
        <f>IF(base!R395&lt;&gt;"",VLOOKUP(R395,de_para!$A$1:$B$31,2,0)*base!S395,0)</f>
        <v>0</v>
      </c>
      <c r="U395" s="30">
        <f t="shared" si="7"/>
        <v>0</v>
      </c>
    </row>
    <row r="396" spans="1:21" x14ac:dyDescent="0.35">
      <c r="A396" s="29"/>
      <c r="B396" s="29"/>
      <c r="C396" s="29"/>
      <c r="D396" s="29"/>
      <c r="E396" s="29"/>
      <c r="F396" s="29"/>
      <c r="G396" s="29"/>
      <c r="H396" s="31">
        <f>IF(base!F396&lt;&gt;"",VLOOKUP(F396,de_para!$A$1:$B$31,2,0)*base!G396,0)</f>
        <v>0</v>
      </c>
      <c r="I396" s="38"/>
      <c r="J396" s="29"/>
      <c r="K396" s="31">
        <f>IF(base!I396&lt;&gt;"",VLOOKUP(I396,de_para!$A$1:$B$31,2,0)*base!J396,0)</f>
        <v>0</v>
      </c>
      <c r="L396" s="38"/>
      <c r="M396" s="29"/>
      <c r="N396" s="31">
        <f>IF(base!L396&lt;&gt;"",VLOOKUP(L396,de_para!$A$1:$B$31,2,0)*base!M396,0)</f>
        <v>0</v>
      </c>
      <c r="O396" s="38"/>
      <c r="P396" s="29"/>
      <c r="Q396" s="31">
        <f>IF(base!O396&lt;&gt;"",VLOOKUP(O396,de_para!$A$1:$B$31,2,0)*base!P396,0)</f>
        <v>0</v>
      </c>
      <c r="R396" s="38"/>
      <c r="S396" s="29"/>
      <c r="T396" s="31">
        <f>IF(base!R396&lt;&gt;"",VLOOKUP(R396,de_para!$A$1:$B$31,2,0)*base!S396,0)</f>
        <v>0</v>
      </c>
      <c r="U396" s="30">
        <f t="shared" si="7"/>
        <v>0</v>
      </c>
    </row>
    <row r="397" spans="1:21" x14ac:dyDescent="0.35">
      <c r="A397" s="29"/>
      <c r="B397" s="29"/>
      <c r="C397" s="29"/>
      <c r="D397" s="29"/>
      <c r="E397" s="29"/>
      <c r="F397" s="29"/>
      <c r="G397" s="29"/>
      <c r="H397" s="31">
        <f>IF(base!F397&lt;&gt;"",VLOOKUP(F397,de_para!$A$1:$B$31,2,0)*base!G397,0)</f>
        <v>0</v>
      </c>
      <c r="I397" s="38"/>
      <c r="J397" s="29"/>
      <c r="K397" s="31">
        <f>IF(base!I397&lt;&gt;"",VLOOKUP(I397,de_para!$A$1:$B$31,2,0)*base!J397,0)</f>
        <v>0</v>
      </c>
      <c r="L397" s="38"/>
      <c r="M397" s="29"/>
      <c r="N397" s="31">
        <f>IF(base!L397&lt;&gt;"",VLOOKUP(L397,de_para!$A$1:$B$31,2,0)*base!M397,0)</f>
        <v>0</v>
      </c>
      <c r="O397" s="38"/>
      <c r="P397" s="29"/>
      <c r="Q397" s="31">
        <f>IF(base!O397&lt;&gt;"",VLOOKUP(O397,de_para!$A$1:$B$31,2,0)*base!P397,0)</f>
        <v>0</v>
      </c>
      <c r="R397" s="38"/>
      <c r="S397" s="29"/>
      <c r="T397" s="31">
        <f>IF(base!R397&lt;&gt;"",VLOOKUP(R397,de_para!$A$1:$B$31,2,0)*base!S397,0)</f>
        <v>0</v>
      </c>
      <c r="U397" s="30">
        <f t="shared" si="7"/>
        <v>0</v>
      </c>
    </row>
    <row r="398" spans="1:21" x14ac:dyDescent="0.35">
      <c r="A398" s="29"/>
      <c r="B398" s="29"/>
      <c r="C398" s="29"/>
      <c r="D398" s="29"/>
      <c r="E398" s="29"/>
      <c r="F398" s="29"/>
      <c r="G398" s="29"/>
      <c r="H398" s="31">
        <f>IF(base!F398&lt;&gt;"",VLOOKUP(F398,de_para!$A$1:$B$31,2,0)*base!G398,0)</f>
        <v>0</v>
      </c>
      <c r="I398" s="38"/>
      <c r="J398" s="29"/>
      <c r="K398" s="31">
        <f>IF(base!I398&lt;&gt;"",VLOOKUP(I398,de_para!$A$1:$B$31,2,0)*base!J398,0)</f>
        <v>0</v>
      </c>
      <c r="L398" s="38"/>
      <c r="M398" s="29"/>
      <c r="N398" s="31">
        <f>IF(base!L398&lt;&gt;"",VLOOKUP(L398,de_para!$A$1:$B$31,2,0)*base!M398,0)</f>
        <v>0</v>
      </c>
      <c r="O398" s="38"/>
      <c r="P398" s="29"/>
      <c r="Q398" s="31">
        <f>IF(base!O398&lt;&gt;"",VLOOKUP(O398,de_para!$A$1:$B$31,2,0)*base!P398,0)</f>
        <v>0</v>
      </c>
      <c r="R398" s="38"/>
      <c r="S398" s="29"/>
      <c r="T398" s="31">
        <f>IF(base!R398&lt;&gt;"",VLOOKUP(R398,de_para!$A$1:$B$31,2,0)*base!S398,0)</f>
        <v>0</v>
      </c>
      <c r="U398" s="30">
        <f t="shared" si="7"/>
        <v>0</v>
      </c>
    </row>
    <row r="399" spans="1:21" x14ac:dyDescent="0.35">
      <c r="A399" s="29"/>
      <c r="B399" s="29"/>
      <c r="C399" s="29"/>
      <c r="D399" s="29"/>
      <c r="E399" s="29"/>
      <c r="F399" s="29"/>
      <c r="G399" s="29"/>
      <c r="H399" s="31">
        <f>IF(base!F399&lt;&gt;"",VLOOKUP(F399,de_para!$A$1:$B$31,2,0)*base!G399,0)</f>
        <v>0</v>
      </c>
      <c r="I399" s="38"/>
      <c r="J399" s="29"/>
      <c r="K399" s="31">
        <f>IF(base!I399&lt;&gt;"",VLOOKUP(I399,de_para!$A$1:$B$31,2,0)*base!J399,0)</f>
        <v>0</v>
      </c>
      <c r="L399" s="38"/>
      <c r="M399" s="29"/>
      <c r="N399" s="31">
        <f>IF(base!L399&lt;&gt;"",VLOOKUP(L399,de_para!$A$1:$B$31,2,0)*base!M399,0)</f>
        <v>0</v>
      </c>
      <c r="O399" s="38"/>
      <c r="P399" s="29"/>
      <c r="Q399" s="31">
        <f>IF(base!O399&lt;&gt;"",VLOOKUP(O399,de_para!$A$1:$B$31,2,0)*base!P399,0)</f>
        <v>0</v>
      </c>
      <c r="R399" s="38"/>
      <c r="S399" s="29"/>
      <c r="T399" s="31">
        <f>IF(base!R399&lt;&gt;"",VLOOKUP(R399,de_para!$A$1:$B$31,2,0)*base!S399,0)</f>
        <v>0</v>
      </c>
      <c r="U399" s="30">
        <f t="shared" si="7"/>
        <v>0</v>
      </c>
    </row>
    <row r="400" spans="1:21" x14ac:dyDescent="0.35">
      <c r="A400" s="29"/>
      <c r="B400" s="29"/>
      <c r="C400" s="29"/>
      <c r="D400" s="29"/>
      <c r="E400" s="29"/>
      <c r="F400" s="29"/>
      <c r="G400" s="29"/>
      <c r="H400" s="31">
        <f>IF(base!F400&lt;&gt;"",VLOOKUP(F400,de_para!$A$1:$B$31,2,0)*base!G400,0)</f>
        <v>0</v>
      </c>
      <c r="I400" s="38"/>
      <c r="J400" s="29"/>
      <c r="K400" s="31">
        <f>IF(base!I400&lt;&gt;"",VLOOKUP(I400,de_para!$A$1:$B$31,2,0)*base!J400,0)</f>
        <v>0</v>
      </c>
      <c r="L400" s="38"/>
      <c r="M400" s="29"/>
      <c r="N400" s="31">
        <f>IF(base!L400&lt;&gt;"",VLOOKUP(L400,de_para!$A$1:$B$31,2,0)*base!M400,0)</f>
        <v>0</v>
      </c>
      <c r="O400" s="38"/>
      <c r="P400" s="29"/>
      <c r="Q400" s="31">
        <f>IF(base!O400&lt;&gt;"",VLOOKUP(O400,de_para!$A$1:$B$31,2,0)*base!P400,0)</f>
        <v>0</v>
      </c>
      <c r="R400" s="38"/>
      <c r="S400" s="29"/>
      <c r="T400" s="31">
        <f>IF(base!R400&lt;&gt;"",VLOOKUP(R400,de_para!$A$1:$B$31,2,0)*base!S400,0)</f>
        <v>0</v>
      </c>
      <c r="U400" s="30">
        <f t="shared" si="7"/>
        <v>0</v>
      </c>
    </row>
    <row r="401" spans="1:21" x14ac:dyDescent="0.35">
      <c r="A401" s="29"/>
      <c r="B401" s="29"/>
      <c r="C401" s="29"/>
      <c r="D401" s="29"/>
      <c r="E401" s="29"/>
      <c r="F401" s="29"/>
      <c r="G401" s="29"/>
      <c r="H401" s="31">
        <f>IF(base!F401&lt;&gt;"",VLOOKUP(F401,de_para!$A$1:$B$31,2,0)*base!G401,0)</f>
        <v>0</v>
      </c>
      <c r="I401" s="38"/>
      <c r="J401" s="29"/>
      <c r="K401" s="31">
        <f>IF(base!I401&lt;&gt;"",VLOOKUP(I401,de_para!$A$1:$B$31,2,0)*base!J401,0)</f>
        <v>0</v>
      </c>
      <c r="L401" s="38"/>
      <c r="M401" s="29"/>
      <c r="N401" s="31">
        <f>IF(base!L401&lt;&gt;"",VLOOKUP(L401,de_para!$A$1:$B$31,2,0)*base!M401,0)</f>
        <v>0</v>
      </c>
      <c r="O401" s="38"/>
      <c r="P401" s="29"/>
      <c r="Q401" s="31">
        <f>IF(base!O401&lt;&gt;"",VLOOKUP(O401,de_para!$A$1:$B$31,2,0)*base!P401,0)</f>
        <v>0</v>
      </c>
      <c r="R401" s="38"/>
      <c r="S401" s="29"/>
      <c r="T401" s="31">
        <f>IF(base!R401&lt;&gt;"",VLOOKUP(R401,de_para!$A$1:$B$31,2,0)*base!S401,0)</f>
        <v>0</v>
      </c>
      <c r="U401" s="30">
        <f t="shared" si="7"/>
        <v>0</v>
      </c>
    </row>
    <row r="402" spans="1:21" x14ac:dyDescent="0.35">
      <c r="A402" s="29"/>
      <c r="B402" s="29"/>
      <c r="C402" s="29"/>
      <c r="D402" s="29"/>
      <c r="E402" s="29"/>
      <c r="F402" s="29"/>
      <c r="G402" s="29"/>
      <c r="H402" s="31">
        <f>IF(base!F402&lt;&gt;"",VLOOKUP(F402,de_para!$A$1:$B$31,2,0)*base!G402,0)</f>
        <v>0</v>
      </c>
      <c r="I402" s="38"/>
      <c r="J402" s="29"/>
      <c r="K402" s="31">
        <f>IF(base!I402&lt;&gt;"",VLOOKUP(I402,de_para!$A$1:$B$31,2,0)*base!J402,0)</f>
        <v>0</v>
      </c>
      <c r="L402" s="38"/>
      <c r="M402" s="29"/>
      <c r="N402" s="31">
        <f>IF(base!L402&lt;&gt;"",VLOOKUP(L402,de_para!$A$1:$B$31,2,0)*base!M402,0)</f>
        <v>0</v>
      </c>
      <c r="O402" s="38"/>
      <c r="P402" s="29"/>
      <c r="Q402" s="31">
        <f>IF(base!O402&lt;&gt;"",VLOOKUP(O402,de_para!$A$1:$B$31,2,0)*base!P402,0)</f>
        <v>0</v>
      </c>
      <c r="R402" s="38"/>
      <c r="S402" s="29"/>
      <c r="T402" s="31">
        <f>IF(base!R402&lt;&gt;"",VLOOKUP(R402,de_para!$A$1:$B$31,2,0)*base!S402,0)</f>
        <v>0</v>
      </c>
      <c r="U402" s="30">
        <f t="shared" si="7"/>
        <v>0</v>
      </c>
    </row>
    <row r="403" spans="1:21" x14ac:dyDescent="0.35">
      <c r="A403" s="29"/>
      <c r="B403" s="29"/>
      <c r="C403" s="29"/>
      <c r="D403" s="29"/>
      <c r="E403" s="29"/>
      <c r="F403" s="29"/>
      <c r="G403" s="29"/>
      <c r="H403" s="31">
        <f>IF(base!F403&lt;&gt;"",VLOOKUP(F403,de_para!$A$1:$B$31,2,0)*base!G403,0)</f>
        <v>0</v>
      </c>
      <c r="I403" s="38"/>
      <c r="J403" s="29"/>
      <c r="K403" s="31">
        <f>IF(base!I403&lt;&gt;"",VLOOKUP(I403,de_para!$A$1:$B$31,2,0)*base!J403,0)</f>
        <v>0</v>
      </c>
      <c r="L403" s="38"/>
      <c r="M403" s="29"/>
      <c r="N403" s="31">
        <f>IF(base!L403&lt;&gt;"",VLOOKUP(L403,de_para!$A$1:$B$31,2,0)*base!M403,0)</f>
        <v>0</v>
      </c>
      <c r="O403" s="38"/>
      <c r="P403" s="29"/>
      <c r="Q403" s="31">
        <f>IF(base!O403&lt;&gt;"",VLOOKUP(O403,de_para!$A$1:$B$31,2,0)*base!P403,0)</f>
        <v>0</v>
      </c>
      <c r="R403" s="38"/>
      <c r="S403" s="29"/>
      <c r="T403" s="31">
        <f>IF(base!R403&lt;&gt;"",VLOOKUP(R403,de_para!$A$1:$B$31,2,0)*base!S403,0)</f>
        <v>0</v>
      </c>
      <c r="U403" s="30">
        <f t="shared" si="7"/>
        <v>0</v>
      </c>
    </row>
    <row r="404" spans="1:21" x14ac:dyDescent="0.35">
      <c r="A404" s="29"/>
      <c r="B404" s="29"/>
      <c r="C404" s="29"/>
      <c r="D404" s="29"/>
      <c r="E404" s="29"/>
      <c r="F404" s="29"/>
      <c r="G404" s="29"/>
      <c r="H404" s="31">
        <f>IF(base!F404&lt;&gt;"",VLOOKUP(F404,de_para!$A$1:$B$31,2,0)*base!G404,0)</f>
        <v>0</v>
      </c>
      <c r="I404" s="38"/>
      <c r="J404" s="29"/>
      <c r="K404" s="31">
        <f>IF(base!I404&lt;&gt;"",VLOOKUP(I404,de_para!$A$1:$B$31,2,0)*base!J404,0)</f>
        <v>0</v>
      </c>
      <c r="L404" s="38"/>
      <c r="M404" s="29"/>
      <c r="N404" s="31">
        <f>IF(base!L404&lt;&gt;"",VLOOKUP(L404,de_para!$A$1:$B$31,2,0)*base!M404,0)</f>
        <v>0</v>
      </c>
      <c r="O404" s="38"/>
      <c r="P404" s="29"/>
      <c r="Q404" s="31">
        <f>IF(base!O404&lt;&gt;"",VLOOKUP(O404,de_para!$A$1:$B$31,2,0)*base!P404,0)</f>
        <v>0</v>
      </c>
      <c r="R404" s="38"/>
      <c r="S404" s="29"/>
      <c r="T404" s="31">
        <f>IF(base!R404&lt;&gt;"",VLOOKUP(R404,de_para!$A$1:$B$31,2,0)*base!S404,0)</f>
        <v>0</v>
      </c>
      <c r="U404" s="30">
        <f t="shared" si="7"/>
        <v>0</v>
      </c>
    </row>
    <row r="405" spans="1:21" x14ac:dyDescent="0.35">
      <c r="A405" s="29"/>
      <c r="B405" s="29"/>
      <c r="C405" s="29"/>
      <c r="D405" s="29"/>
      <c r="E405" s="29"/>
      <c r="F405" s="29"/>
      <c r="G405" s="29"/>
      <c r="H405" s="31">
        <f>IF(base!F405&lt;&gt;"",VLOOKUP(F405,de_para!$A$1:$B$31,2,0)*base!G405,0)</f>
        <v>0</v>
      </c>
      <c r="I405" s="38"/>
      <c r="J405" s="29"/>
      <c r="K405" s="31">
        <f>IF(base!I405&lt;&gt;"",VLOOKUP(I405,de_para!$A$1:$B$31,2,0)*base!J405,0)</f>
        <v>0</v>
      </c>
      <c r="L405" s="38"/>
      <c r="M405" s="29"/>
      <c r="N405" s="31">
        <f>IF(base!L405&lt;&gt;"",VLOOKUP(L405,de_para!$A$1:$B$31,2,0)*base!M405,0)</f>
        <v>0</v>
      </c>
      <c r="O405" s="38"/>
      <c r="P405" s="29"/>
      <c r="Q405" s="31">
        <f>IF(base!O405&lt;&gt;"",VLOOKUP(O405,de_para!$A$1:$B$31,2,0)*base!P405,0)</f>
        <v>0</v>
      </c>
      <c r="R405" s="38"/>
      <c r="S405" s="29"/>
      <c r="T405" s="31">
        <f>IF(base!R405&lt;&gt;"",VLOOKUP(R405,de_para!$A$1:$B$31,2,0)*base!S405,0)</f>
        <v>0</v>
      </c>
      <c r="U405" s="30">
        <f t="shared" si="7"/>
        <v>0</v>
      </c>
    </row>
    <row r="406" spans="1:21" x14ac:dyDescent="0.35">
      <c r="A406" s="29"/>
      <c r="B406" s="29"/>
      <c r="C406" s="29"/>
      <c r="D406" s="29"/>
      <c r="E406" s="29"/>
      <c r="F406" s="29"/>
      <c r="G406" s="29"/>
      <c r="H406" s="31">
        <f>IF(base!F406&lt;&gt;"",VLOOKUP(F406,de_para!$A$1:$B$31,2,0)*base!G406,0)</f>
        <v>0</v>
      </c>
      <c r="I406" s="38"/>
      <c r="J406" s="29"/>
      <c r="K406" s="31">
        <f>IF(base!I406&lt;&gt;"",VLOOKUP(I406,de_para!$A$1:$B$31,2,0)*base!J406,0)</f>
        <v>0</v>
      </c>
      <c r="L406" s="38"/>
      <c r="M406" s="29"/>
      <c r="N406" s="31">
        <f>IF(base!L406&lt;&gt;"",VLOOKUP(L406,de_para!$A$1:$B$31,2,0)*base!M406,0)</f>
        <v>0</v>
      </c>
      <c r="O406" s="38"/>
      <c r="P406" s="29"/>
      <c r="Q406" s="31">
        <f>IF(base!O406&lt;&gt;"",VLOOKUP(O406,de_para!$A$1:$B$31,2,0)*base!P406,0)</f>
        <v>0</v>
      </c>
      <c r="R406" s="38"/>
      <c r="S406" s="29"/>
      <c r="T406" s="31">
        <f>IF(base!R406&lt;&gt;"",VLOOKUP(R406,de_para!$A$1:$B$31,2,0)*base!S406,0)</f>
        <v>0</v>
      </c>
      <c r="U406" s="30">
        <f t="shared" si="7"/>
        <v>0</v>
      </c>
    </row>
    <row r="407" spans="1:21" x14ac:dyDescent="0.35">
      <c r="A407" s="29"/>
      <c r="B407" s="29"/>
      <c r="C407" s="29"/>
      <c r="D407" s="29"/>
      <c r="E407" s="29"/>
      <c r="F407" s="29"/>
      <c r="G407" s="29"/>
      <c r="H407" s="31">
        <f>IF(base!F407&lt;&gt;"",VLOOKUP(F407,de_para!$A$1:$B$31,2,0)*base!G407,0)</f>
        <v>0</v>
      </c>
      <c r="I407" s="38"/>
      <c r="J407" s="29"/>
      <c r="K407" s="31">
        <f>IF(base!I407&lt;&gt;"",VLOOKUP(I407,de_para!$A$1:$B$31,2,0)*base!J407,0)</f>
        <v>0</v>
      </c>
      <c r="L407" s="38"/>
      <c r="M407" s="29"/>
      <c r="N407" s="31">
        <f>IF(base!L407&lt;&gt;"",VLOOKUP(L407,de_para!$A$1:$B$31,2,0)*base!M407,0)</f>
        <v>0</v>
      </c>
      <c r="O407" s="38"/>
      <c r="P407" s="29"/>
      <c r="Q407" s="31">
        <f>IF(base!O407&lt;&gt;"",VLOOKUP(O407,de_para!$A$1:$B$31,2,0)*base!P407,0)</f>
        <v>0</v>
      </c>
      <c r="R407" s="38"/>
      <c r="S407" s="29"/>
      <c r="T407" s="31">
        <f>IF(base!R407&lt;&gt;"",VLOOKUP(R407,de_para!$A$1:$B$31,2,0)*base!S407,0)</f>
        <v>0</v>
      </c>
      <c r="U407" s="30">
        <f t="shared" si="7"/>
        <v>0</v>
      </c>
    </row>
    <row r="408" spans="1:21" x14ac:dyDescent="0.35">
      <c r="A408" s="29"/>
      <c r="B408" s="29"/>
      <c r="C408" s="29"/>
      <c r="D408" s="29"/>
      <c r="E408" s="29"/>
      <c r="F408" s="29"/>
      <c r="G408" s="29"/>
      <c r="H408" s="31">
        <f>IF(base!F408&lt;&gt;"",VLOOKUP(F408,de_para!$A$1:$B$31,2,0)*base!G408,0)</f>
        <v>0</v>
      </c>
      <c r="I408" s="38"/>
      <c r="J408" s="29"/>
      <c r="K408" s="31">
        <f>IF(base!I408&lt;&gt;"",VLOOKUP(I408,de_para!$A$1:$B$31,2,0)*base!J408,0)</f>
        <v>0</v>
      </c>
      <c r="L408" s="38"/>
      <c r="M408" s="29"/>
      <c r="N408" s="31">
        <f>IF(base!L408&lt;&gt;"",VLOOKUP(L408,de_para!$A$1:$B$31,2,0)*base!M408,0)</f>
        <v>0</v>
      </c>
      <c r="O408" s="38"/>
      <c r="P408" s="29"/>
      <c r="Q408" s="31">
        <f>IF(base!O408&lt;&gt;"",VLOOKUP(O408,de_para!$A$1:$B$31,2,0)*base!P408,0)</f>
        <v>0</v>
      </c>
      <c r="R408" s="38"/>
      <c r="S408" s="29"/>
      <c r="T408" s="31">
        <f>IF(base!R408&lt;&gt;"",VLOOKUP(R408,de_para!$A$1:$B$31,2,0)*base!S408,0)</f>
        <v>0</v>
      </c>
      <c r="U408" s="30">
        <f t="shared" si="7"/>
        <v>0</v>
      </c>
    </row>
    <row r="409" spans="1:21" x14ac:dyDescent="0.35">
      <c r="A409" s="29"/>
      <c r="B409" s="29"/>
      <c r="C409" s="29"/>
      <c r="D409" s="29"/>
      <c r="E409" s="29"/>
      <c r="F409" s="29"/>
      <c r="G409" s="29"/>
      <c r="H409" s="31">
        <f>IF(base!F409&lt;&gt;"",VLOOKUP(F409,de_para!$A$1:$B$31,2,0)*base!G409,0)</f>
        <v>0</v>
      </c>
      <c r="I409" s="38"/>
      <c r="J409" s="29"/>
      <c r="K409" s="31">
        <f>IF(base!I409&lt;&gt;"",VLOOKUP(I409,de_para!$A$1:$B$31,2,0)*base!J409,0)</f>
        <v>0</v>
      </c>
      <c r="L409" s="38"/>
      <c r="M409" s="29"/>
      <c r="N409" s="31">
        <f>IF(base!L409&lt;&gt;"",VLOOKUP(L409,de_para!$A$1:$B$31,2,0)*base!M409,0)</f>
        <v>0</v>
      </c>
      <c r="O409" s="38"/>
      <c r="P409" s="29"/>
      <c r="Q409" s="31">
        <f>IF(base!O409&lt;&gt;"",VLOOKUP(O409,de_para!$A$1:$B$31,2,0)*base!P409,0)</f>
        <v>0</v>
      </c>
      <c r="R409" s="38"/>
      <c r="S409" s="29"/>
      <c r="T409" s="31">
        <f>IF(base!R409&lt;&gt;"",VLOOKUP(R409,de_para!$A$1:$B$31,2,0)*base!S409,0)</f>
        <v>0</v>
      </c>
      <c r="U409" s="30">
        <f t="shared" si="7"/>
        <v>0</v>
      </c>
    </row>
    <row r="410" spans="1:21" x14ac:dyDescent="0.35">
      <c r="A410" s="29"/>
      <c r="B410" s="29"/>
      <c r="C410" s="29"/>
      <c r="D410" s="29"/>
      <c r="E410" s="29"/>
      <c r="F410" s="29"/>
      <c r="G410" s="29"/>
      <c r="H410" s="31">
        <f>IF(base!F410&lt;&gt;"",VLOOKUP(F410,de_para!$A$1:$B$31,2,0)*base!G410,0)</f>
        <v>0</v>
      </c>
      <c r="I410" s="38"/>
      <c r="J410" s="29"/>
      <c r="K410" s="31">
        <f>IF(base!I410&lt;&gt;"",VLOOKUP(I410,de_para!$A$1:$B$31,2,0)*base!J410,0)</f>
        <v>0</v>
      </c>
      <c r="L410" s="38"/>
      <c r="M410" s="29"/>
      <c r="N410" s="31">
        <f>IF(base!L410&lt;&gt;"",VLOOKUP(L410,de_para!$A$1:$B$31,2,0)*base!M410,0)</f>
        <v>0</v>
      </c>
      <c r="O410" s="38"/>
      <c r="P410" s="29"/>
      <c r="Q410" s="31">
        <f>IF(base!O410&lt;&gt;"",VLOOKUP(O410,de_para!$A$1:$B$31,2,0)*base!P410,0)</f>
        <v>0</v>
      </c>
      <c r="R410" s="38"/>
      <c r="S410" s="29"/>
      <c r="T410" s="31">
        <f>IF(base!R410&lt;&gt;"",VLOOKUP(R410,de_para!$A$1:$B$31,2,0)*base!S410,0)</f>
        <v>0</v>
      </c>
      <c r="U410" s="30">
        <f t="shared" si="7"/>
        <v>0</v>
      </c>
    </row>
    <row r="411" spans="1:21" x14ac:dyDescent="0.35">
      <c r="A411" s="29"/>
      <c r="B411" s="29"/>
      <c r="C411" s="29"/>
      <c r="D411" s="29"/>
      <c r="E411" s="29"/>
      <c r="F411" s="29"/>
      <c r="G411" s="29"/>
      <c r="H411" s="31">
        <f>IF(base!F411&lt;&gt;"",VLOOKUP(F411,de_para!$A$1:$B$31,2,0)*base!G411,0)</f>
        <v>0</v>
      </c>
      <c r="I411" s="38"/>
      <c r="J411" s="29"/>
      <c r="K411" s="31">
        <f>IF(base!I411&lt;&gt;"",VLOOKUP(I411,de_para!$A$1:$B$31,2,0)*base!J411,0)</f>
        <v>0</v>
      </c>
      <c r="L411" s="38"/>
      <c r="M411" s="29"/>
      <c r="N411" s="31">
        <f>IF(base!L411&lt;&gt;"",VLOOKUP(L411,de_para!$A$1:$B$31,2,0)*base!M411,0)</f>
        <v>0</v>
      </c>
      <c r="O411" s="38"/>
      <c r="P411" s="29"/>
      <c r="Q411" s="31">
        <f>IF(base!O411&lt;&gt;"",VLOOKUP(O411,de_para!$A$1:$B$31,2,0)*base!P411,0)</f>
        <v>0</v>
      </c>
      <c r="R411" s="38"/>
      <c r="S411" s="29"/>
      <c r="T411" s="31">
        <f>IF(base!R411&lt;&gt;"",VLOOKUP(R411,de_para!$A$1:$B$31,2,0)*base!S411,0)</f>
        <v>0</v>
      </c>
      <c r="U411" s="30">
        <f t="shared" si="7"/>
        <v>0</v>
      </c>
    </row>
    <row r="412" spans="1:21" x14ac:dyDescent="0.35">
      <c r="A412" s="29"/>
      <c r="B412" s="29"/>
      <c r="C412" s="29"/>
      <c r="D412" s="29"/>
      <c r="E412" s="29"/>
      <c r="F412" s="29"/>
      <c r="G412" s="29"/>
      <c r="H412" s="31">
        <f>IF(base!F412&lt;&gt;"",VLOOKUP(F412,de_para!$A$1:$B$31,2,0)*base!G412,0)</f>
        <v>0</v>
      </c>
      <c r="I412" s="38"/>
      <c r="J412" s="29"/>
      <c r="K412" s="31">
        <f>IF(base!I412&lt;&gt;"",VLOOKUP(I412,de_para!$A$1:$B$31,2,0)*base!J412,0)</f>
        <v>0</v>
      </c>
      <c r="L412" s="38"/>
      <c r="M412" s="29"/>
      <c r="N412" s="31">
        <f>IF(base!L412&lt;&gt;"",VLOOKUP(L412,de_para!$A$1:$B$31,2,0)*base!M412,0)</f>
        <v>0</v>
      </c>
      <c r="O412" s="38"/>
      <c r="P412" s="29"/>
      <c r="Q412" s="31">
        <f>IF(base!O412&lt;&gt;"",VLOOKUP(O412,de_para!$A$1:$B$31,2,0)*base!P412,0)</f>
        <v>0</v>
      </c>
      <c r="R412" s="38"/>
      <c r="S412" s="29"/>
      <c r="T412" s="31">
        <f>IF(base!R412&lt;&gt;"",VLOOKUP(R412,de_para!$A$1:$B$31,2,0)*base!S412,0)</f>
        <v>0</v>
      </c>
      <c r="U412" s="30">
        <f t="shared" si="7"/>
        <v>0</v>
      </c>
    </row>
    <row r="413" spans="1:21" x14ac:dyDescent="0.35">
      <c r="A413" s="29"/>
      <c r="B413" s="29"/>
      <c r="C413" s="29"/>
      <c r="D413" s="29"/>
      <c r="E413" s="29"/>
      <c r="F413" s="29"/>
      <c r="G413" s="29"/>
      <c r="H413" s="31">
        <f>IF(base!F413&lt;&gt;"",VLOOKUP(F413,de_para!$A$1:$B$31,2,0)*base!G413,0)</f>
        <v>0</v>
      </c>
      <c r="I413" s="38"/>
      <c r="J413" s="29"/>
      <c r="K413" s="31">
        <f>IF(base!I413&lt;&gt;"",VLOOKUP(I413,de_para!$A$1:$B$31,2,0)*base!J413,0)</f>
        <v>0</v>
      </c>
      <c r="L413" s="38"/>
      <c r="M413" s="29"/>
      <c r="N413" s="31">
        <f>IF(base!L413&lt;&gt;"",VLOOKUP(L413,de_para!$A$1:$B$31,2,0)*base!M413,0)</f>
        <v>0</v>
      </c>
      <c r="O413" s="38"/>
      <c r="P413" s="29"/>
      <c r="Q413" s="31">
        <f>IF(base!O413&lt;&gt;"",VLOOKUP(O413,de_para!$A$1:$B$31,2,0)*base!P413,0)</f>
        <v>0</v>
      </c>
      <c r="R413" s="38"/>
      <c r="S413" s="29"/>
      <c r="T413" s="31">
        <f>IF(base!R413&lt;&gt;"",VLOOKUP(R413,de_para!$A$1:$B$31,2,0)*base!S413,0)</f>
        <v>0</v>
      </c>
      <c r="U413" s="30">
        <f t="shared" si="7"/>
        <v>0</v>
      </c>
    </row>
    <row r="414" spans="1:21" x14ac:dyDescent="0.35">
      <c r="A414" s="29"/>
      <c r="B414" s="29"/>
      <c r="C414" s="29"/>
      <c r="D414" s="29"/>
      <c r="E414" s="29"/>
      <c r="F414" s="29"/>
      <c r="G414" s="29"/>
      <c r="H414" s="31">
        <f>IF(base!F414&lt;&gt;"",VLOOKUP(F414,de_para!$A$1:$B$31,2,0)*base!G414,0)</f>
        <v>0</v>
      </c>
      <c r="I414" s="38"/>
      <c r="J414" s="29"/>
      <c r="K414" s="31">
        <f>IF(base!I414&lt;&gt;"",VLOOKUP(I414,de_para!$A$1:$B$31,2,0)*base!J414,0)</f>
        <v>0</v>
      </c>
      <c r="L414" s="38"/>
      <c r="M414" s="29"/>
      <c r="N414" s="31">
        <f>IF(base!L414&lt;&gt;"",VLOOKUP(L414,de_para!$A$1:$B$31,2,0)*base!M414,0)</f>
        <v>0</v>
      </c>
      <c r="O414" s="38"/>
      <c r="P414" s="29"/>
      <c r="Q414" s="31">
        <f>IF(base!O414&lt;&gt;"",VLOOKUP(O414,de_para!$A$1:$B$31,2,0)*base!P414,0)</f>
        <v>0</v>
      </c>
      <c r="R414" s="38"/>
      <c r="S414" s="29"/>
      <c r="T414" s="31">
        <f>IF(base!R414&lt;&gt;"",VLOOKUP(R414,de_para!$A$1:$B$31,2,0)*base!S414,0)</f>
        <v>0</v>
      </c>
      <c r="U414" s="30">
        <f t="shared" si="7"/>
        <v>0</v>
      </c>
    </row>
    <row r="415" spans="1:21" x14ac:dyDescent="0.35">
      <c r="A415" s="29"/>
      <c r="B415" s="29"/>
      <c r="C415" s="29"/>
      <c r="D415" s="29"/>
      <c r="E415" s="29"/>
      <c r="F415" s="29"/>
      <c r="G415" s="29"/>
      <c r="H415" s="31">
        <f>IF(base!F415&lt;&gt;"",VLOOKUP(F415,de_para!$A$1:$B$31,2,0)*base!G415,0)</f>
        <v>0</v>
      </c>
      <c r="I415" s="38"/>
      <c r="J415" s="29"/>
      <c r="K415" s="31">
        <f>IF(base!I415&lt;&gt;"",VLOOKUP(I415,de_para!$A$1:$B$31,2,0)*base!J415,0)</f>
        <v>0</v>
      </c>
      <c r="L415" s="38"/>
      <c r="M415" s="29"/>
      <c r="N415" s="31">
        <f>IF(base!L415&lt;&gt;"",VLOOKUP(L415,de_para!$A$1:$B$31,2,0)*base!M415,0)</f>
        <v>0</v>
      </c>
      <c r="O415" s="38"/>
      <c r="P415" s="29"/>
      <c r="Q415" s="31">
        <f>IF(base!O415&lt;&gt;"",VLOOKUP(O415,de_para!$A$1:$B$31,2,0)*base!P415,0)</f>
        <v>0</v>
      </c>
      <c r="R415" s="38"/>
      <c r="S415" s="29"/>
      <c r="T415" s="31">
        <f>IF(base!R415&lt;&gt;"",VLOOKUP(R415,de_para!$A$1:$B$31,2,0)*base!S415,0)</f>
        <v>0</v>
      </c>
      <c r="U415" s="30">
        <f t="shared" si="7"/>
        <v>0</v>
      </c>
    </row>
    <row r="416" spans="1:21" x14ac:dyDescent="0.35">
      <c r="A416" s="29"/>
      <c r="B416" s="29"/>
      <c r="C416" s="29"/>
      <c r="D416" s="29"/>
      <c r="E416" s="29"/>
      <c r="F416" s="29"/>
      <c r="G416" s="29"/>
      <c r="H416" s="31">
        <f>IF(base!F416&lt;&gt;"",VLOOKUP(F416,de_para!$A$1:$B$31,2,0)*base!G416,0)</f>
        <v>0</v>
      </c>
      <c r="I416" s="38"/>
      <c r="J416" s="29"/>
      <c r="K416" s="31">
        <f>IF(base!I416&lt;&gt;"",VLOOKUP(I416,de_para!$A$1:$B$31,2,0)*base!J416,0)</f>
        <v>0</v>
      </c>
      <c r="L416" s="38"/>
      <c r="M416" s="29"/>
      <c r="N416" s="31">
        <f>IF(base!L416&lt;&gt;"",VLOOKUP(L416,de_para!$A$1:$B$31,2,0)*base!M416,0)</f>
        <v>0</v>
      </c>
      <c r="O416" s="38"/>
      <c r="P416" s="29"/>
      <c r="Q416" s="31">
        <f>IF(base!O416&lt;&gt;"",VLOOKUP(O416,de_para!$A$1:$B$31,2,0)*base!P416,0)</f>
        <v>0</v>
      </c>
      <c r="R416" s="38"/>
      <c r="S416" s="29"/>
      <c r="T416" s="31">
        <f>IF(base!R416&lt;&gt;"",VLOOKUP(R416,de_para!$A$1:$B$31,2,0)*base!S416,0)</f>
        <v>0</v>
      </c>
      <c r="U416" s="30">
        <f t="shared" si="7"/>
        <v>0</v>
      </c>
    </row>
    <row r="417" spans="1:21" x14ac:dyDescent="0.35">
      <c r="A417" s="29"/>
      <c r="B417" s="29"/>
      <c r="C417" s="29"/>
      <c r="D417" s="29"/>
      <c r="E417" s="29"/>
      <c r="F417" s="29"/>
      <c r="G417" s="29"/>
      <c r="H417" s="31">
        <f>IF(base!F417&lt;&gt;"",VLOOKUP(F417,de_para!$A$1:$B$31,2,0)*base!G417,0)</f>
        <v>0</v>
      </c>
      <c r="I417" s="38"/>
      <c r="J417" s="29"/>
      <c r="K417" s="31">
        <f>IF(base!I417&lt;&gt;"",VLOOKUP(I417,de_para!$A$1:$B$31,2,0)*base!J417,0)</f>
        <v>0</v>
      </c>
      <c r="L417" s="38"/>
      <c r="M417" s="29"/>
      <c r="N417" s="31">
        <f>IF(base!L417&lt;&gt;"",VLOOKUP(L417,de_para!$A$1:$B$31,2,0)*base!M417,0)</f>
        <v>0</v>
      </c>
      <c r="O417" s="38"/>
      <c r="P417" s="29"/>
      <c r="Q417" s="31">
        <f>IF(base!O417&lt;&gt;"",VLOOKUP(O417,de_para!$A$1:$B$31,2,0)*base!P417,0)</f>
        <v>0</v>
      </c>
      <c r="R417" s="38"/>
      <c r="S417" s="29"/>
      <c r="T417" s="31">
        <f>IF(base!R417&lt;&gt;"",VLOOKUP(R417,de_para!$A$1:$B$31,2,0)*base!S417,0)</f>
        <v>0</v>
      </c>
      <c r="U417" s="30">
        <f t="shared" si="7"/>
        <v>0</v>
      </c>
    </row>
    <row r="418" spans="1:21" x14ac:dyDescent="0.35">
      <c r="A418" s="29"/>
      <c r="B418" s="29"/>
      <c r="C418" s="29"/>
      <c r="D418" s="29"/>
      <c r="E418" s="29"/>
      <c r="F418" s="29"/>
      <c r="G418" s="29"/>
      <c r="H418" s="31">
        <f>IF(base!F418&lt;&gt;"",VLOOKUP(F418,de_para!$A$1:$B$31,2,0)*base!G418,0)</f>
        <v>0</v>
      </c>
      <c r="I418" s="38"/>
      <c r="J418" s="29"/>
      <c r="K418" s="31">
        <f>IF(base!I418&lt;&gt;"",VLOOKUP(I418,de_para!$A$1:$B$31,2,0)*base!J418,0)</f>
        <v>0</v>
      </c>
      <c r="L418" s="38"/>
      <c r="M418" s="29"/>
      <c r="N418" s="31">
        <f>IF(base!L418&lt;&gt;"",VLOOKUP(L418,de_para!$A$1:$B$31,2,0)*base!M418,0)</f>
        <v>0</v>
      </c>
      <c r="O418" s="38"/>
      <c r="P418" s="29"/>
      <c r="Q418" s="31">
        <f>IF(base!O418&lt;&gt;"",VLOOKUP(O418,de_para!$A$1:$B$31,2,0)*base!P418,0)</f>
        <v>0</v>
      </c>
      <c r="R418" s="38"/>
      <c r="S418" s="29"/>
      <c r="T418" s="31">
        <f>IF(base!R418&lt;&gt;"",VLOOKUP(R418,de_para!$A$1:$B$31,2,0)*base!S418,0)</f>
        <v>0</v>
      </c>
      <c r="U418" s="30">
        <f t="shared" si="7"/>
        <v>0</v>
      </c>
    </row>
    <row r="419" spans="1:21" x14ac:dyDescent="0.35">
      <c r="A419" s="29"/>
      <c r="B419" s="29"/>
      <c r="C419" s="29"/>
      <c r="D419" s="29"/>
      <c r="E419" s="29"/>
      <c r="F419" s="29"/>
      <c r="G419" s="29"/>
      <c r="H419" s="31">
        <f>IF(base!F419&lt;&gt;"",VLOOKUP(F419,de_para!$A$1:$B$31,2,0)*base!G419,0)</f>
        <v>0</v>
      </c>
      <c r="I419" s="38"/>
      <c r="J419" s="29"/>
      <c r="K419" s="31">
        <f>IF(base!I419&lt;&gt;"",VLOOKUP(I419,de_para!$A$1:$B$31,2,0)*base!J419,0)</f>
        <v>0</v>
      </c>
      <c r="L419" s="38"/>
      <c r="M419" s="29"/>
      <c r="N419" s="31">
        <f>IF(base!L419&lt;&gt;"",VLOOKUP(L419,de_para!$A$1:$B$31,2,0)*base!M419,0)</f>
        <v>0</v>
      </c>
      <c r="O419" s="38"/>
      <c r="P419" s="29"/>
      <c r="Q419" s="31">
        <f>IF(base!O419&lt;&gt;"",VLOOKUP(O419,de_para!$A$1:$B$31,2,0)*base!P419,0)</f>
        <v>0</v>
      </c>
      <c r="R419" s="38"/>
      <c r="S419" s="29"/>
      <c r="T419" s="31">
        <f>IF(base!R419&lt;&gt;"",VLOOKUP(R419,de_para!$A$1:$B$31,2,0)*base!S419,0)</f>
        <v>0</v>
      </c>
      <c r="U419" s="30">
        <f t="shared" si="7"/>
        <v>0</v>
      </c>
    </row>
    <row r="420" spans="1:21" x14ac:dyDescent="0.35">
      <c r="A420" s="29"/>
      <c r="B420" s="29"/>
      <c r="C420" s="29"/>
      <c r="D420" s="29"/>
      <c r="E420" s="29"/>
      <c r="F420" s="29"/>
      <c r="G420" s="29"/>
      <c r="H420" s="31">
        <f>IF(base!F420&lt;&gt;"",VLOOKUP(F420,de_para!$A$1:$B$31,2,0)*base!G420,0)</f>
        <v>0</v>
      </c>
      <c r="I420" s="38"/>
      <c r="J420" s="29"/>
      <c r="K420" s="31">
        <f>IF(base!I420&lt;&gt;"",VLOOKUP(I420,de_para!$A$1:$B$31,2,0)*base!J420,0)</f>
        <v>0</v>
      </c>
      <c r="L420" s="38"/>
      <c r="M420" s="29"/>
      <c r="N420" s="31">
        <f>IF(base!L420&lt;&gt;"",VLOOKUP(L420,de_para!$A$1:$B$31,2,0)*base!M420,0)</f>
        <v>0</v>
      </c>
      <c r="O420" s="38"/>
      <c r="P420" s="29"/>
      <c r="Q420" s="31">
        <f>IF(base!O420&lt;&gt;"",VLOOKUP(O420,de_para!$A$1:$B$31,2,0)*base!P420,0)</f>
        <v>0</v>
      </c>
      <c r="R420" s="38"/>
      <c r="S420" s="29"/>
      <c r="T420" s="31">
        <f>IF(base!R420&lt;&gt;"",VLOOKUP(R420,de_para!$A$1:$B$31,2,0)*base!S420,0)</f>
        <v>0</v>
      </c>
      <c r="U420" s="30">
        <f t="shared" si="7"/>
        <v>0</v>
      </c>
    </row>
    <row r="421" spans="1:21" x14ac:dyDescent="0.35">
      <c r="A421" s="29"/>
      <c r="B421" s="29"/>
      <c r="C421" s="29"/>
      <c r="D421" s="29"/>
      <c r="E421" s="29"/>
      <c r="F421" s="29"/>
      <c r="G421" s="29"/>
      <c r="H421" s="31">
        <f>IF(base!F421&lt;&gt;"",VLOOKUP(F421,de_para!$A$1:$B$31,2,0)*base!G421,0)</f>
        <v>0</v>
      </c>
      <c r="I421" s="38"/>
      <c r="J421" s="29"/>
      <c r="K421" s="31">
        <f>IF(base!I421&lt;&gt;"",VLOOKUP(I421,de_para!$A$1:$B$31,2,0)*base!J421,0)</f>
        <v>0</v>
      </c>
      <c r="L421" s="38"/>
      <c r="M421" s="29"/>
      <c r="N421" s="31">
        <f>IF(base!L421&lt;&gt;"",VLOOKUP(L421,de_para!$A$1:$B$31,2,0)*base!M421,0)</f>
        <v>0</v>
      </c>
      <c r="O421" s="38"/>
      <c r="P421" s="29"/>
      <c r="Q421" s="31">
        <f>IF(base!O421&lt;&gt;"",VLOOKUP(O421,de_para!$A$1:$B$31,2,0)*base!P421,0)</f>
        <v>0</v>
      </c>
      <c r="R421" s="38"/>
      <c r="S421" s="29"/>
      <c r="T421" s="31">
        <f>IF(base!R421&lt;&gt;"",VLOOKUP(R421,de_para!$A$1:$B$31,2,0)*base!S421,0)</f>
        <v>0</v>
      </c>
      <c r="U421" s="30">
        <f t="shared" si="7"/>
        <v>0</v>
      </c>
    </row>
    <row r="422" spans="1:21" x14ac:dyDescent="0.35">
      <c r="A422" s="29"/>
      <c r="B422" s="29"/>
      <c r="C422" s="29"/>
      <c r="D422" s="29"/>
      <c r="E422" s="29"/>
      <c r="F422" s="29"/>
      <c r="G422" s="29"/>
      <c r="H422" s="31">
        <f>IF(base!F422&lt;&gt;"",VLOOKUP(F422,de_para!$A$1:$B$31,2,0)*base!G422,0)</f>
        <v>0</v>
      </c>
      <c r="I422" s="38"/>
      <c r="J422" s="29"/>
      <c r="K422" s="31">
        <f>IF(base!I422&lt;&gt;"",VLOOKUP(I422,de_para!$A$1:$B$31,2,0)*base!J422,0)</f>
        <v>0</v>
      </c>
      <c r="L422" s="38"/>
      <c r="M422" s="29"/>
      <c r="N422" s="31">
        <f>IF(base!L422&lt;&gt;"",VLOOKUP(L422,de_para!$A$1:$B$31,2,0)*base!M422,0)</f>
        <v>0</v>
      </c>
      <c r="O422" s="38"/>
      <c r="P422" s="29"/>
      <c r="Q422" s="31">
        <f>IF(base!O422&lt;&gt;"",VLOOKUP(O422,de_para!$A$1:$B$31,2,0)*base!P422,0)</f>
        <v>0</v>
      </c>
      <c r="R422" s="38"/>
      <c r="S422" s="29"/>
      <c r="T422" s="31">
        <f>IF(base!R422&lt;&gt;"",VLOOKUP(R422,de_para!$A$1:$B$31,2,0)*base!S422,0)</f>
        <v>0</v>
      </c>
      <c r="U422" s="30">
        <f t="shared" si="7"/>
        <v>0</v>
      </c>
    </row>
    <row r="423" spans="1:21" x14ac:dyDescent="0.35">
      <c r="A423" s="29"/>
      <c r="B423" s="29"/>
      <c r="C423" s="29"/>
      <c r="D423" s="29"/>
      <c r="E423" s="29"/>
      <c r="F423" s="29"/>
      <c r="G423" s="29"/>
      <c r="H423" s="31">
        <f>IF(base!F423&lt;&gt;"",VLOOKUP(F423,de_para!$A$1:$B$31,2,0)*base!G423,0)</f>
        <v>0</v>
      </c>
      <c r="I423" s="38"/>
      <c r="J423" s="29"/>
      <c r="K423" s="31">
        <f>IF(base!I423&lt;&gt;"",VLOOKUP(I423,de_para!$A$1:$B$31,2,0)*base!J423,0)</f>
        <v>0</v>
      </c>
      <c r="L423" s="38"/>
      <c r="M423" s="29"/>
      <c r="N423" s="31">
        <f>IF(base!L423&lt;&gt;"",VLOOKUP(L423,de_para!$A$1:$B$31,2,0)*base!M423,0)</f>
        <v>0</v>
      </c>
      <c r="O423" s="38"/>
      <c r="P423" s="29"/>
      <c r="Q423" s="31">
        <f>IF(base!O423&lt;&gt;"",VLOOKUP(O423,de_para!$A$1:$B$31,2,0)*base!P423,0)</f>
        <v>0</v>
      </c>
      <c r="R423" s="38"/>
      <c r="S423" s="29"/>
      <c r="T423" s="31">
        <f>IF(base!R423&lt;&gt;"",VLOOKUP(R423,de_para!$A$1:$B$31,2,0)*base!S423,0)</f>
        <v>0</v>
      </c>
      <c r="U423" s="30">
        <f t="shared" si="7"/>
        <v>0</v>
      </c>
    </row>
    <row r="424" spans="1:21" x14ac:dyDescent="0.35">
      <c r="A424" s="29"/>
      <c r="B424" s="29"/>
      <c r="C424" s="29"/>
      <c r="D424" s="29"/>
      <c r="E424" s="29"/>
      <c r="F424" s="29"/>
      <c r="G424" s="29"/>
      <c r="H424" s="31">
        <f>IF(base!F424&lt;&gt;"",VLOOKUP(F424,de_para!$A$1:$B$31,2,0)*base!G424,0)</f>
        <v>0</v>
      </c>
      <c r="I424" s="38"/>
      <c r="J424" s="29"/>
      <c r="K424" s="31">
        <f>IF(base!I424&lt;&gt;"",VLOOKUP(I424,de_para!$A$1:$B$31,2,0)*base!J424,0)</f>
        <v>0</v>
      </c>
      <c r="L424" s="38"/>
      <c r="M424" s="29"/>
      <c r="N424" s="31">
        <f>IF(base!L424&lt;&gt;"",VLOOKUP(L424,de_para!$A$1:$B$31,2,0)*base!M424,0)</f>
        <v>0</v>
      </c>
      <c r="O424" s="38"/>
      <c r="P424" s="29"/>
      <c r="Q424" s="31">
        <f>IF(base!O424&lt;&gt;"",VLOOKUP(O424,de_para!$A$1:$B$31,2,0)*base!P424,0)</f>
        <v>0</v>
      </c>
      <c r="R424" s="38"/>
      <c r="S424" s="29"/>
      <c r="T424" s="31">
        <f>IF(base!R424&lt;&gt;"",VLOOKUP(R424,de_para!$A$1:$B$31,2,0)*base!S424,0)</f>
        <v>0</v>
      </c>
      <c r="U424" s="30">
        <f t="shared" si="7"/>
        <v>0</v>
      </c>
    </row>
    <row r="425" spans="1:21" x14ac:dyDescent="0.35">
      <c r="A425" s="29"/>
      <c r="B425" s="29"/>
      <c r="C425" s="29"/>
      <c r="D425" s="29"/>
      <c r="E425" s="29"/>
      <c r="F425" s="29"/>
      <c r="G425" s="29"/>
      <c r="H425" s="31">
        <f>IF(base!F425&lt;&gt;"",VLOOKUP(F425,de_para!$A$1:$B$31,2,0)*base!G425,0)</f>
        <v>0</v>
      </c>
      <c r="I425" s="38"/>
      <c r="J425" s="29"/>
      <c r="K425" s="31">
        <f>IF(base!I425&lt;&gt;"",VLOOKUP(I425,de_para!$A$1:$B$31,2,0)*base!J425,0)</f>
        <v>0</v>
      </c>
      <c r="L425" s="38"/>
      <c r="M425" s="29"/>
      <c r="N425" s="31">
        <f>IF(base!L425&lt;&gt;"",VLOOKUP(L425,de_para!$A$1:$B$31,2,0)*base!M425,0)</f>
        <v>0</v>
      </c>
      <c r="O425" s="38"/>
      <c r="P425" s="29"/>
      <c r="Q425" s="31">
        <f>IF(base!O425&lt;&gt;"",VLOOKUP(O425,de_para!$A$1:$B$31,2,0)*base!P425,0)</f>
        <v>0</v>
      </c>
      <c r="R425" s="38"/>
      <c r="S425" s="29"/>
      <c r="T425" s="31">
        <f>IF(base!R425&lt;&gt;"",VLOOKUP(R425,de_para!$A$1:$B$31,2,0)*base!S425,0)</f>
        <v>0</v>
      </c>
      <c r="U425" s="30">
        <f t="shared" si="7"/>
        <v>0</v>
      </c>
    </row>
    <row r="426" spans="1:21" x14ac:dyDescent="0.35">
      <c r="A426" s="29"/>
      <c r="B426" s="29"/>
      <c r="C426" s="29"/>
      <c r="D426" s="29"/>
      <c r="E426" s="29"/>
      <c r="F426" s="29"/>
      <c r="G426" s="29"/>
      <c r="H426" s="31">
        <f>IF(base!F426&lt;&gt;"",VLOOKUP(F426,de_para!$A$1:$B$31,2,0)*base!G426,0)</f>
        <v>0</v>
      </c>
      <c r="I426" s="38"/>
      <c r="J426" s="29"/>
      <c r="K426" s="31">
        <f>IF(base!I426&lt;&gt;"",VLOOKUP(I426,de_para!$A$1:$B$31,2,0)*base!J426,0)</f>
        <v>0</v>
      </c>
      <c r="L426" s="38"/>
      <c r="M426" s="29"/>
      <c r="N426" s="31">
        <f>IF(base!L426&lt;&gt;"",VLOOKUP(L426,de_para!$A$1:$B$31,2,0)*base!M426,0)</f>
        <v>0</v>
      </c>
      <c r="O426" s="38"/>
      <c r="P426" s="29"/>
      <c r="Q426" s="31">
        <f>IF(base!O426&lt;&gt;"",VLOOKUP(O426,de_para!$A$1:$B$31,2,0)*base!P426,0)</f>
        <v>0</v>
      </c>
      <c r="R426" s="38"/>
      <c r="S426" s="29"/>
      <c r="T426" s="31">
        <f>IF(base!R426&lt;&gt;"",VLOOKUP(R426,de_para!$A$1:$B$31,2,0)*base!S426,0)</f>
        <v>0</v>
      </c>
      <c r="U426" s="30">
        <f t="shared" si="7"/>
        <v>0</v>
      </c>
    </row>
    <row r="427" spans="1:21" x14ac:dyDescent="0.35">
      <c r="A427" s="29"/>
      <c r="B427" s="29"/>
      <c r="C427" s="29"/>
      <c r="D427" s="29"/>
      <c r="E427" s="29"/>
      <c r="F427" s="29"/>
      <c r="G427" s="29"/>
      <c r="H427" s="31">
        <f>IF(base!F427&lt;&gt;"",VLOOKUP(F427,de_para!$A$1:$B$31,2,0)*base!G427,0)</f>
        <v>0</v>
      </c>
      <c r="I427" s="38"/>
      <c r="J427" s="29"/>
      <c r="K427" s="31">
        <f>IF(base!I427&lt;&gt;"",VLOOKUP(I427,de_para!$A$1:$B$31,2,0)*base!J427,0)</f>
        <v>0</v>
      </c>
      <c r="L427" s="38"/>
      <c r="M427" s="29"/>
      <c r="N427" s="31">
        <f>IF(base!L427&lt;&gt;"",VLOOKUP(L427,de_para!$A$1:$B$31,2,0)*base!M427,0)</f>
        <v>0</v>
      </c>
      <c r="O427" s="38"/>
      <c r="P427" s="29"/>
      <c r="Q427" s="31">
        <f>IF(base!O427&lt;&gt;"",VLOOKUP(O427,de_para!$A$1:$B$31,2,0)*base!P427,0)</f>
        <v>0</v>
      </c>
      <c r="R427" s="38"/>
      <c r="S427" s="29"/>
      <c r="T427" s="31">
        <f>IF(base!R427&lt;&gt;"",VLOOKUP(R427,de_para!$A$1:$B$31,2,0)*base!S427,0)</f>
        <v>0</v>
      </c>
      <c r="U427" s="30">
        <f t="shared" si="7"/>
        <v>0</v>
      </c>
    </row>
    <row r="428" spans="1:21" x14ac:dyDescent="0.35">
      <c r="A428" s="29"/>
      <c r="B428" s="29"/>
      <c r="C428" s="29"/>
      <c r="D428" s="29"/>
      <c r="E428" s="29"/>
      <c r="F428" s="29"/>
      <c r="G428" s="29"/>
      <c r="H428" s="31">
        <f>IF(base!F428&lt;&gt;"",VLOOKUP(F428,de_para!$A$1:$B$31,2,0)*base!G428,0)</f>
        <v>0</v>
      </c>
      <c r="I428" s="38"/>
      <c r="J428" s="29"/>
      <c r="K428" s="31">
        <f>IF(base!I428&lt;&gt;"",VLOOKUP(I428,de_para!$A$1:$B$31,2,0)*base!J428,0)</f>
        <v>0</v>
      </c>
      <c r="L428" s="38"/>
      <c r="M428" s="29"/>
      <c r="N428" s="31">
        <f>IF(base!L428&lt;&gt;"",VLOOKUP(L428,de_para!$A$1:$B$31,2,0)*base!M428,0)</f>
        <v>0</v>
      </c>
      <c r="O428" s="38"/>
      <c r="P428" s="29"/>
      <c r="Q428" s="31">
        <f>IF(base!O428&lt;&gt;"",VLOOKUP(O428,de_para!$A$1:$B$31,2,0)*base!P428,0)</f>
        <v>0</v>
      </c>
      <c r="R428" s="38"/>
      <c r="S428" s="29"/>
      <c r="T428" s="31">
        <f>IF(base!R428&lt;&gt;"",VLOOKUP(R428,de_para!$A$1:$B$31,2,0)*base!S428,0)</f>
        <v>0</v>
      </c>
      <c r="U428" s="30">
        <f t="shared" si="7"/>
        <v>0</v>
      </c>
    </row>
    <row r="429" spans="1:21" x14ac:dyDescent="0.35">
      <c r="A429" s="29"/>
      <c r="B429" s="29"/>
      <c r="C429" s="29"/>
      <c r="D429" s="29"/>
      <c r="E429" s="29"/>
      <c r="F429" s="29"/>
      <c r="G429" s="29"/>
      <c r="H429" s="31">
        <f>IF(base!F429&lt;&gt;"",VLOOKUP(F429,de_para!$A$1:$B$31,2,0)*base!G429,0)</f>
        <v>0</v>
      </c>
      <c r="I429" s="38"/>
      <c r="J429" s="29"/>
      <c r="K429" s="31">
        <f>IF(base!I429&lt;&gt;"",VLOOKUP(I429,de_para!$A$1:$B$31,2,0)*base!J429,0)</f>
        <v>0</v>
      </c>
      <c r="L429" s="38"/>
      <c r="M429" s="29"/>
      <c r="N429" s="31">
        <f>IF(base!L429&lt;&gt;"",VLOOKUP(L429,de_para!$A$1:$B$31,2,0)*base!M429,0)</f>
        <v>0</v>
      </c>
      <c r="O429" s="38"/>
      <c r="P429" s="29"/>
      <c r="Q429" s="31">
        <f>IF(base!O429&lt;&gt;"",VLOOKUP(O429,de_para!$A$1:$B$31,2,0)*base!P429,0)</f>
        <v>0</v>
      </c>
      <c r="R429" s="38"/>
      <c r="S429" s="29"/>
      <c r="T429" s="31">
        <f>IF(base!R429&lt;&gt;"",VLOOKUP(R429,de_para!$A$1:$B$31,2,0)*base!S429,0)</f>
        <v>0</v>
      </c>
      <c r="U429" s="30">
        <f t="shared" si="7"/>
        <v>0</v>
      </c>
    </row>
    <row r="430" spans="1:21" x14ac:dyDescent="0.35">
      <c r="A430" s="29"/>
      <c r="B430" s="29"/>
      <c r="C430" s="29"/>
      <c r="D430" s="29"/>
      <c r="E430" s="29"/>
      <c r="F430" s="29"/>
      <c r="G430" s="29"/>
      <c r="H430" s="31">
        <f>IF(base!F430&lt;&gt;"",VLOOKUP(F430,de_para!$A$1:$B$31,2,0)*base!G430,0)</f>
        <v>0</v>
      </c>
      <c r="I430" s="38"/>
      <c r="J430" s="29"/>
      <c r="K430" s="31">
        <f>IF(base!I430&lt;&gt;"",VLOOKUP(I430,de_para!$A$1:$B$31,2,0)*base!J430,0)</f>
        <v>0</v>
      </c>
      <c r="L430" s="38"/>
      <c r="M430" s="29"/>
      <c r="N430" s="31">
        <f>IF(base!L430&lt;&gt;"",VLOOKUP(L430,de_para!$A$1:$B$31,2,0)*base!M430,0)</f>
        <v>0</v>
      </c>
      <c r="O430" s="38"/>
      <c r="P430" s="29"/>
      <c r="Q430" s="31">
        <f>IF(base!O430&lt;&gt;"",VLOOKUP(O430,de_para!$A$1:$B$31,2,0)*base!P430,0)</f>
        <v>0</v>
      </c>
      <c r="R430" s="38"/>
      <c r="S430" s="29"/>
      <c r="T430" s="31">
        <f>IF(base!R430&lt;&gt;"",VLOOKUP(R430,de_para!$A$1:$B$31,2,0)*base!S430,0)</f>
        <v>0</v>
      </c>
      <c r="U430" s="30">
        <f t="shared" si="7"/>
        <v>0</v>
      </c>
    </row>
    <row r="431" spans="1:21" x14ac:dyDescent="0.35">
      <c r="A431" s="29"/>
      <c r="B431" s="29"/>
      <c r="C431" s="29"/>
      <c r="D431" s="29"/>
      <c r="E431" s="29"/>
      <c r="F431" s="29"/>
      <c r="G431" s="29"/>
      <c r="H431" s="31">
        <f>IF(base!F431&lt;&gt;"",VLOOKUP(F431,de_para!$A$1:$B$31,2,0)*base!G431,0)</f>
        <v>0</v>
      </c>
      <c r="I431" s="38"/>
      <c r="J431" s="29"/>
      <c r="K431" s="31">
        <f>IF(base!I431&lt;&gt;"",VLOOKUP(I431,de_para!$A$1:$B$31,2,0)*base!J431,0)</f>
        <v>0</v>
      </c>
      <c r="L431" s="38"/>
      <c r="M431" s="29"/>
      <c r="N431" s="31">
        <f>IF(base!L431&lt;&gt;"",VLOOKUP(L431,de_para!$A$1:$B$31,2,0)*base!M431,0)</f>
        <v>0</v>
      </c>
      <c r="O431" s="38"/>
      <c r="P431" s="29"/>
      <c r="Q431" s="31">
        <f>IF(base!O431&lt;&gt;"",VLOOKUP(O431,de_para!$A$1:$B$31,2,0)*base!P431,0)</f>
        <v>0</v>
      </c>
      <c r="R431" s="38"/>
      <c r="S431" s="29"/>
      <c r="T431" s="31">
        <f>IF(base!R431&lt;&gt;"",VLOOKUP(R431,de_para!$A$1:$B$31,2,0)*base!S431,0)</f>
        <v>0</v>
      </c>
      <c r="U431" s="30">
        <f t="shared" si="7"/>
        <v>0</v>
      </c>
    </row>
    <row r="432" spans="1:21" x14ac:dyDescent="0.35">
      <c r="A432" s="29"/>
      <c r="B432" s="29"/>
      <c r="C432" s="29"/>
      <c r="D432" s="29"/>
      <c r="E432" s="29"/>
      <c r="F432" s="29"/>
      <c r="G432" s="29"/>
      <c r="H432" s="31">
        <f>IF(base!F432&lt;&gt;"",VLOOKUP(F432,de_para!$A$1:$B$31,2,0)*base!G432,0)</f>
        <v>0</v>
      </c>
      <c r="I432" s="38"/>
      <c r="J432" s="29"/>
      <c r="K432" s="31">
        <f>IF(base!I432&lt;&gt;"",VLOOKUP(I432,de_para!$A$1:$B$31,2,0)*base!J432,0)</f>
        <v>0</v>
      </c>
      <c r="L432" s="38"/>
      <c r="M432" s="29"/>
      <c r="N432" s="31">
        <f>IF(base!L432&lt;&gt;"",VLOOKUP(L432,de_para!$A$1:$B$31,2,0)*base!M432,0)</f>
        <v>0</v>
      </c>
      <c r="O432" s="38"/>
      <c r="P432" s="29"/>
      <c r="Q432" s="31">
        <f>IF(base!O432&lt;&gt;"",VLOOKUP(O432,de_para!$A$1:$B$31,2,0)*base!P432,0)</f>
        <v>0</v>
      </c>
      <c r="R432" s="38"/>
      <c r="S432" s="29"/>
      <c r="T432" s="31">
        <f>IF(base!R432&lt;&gt;"",VLOOKUP(R432,de_para!$A$1:$B$31,2,0)*base!S432,0)</f>
        <v>0</v>
      </c>
      <c r="U432" s="30">
        <f t="shared" si="7"/>
        <v>0</v>
      </c>
    </row>
    <row r="433" spans="1:21" x14ac:dyDescent="0.35">
      <c r="A433" s="29"/>
      <c r="B433" s="29"/>
      <c r="C433" s="29"/>
      <c r="D433" s="29"/>
      <c r="E433" s="29"/>
      <c r="F433" s="29"/>
      <c r="G433" s="29"/>
      <c r="H433" s="31">
        <f>IF(base!F433&lt;&gt;"",VLOOKUP(F433,de_para!$A$1:$B$31,2,0)*base!G433,0)</f>
        <v>0</v>
      </c>
      <c r="I433" s="38"/>
      <c r="J433" s="29"/>
      <c r="K433" s="31">
        <f>IF(base!I433&lt;&gt;"",VLOOKUP(I433,de_para!$A$1:$B$31,2,0)*base!J433,0)</f>
        <v>0</v>
      </c>
      <c r="L433" s="38"/>
      <c r="M433" s="29"/>
      <c r="N433" s="31">
        <f>IF(base!L433&lt;&gt;"",VLOOKUP(L433,de_para!$A$1:$B$31,2,0)*base!M433,0)</f>
        <v>0</v>
      </c>
      <c r="O433" s="38"/>
      <c r="P433" s="29"/>
      <c r="Q433" s="31">
        <f>IF(base!O433&lt;&gt;"",VLOOKUP(O433,de_para!$A$1:$B$31,2,0)*base!P433,0)</f>
        <v>0</v>
      </c>
      <c r="R433" s="38"/>
      <c r="S433" s="29"/>
      <c r="T433" s="31">
        <f>IF(base!R433&lt;&gt;"",VLOOKUP(R433,de_para!$A$1:$B$31,2,0)*base!S433,0)</f>
        <v>0</v>
      </c>
      <c r="U433" s="30">
        <f t="shared" si="7"/>
        <v>0</v>
      </c>
    </row>
    <row r="434" spans="1:21" x14ac:dyDescent="0.35">
      <c r="A434" s="29"/>
      <c r="B434" s="29"/>
      <c r="C434" s="29"/>
      <c r="D434" s="29"/>
      <c r="E434" s="29"/>
      <c r="F434" s="29"/>
      <c r="G434" s="29"/>
      <c r="H434" s="31">
        <f>IF(base!F434&lt;&gt;"",VLOOKUP(F434,de_para!$A$1:$B$31,2,0)*base!G434,0)</f>
        <v>0</v>
      </c>
      <c r="I434" s="38"/>
      <c r="J434" s="29"/>
      <c r="K434" s="31">
        <f>IF(base!I434&lt;&gt;"",VLOOKUP(I434,de_para!$A$1:$B$31,2,0)*base!J434,0)</f>
        <v>0</v>
      </c>
      <c r="L434" s="38"/>
      <c r="M434" s="29"/>
      <c r="N434" s="31">
        <f>IF(base!L434&lt;&gt;"",VLOOKUP(L434,de_para!$A$1:$B$31,2,0)*base!M434,0)</f>
        <v>0</v>
      </c>
      <c r="O434" s="38"/>
      <c r="P434" s="29"/>
      <c r="Q434" s="31">
        <f>IF(base!O434&lt;&gt;"",VLOOKUP(O434,de_para!$A$1:$B$31,2,0)*base!P434,0)</f>
        <v>0</v>
      </c>
      <c r="R434" s="38"/>
      <c r="S434" s="29"/>
      <c r="T434" s="31">
        <f>IF(base!R434&lt;&gt;"",VLOOKUP(R434,de_para!$A$1:$B$31,2,0)*base!S434,0)</f>
        <v>0</v>
      </c>
      <c r="U434" s="30">
        <f t="shared" si="7"/>
        <v>0</v>
      </c>
    </row>
    <row r="435" spans="1:21" x14ac:dyDescent="0.35">
      <c r="A435" s="29"/>
      <c r="B435" s="29"/>
      <c r="C435" s="29"/>
      <c r="D435" s="29"/>
      <c r="E435" s="29"/>
      <c r="F435" s="29"/>
      <c r="G435" s="29"/>
      <c r="H435" s="31">
        <f>IF(base!F435&lt;&gt;"",VLOOKUP(F435,de_para!$A$1:$B$31,2,0)*base!G435,0)</f>
        <v>0</v>
      </c>
      <c r="I435" s="38"/>
      <c r="J435" s="29"/>
      <c r="K435" s="31">
        <f>IF(base!I435&lt;&gt;"",VLOOKUP(I435,de_para!$A$1:$B$31,2,0)*base!J435,0)</f>
        <v>0</v>
      </c>
      <c r="L435" s="38"/>
      <c r="M435" s="29"/>
      <c r="N435" s="31">
        <f>IF(base!L435&lt;&gt;"",VLOOKUP(L435,de_para!$A$1:$B$31,2,0)*base!M435,0)</f>
        <v>0</v>
      </c>
      <c r="O435" s="38"/>
      <c r="P435" s="29"/>
      <c r="Q435" s="31">
        <f>IF(base!O435&lt;&gt;"",VLOOKUP(O435,de_para!$A$1:$B$31,2,0)*base!P435,0)</f>
        <v>0</v>
      </c>
      <c r="R435" s="38"/>
      <c r="S435" s="29"/>
      <c r="T435" s="31">
        <f>IF(base!R435&lt;&gt;"",VLOOKUP(R435,de_para!$A$1:$B$31,2,0)*base!S435,0)</f>
        <v>0</v>
      </c>
      <c r="U435" s="30">
        <f t="shared" si="7"/>
        <v>0</v>
      </c>
    </row>
    <row r="436" spans="1:21" x14ac:dyDescent="0.35">
      <c r="A436" s="29"/>
      <c r="B436" s="29"/>
      <c r="C436" s="29"/>
      <c r="D436" s="29"/>
      <c r="E436" s="29"/>
      <c r="F436" s="29"/>
      <c r="G436" s="29"/>
      <c r="H436" s="31">
        <f>IF(base!F436&lt;&gt;"",VLOOKUP(F436,de_para!$A$1:$B$31,2,0)*base!G436,0)</f>
        <v>0</v>
      </c>
      <c r="I436" s="38"/>
      <c r="J436" s="29"/>
      <c r="K436" s="31">
        <f>IF(base!I436&lt;&gt;"",VLOOKUP(I436,de_para!$A$1:$B$31,2,0)*base!J436,0)</f>
        <v>0</v>
      </c>
      <c r="L436" s="38"/>
      <c r="M436" s="29"/>
      <c r="N436" s="31">
        <f>IF(base!L436&lt;&gt;"",VLOOKUP(L436,de_para!$A$1:$B$31,2,0)*base!M436,0)</f>
        <v>0</v>
      </c>
      <c r="O436" s="38"/>
      <c r="P436" s="29"/>
      <c r="Q436" s="31">
        <f>IF(base!O436&lt;&gt;"",VLOOKUP(O436,de_para!$A$1:$B$31,2,0)*base!P436,0)</f>
        <v>0</v>
      </c>
      <c r="R436" s="38"/>
      <c r="S436" s="29"/>
      <c r="T436" s="31">
        <f>IF(base!R436&lt;&gt;"",VLOOKUP(R436,de_para!$A$1:$B$31,2,0)*base!S436,0)</f>
        <v>0</v>
      </c>
      <c r="U436" s="30">
        <f t="shared" si="7"/>
        <v>0</v>
      </c>
    </row>
    <row r="437" spans="1:21" x14ac:dyDescent="0.35">
      <c r="A437" s="29"/>
      <c r="B437" s="29"/>
      <c r="C437" s="29"/>
      <c r="D437" s="29"/>
      <c r="E437" s="29"/>
      <c r="F437" s="29"/>
      <c r="G437" s="29"/>
      <c r="H437" s="31">
        <f>IF(base!F437&lt;&gt;"",VLOOKUP(F437,de_para!$A$1:$B$31,2,0)*base!G437,0)</f>
        <v>0</v>
      </c>
      <c r="I437" s="38"/>
      <c r="J437" s="29"/>
      <c r="K437" s="31">
        <f>IF(base!I437&lt;&gt;"",VLOOKUP(I437,de_para!$A$1:$B$31,2,0)*base!J437,0)</f>
        <v>0</v>
      </c>
      <c r="L437" s="38"/>
      <c r="M437" s="29"/>
      <c r="N437" s="31">
        <f>IF(base!L437&lt;&gt;"",VLOOKUP(L437,de_para!$A$1:$B$31,2,0)*base!M437,0)</f>
        <v>0</v>
      </c>
      <c r="O437" s="38"/>
      <c r="P437" s="29"/>
      <c r="Q437" s="31">
        <f>IF(base!O437&lt;&gt;"",VLOOKUP(O437,de_para!$A$1:$B$31,2,0)*base!P437,0)</f>
        <v>0</v>
      </c>
      <c r="R437" s="38"/>
      <c r="S437" s="29"/>
      <c r="T437" s="31">
        <f>IF(base!R437&lt;&gt;"",VLOOKUP(R437,de_para!$A$1:$B$31,2,0)*base!S437,0)</f>
        <v>0</v>
      </c>
      <c r="U437" s="30">
        <f t="shared" si="7"/>
        <v>0</v>
      </c>
    </row>
    <row r="438" spans="1:21" x14ac:dyDescent="0.35">
      <c r="A438" s="29"/>
      <c r="B438" s="29"/>
      <c r="C438" s="29"/>
      <c r="D438" s="29"/>
      <c r="E438" s="29"/>
      <c r="F438" s="29"/>
      <c r="G438" s="29"/>
      <c r="H438" s="31">
        <f>IF(base!F438&lt;&gt;"",VLOOKUP(F438,de_para!$A$1:$B$31,2,0)*base!G438,0)</f>
        <v>0</v>
      </c>
      <c r="I438" s="38"/>
      <c r="J438" s="29"/>
      <c r="K438" s="31">
        <f>IF(base!I438&lt;&gt;"",VLOOKUP(I438,de_para!$A$1:$B$31,2,0)*base!J438,0)</f>
        <v>0</v>
      </c>
      <c r="L438" s="38"/>
      <c r="M438" s="29"/>
      <c r="N438" s="31">
        <f>IF(base!L438&lt;&gt;"",VLOOKUP(L438,de_para!$A$1:$B$31,2,0)*base!M438,0)</f>
        <v>0</v>
      </c>
      <c r="O438" s="38"/>
      <c r="P438" s="29"/>
      <c r="Q438" s="31">
        <f>IF(base!O438&lt;&gt;"",VLOOKUP(O438,de_para!$A$1:$B$31,2,0)*base!P438,0)</f>
        <v>0</v>
      </c>
      <c r="R438" s="38"/>
      <c r="S438" s="29"/>
      <c r="T438" s="31">
        <f>IF(base!R438&lt;&gt;"",VLOOKUP(R438,de_para!$A$1:$B$31,2,0)*base!S438,0)</f>
        <v>0</v>
      </c>
      <c r="U438" s="30">
        <f t="shared" si="7"/>
        <v>0</v>
      </c>
    </row>
    <row r="439" spans="1:21" x14ac:dyDescent="0.35">
      <c r="A439" s="29"/>
      <c r="B439" s="29"/>
      <c r="C439" s="29"/>
      <c r="D439" s="29"/>
      <c r="E439" s="29"/>
      <c r="F439" s="29"/>
      <c r="G439" s="29"/>
      <c r="H439" s="31">
        <f>IF(base!F439&lt;&gt;"",VLOOKUP(F439,de_para!$A$1:$B$31,2,0)*base!G439,0)</f>
        <v>0</v>
      </c>
      <c r="I439" s="38"/>
      <c r="J439" s="29"/>
      <c r="K439" s="31">
        <f>IF(base!I439&lt;&gt;"",VLOOKUP(I439,de_para!$A$1:$B$31,2,0)*base!J439,0)</f>
        <v>0</v>
      </c>
      <c r="L439" s="38"/>
      <c r="M439" s="29"/>
      <c r="N439" s="31">
        <f>IF(base!L439&lt;&gt;"",VLOOKUP(L439,de_para!$A$1:$B$31,2,0)*base!M439,0)</f>
        <v>0</v>
      </c>
      <c r="O439" s="38"/>
      <c r="P439" s="29"/>
      <c r="Q439" s="31">
        <f>IF(base!O439&lt;&gt;"",VLOOKUP(O439,de_para!$A$1:$B$31,2,0)*base!P439,0)</f>
        <v>0</v>
      </c>
      <c r="R439" s="38"/>
      <c r="S439" s="29"/>
      <c r="T439" s="31">
        <f>IF(base!R439&lt;&gt;"",VLOOKUP(R439,de_para!$A$1:$B$31,2,0)*base!S439,0)</f>
        <v>0</v>
      </c>
      <c r="U439" s="30">
        <f t="shared" ref="U439:U502" si="8">H439+K439+N439+Q439+T439</f>
        <v>0</v>
      </c>
    </row>
    <row r="440" spans="1:21" x14ac:dyDescent="0.35">
      <c r="A440" s="29"/>
      <c r="B440" s="29"/>
      <c r="C440" s="29"/>
      <c r="D440" s="29"/>
      <c r="E440" s="29"/>
      <c r="F440" s="29"/>
      <c r="G440" s="29"/>
      <c r="H440" s="31">
        <f>IF(base!F440&lt;&gt;"",VLOOKUP(F440,de_para!$A$1:$B$31,2,0)*base!G440,0)</f>
        <v>0</v>
      </c>
      <c r="I440" s="38"/>
      <c r="J440" s="29"/>
      <c r="K440" s="31">
        <f>IF(base!I440&lt;&gt;"",VLOOKUP(I440,de_para!$A$1:$B$31,2,0)*base!J440,0)</f>
        <v>0</v>
      </c>
      <c r="L440" s="38"/>
      <c r="M440" s="29"/>
      <c r="N440" s="31">
        <f>IF(base!L440&lt;&gt;"",VLOOKUP(L440,de_para!$A$1:$B$31,2,0)*base!M440,0)</f>
        <v>0</v>
      </c>
      <c r="O440" s="38"/>
      <c r="P440" s="29"/>
      <c r="Q440" s="31">
        <f>IF(base!O440&lt;&gt;"",VLOOKUP(O440,de_para!$A$1:$B$31,2,0)*base!P440,0)</f>
        <v>0</v>
      </c>
      <c r="R440" s="38"/>
      <c r="S440" s="29"/>
      <c r="T440" s="31">
        <f>IF(base!R440&lt;&gt;"",VLOOKUP(R440,de_para!$A$1:$B$31,2,0)*base!S440,0)</f>
        <v>0</v>
      </c>
      <c r="U440" s="30">
        <f t="shared" si="8"/>
        <v>0</v>
      </c>
    </row>
    <row r="441" spans="1:21" x14ac:dyDescent="0.35">
      <c r="A441" s="29"/>
      <c r="B441" s="29"/>
      <c r="C441" s="29"/>
      <c r="D441" s="29"/>
      <c r="E441" s="29"/>
      <c r="F441" s="29"/>
      <c r="G441" s="29"/>
      <c r="H441" s="31">
        <f>IF(base!F441&lt;&gt;"",VLOOKUP(F441,de_para!$A$1:$B$31,2,0)*base!G441,0)</f>
        <v>0</v>
      </c>
      <c r="I441" s="38"/>
      <c r="J441" s="29"/>
      <c r="K441" s="31">
        <f>IF(base!I441&lt;&gt;"",VLOOKUP(I441,de_para!$A$1:$B$31,2,0)*base!J441,0)</f>
        <v>0</v>
      </c>
      <c r="L441" s="38"/>
      <c r="M441" s="29"/>
      <c r="N441" s="31">
        <f>IF(base!L441&lt;&gt;"",VLOOKUP(L441,de_para!$A$1:$B$31,2,0)*base!M441,0)</f>
        <v>0</v>
      </c>
      <c r="O441" s="38"/>
      <c r="P441" s="29"/>
      <c r="Q441" s="31">
        <f>IF(base!O441&lt;&gt;"",VLOOKUP(O441,de_para!$A$1:$B$31,2,0)*base!P441,0)</f>
        <v>0</v>
      </c>
      <c r="R441" s="38"/>
      <c r="S441" s="29"/>
      <c r="T441" s="31">
        <f>IF(base!R441&lt;&gt;"",VLOOKUP(R441,de_para!$A$1:$B$31,2,0)*base!S441,0)</f>
        <v>0</v>
      </c>
      <c r="U441" s="30">
        <f t="shared" si="8"/>
        <v>0</v>
      </c>
    </row>
    <row r="442" spans="1:21" x14ac:dyDescent="0.35">
      <c r="A442" s="29"/>
      <c r="B442" s="29"/>
      <c r="C442" s="29"/>
      <c r="D442" s="29"/>
      <c r="E442" s="29"/>
      <c r="F442" s="29"/>
      <c r="G442" s="29"/>
      <c r="H442" s="31">
        <f>IF(base!F442&lt;&gt;"",VLOOKUP(F442,de_para!$A$1:$B$31,2,0)*base!G442,0)</f>
        <v>0</v>
      </c>
      <c r="I442" s="38"/>
      <c r="J442" s="29"/>
      <c r="K442" s="31">
        <f>IF(base!I442&lt;&gt;"",VLOOKUP(I442,de_para!$A$1:$B$31,2,0)*base!J442,0)</f>
        <v>0</v>
      </c>
      <c r="L442" s="38"/>
      <c r="M442" s="29"/>
      <c r="N442" s="31">
        <f>IF(base!L442&lt;&gt;"",VLOOKUP(L442,de_para!$A$1:$B$31,2,0)*base!M442,0)</f>
        <v>0</v>
      </c>
      <c r="O442" s="38"/>
      <c r="P442" s="29"/>
      <c r="Q442" s="31">
        <f>IF(base!O442&lt;&gt;"",VLOOKUP(O442,de_para!$A$1:$B$31,2,0)*base!P442,0)</f>
        <v>0</v>
      </c>
      <c r="R442" s="38"/>
      <c r="S442" s="29"/>
      <c r="T442" s="31">
        <f>IF(base!R442&lt;&gt;"",VLOOKUP(R442,de_para!$A$1:$B$31,2,0)*base!S442,0)</f>
        <v>0</v>
      </c>
      <c r="U442" s="30">
        <f t="shared" si="8"/>
        <v>0</v>
      </c>
    </row>
    <row r="443" spans="1:21" x14ac:dyDescent="0.35">
      <c r="A443" s="29"/>
      <c r="B443" s="29"/>
      <c r="C443" s="29"/>
      <c r="D443" s="29"/>
      <c r="E443" s="29"/>
      <c r="F443" s="29"/>
      <c r="G443" s="29"/>
      <c r="H443" s="31">
        <f>IF(base!F443&lt;&gt;"",VLOOKUP(F443,de_para!$A$1:$B$31,2,0)*base!G443,0)</f>
        <v>0</v>
      </c>
      <c r="I443" s="38"/>
      <c r="J443" s="29"/>
      <c r="K443" s="31">
        <f>IF(base!I443&lt;&gt;"",VLOOKUP(I443,de_para!$A$1:$B$31,2,0)*base!J443,0)</f>
        <v>0</v>
      </c>
      <c r="L443" s="38"/>
      <c r="M443" s="29"/>
      <c r="N443" s="31">
        <f>IF(base!L443&lt;&gt;"",VLOOKUP(L443,de_para!$A$1:$B$31,2,0)*base!M443,0)</f>
        <v>0</v>
      </c>
      <c r="O443" s="38"/>
      <c r="P443" s="29"/>
      <c r="Q443" s="31">
        <f>IF(base!O443&lt;&gt;"",VLOOKUP(O443,de_para!$A$1:$B$31,2,0)*base!P443,0)</f>
        <v>0</v>
      </c>
      <c r="R443" s="38"/>
      <c r="S443" s="29"/>
      <c r="T443" s="31">
        <f>IF(base!R443&lt;&gt;"",VLOOKUP(R443,de_para!$A$1:$B$31,2,0)*base!S443,0)</f>
        <v>0</v>
      </c>
      <c r="U443" s="30">
        <f t="shared" si="8"/>
        <v>0</v>
      </c>
    </row>
    <row r="444" spans="1:21" x14ac:dyDescent="0.35">
      <c r="A444" s="29"/>
      <c r="B444" s="29"/>
      <c r="C444" s="29"/>
      <c r="D444" s="29"/>
      <c r="E444" s="29"/>
      <c r="F444" s="29"/>
      <c r="G444" s="29"/>
      <c r="H444" s="31">
        <f>IF(base!F444&lt;&gt;"",VLOOKUP(F444,de_para!$A$1:$B$31,2,0)*base!G444,0)</f>
        <v>0</v>
      </c>
      <c r="I444" s="38"/>
      <c r="J444" s="29"/>
      <c r="K444" s="31">
        <f>IF(base!I444&lt;&gt;"",VLOOKUP(I444,de_para!$A$1:$B$31,2,0)*base!J444,0)</f>
        <v>0</v>
      </c>
      <c r="L444" s="38"/>
      <c r="M444" s="29"/>
      <c r="N444" s="31">
        <f>IF(base!L444&lt;&gt;"",VLOOKUP(L444,de_para!$A$1:$B$31,2,0)*base!M444,0)</f>
        <v>0</v>
      </c>
      <c r="O444" s="38"/>
      <c r="P444" s="29"/>
      <c r="Q444" s="31">
        <f>IF(base!O444&lt;&gt;"",VLOOKUP(O444,de_para!$A$1:$B$31,2,0)*base!P444,0)</f>
        <v>0</v>
      </c>
      <c r="R444" s="38"/>
      <c r="S444" s="29"/>
      <c r="T444" s="31">
        <f>IF(base!R444&lt;&gt;"",VLOOKUP(R444,de_para!$A$1:$B$31,2,0)*base!S444,0)</f>
        <v>0</v>
      </c>
      <c r="U444" s="30">
        <f t="shared" si="8"/>
        <v>0</v>
      </c>
    </row>
    <row r="445" spans="1:21" x14ac:dyDescent="0.35">
      <c r="A445" s="29"/>
      <c r="B445" s="29"/>
      <c r="C445" s="29"/>
      <c r="D445" s="29"/>
      <c r="E445" s="29"/>
      <c r="F445" s="29"/>
      <c r="G445" s="29"/>
      <c r="H445" s="31">
        <f>IF(base!F445&lt;&gt;"",VLOOKUP(F445,de_para!$A$1:$B$31,2,0)*base!G445,0)</f>
        <v>0</v>
      </c>
      <c r="I445" s="38"/>
      <c r="J445" s="29"/>
      <c r="K445" s="31">
        <f>IF(base!I445&lt;&gt;"",VLOOKUP(I445,de_para!$A$1:$B$31,2,0)*base!J445,0)</f>
        <v>0</v>
      </c>
      <c r="L445" s="38"/>
      <c r="M445" s="29"/>
      <c r="N445" s="31">
        <f>IF(base!L445&lt;&gt;"",VLOOKUP(L445,de_para!$A$1:$B$31,2,0)*base!M445,0)</f>
        <v>0</v>
      </c>
      <c r="O445" s="38"/>
      <c r="P445" s="29"/>
      <c r="Q445" s="31">
        <f>IF(base!O445&lt;&gt;"",VLOOKUP(O445,de_para!$A$1:$B$31,2,0)*base!P445,0)</f>
        <v>0</v>
      </c>
      <c r="R445" s="38"/>
      <c r="S445" s="29"/>
      <c r="T445" s="31">
        <f>IF(base!R445&lt;&gt;"",VLOOKUP(R445,de_para!$A$1:$B$31,2,0)*base!S445,0)</f>
        <v>0</v>
      </c>
      <c r="U445" s="30">
        <f t="shared" si="8"/>
        <v>0</v>
      </c>
    </row>
    <row r="446" spans="1:21" x14ac:dyDescent="0.35">
      <c r="A446" s="29"/>
      <c r="B446" s="29"/>
      <c r="C446" s="29"/>
      <c r="D446" s="29"/>
      <c r="E446" s="29"/>
      <c r="F446" s="29"/>
      <c r="G446" s="29"/>
      <c r="H446" s="31">
        <f>IF(base!F446&lt;&gt;"",VLOOKUP(F446,de_para!$A$1:$B$31,2,0)*base!G446,0)</f>
        <v>0</v>
      </c>
      <c r="I446" s="38"/>
      <c r="J446" s="29"/>
      <c r="K446" s="31">
        <f>IF(base!I446&lt;&gt;"",VLOOKUP(I446,de_para!$A$1:$B$31,2,0)*base!J446,0)</f>
        <v>0</v>
      </c>
      <c r="L446" s="38"/>
      <c r="M446" s="29"/>
      <c r="N446" s="31">
        <f>IF(base!L446&lt;&gt;"",VLOOKUP(L446,de_para!$A$1:$B$31,2,0)*base!M446,0)</f>
        <v>0</v>
      </c>
      <c r="O446" s="38"/>
      <c r="P446" s="29"/>
      <c r="Q446" s="31">
        <f>IF(base!O446&lt;&gt;"",VLOOKUP(O446,de_para!$A$1:$B$31,2,0)*base!P446,0)</f>
        <v>0</v>
      </c>
      <c r="R446" s="38"/>
      <c r="S446" s="29"/>
      <c r="T446" s="31">
        <f>IF(base!R446&lt;&gt;"",VLOOKUP(R446,de_para!$A$1:$B$31,2,0)*base!S446,0)</f>
        <v>0</v>
      </c>
      <c r="U446" s="30">
        <f t="shared" si="8"/>
        <v>0</v>
      </c>
    </row>
    <row r="447" spans="1:21" x14ac:dyDescent="0.35">
      <c r="A447" s="29"/>
      <c r="B447" s="29"/>
      <c r="C447" s="29"/>
      <c r="D447" s="29"/>
      <c r="E447" s="29"/>
      <c r="F447" s="29"/>
      <c r="G447" s="29"/>
      <c r="H447" s="31">
        <f>IF(base!F447&lt;&gt;"",VLOOKUP(F447,de_para!$A$1:$B$31,2,0)*base!G447,0)</f>
        <v>0</v>
      </c>
      <c r="I447" s="38"/>
      <c r="J447" s="29"/>
      <c r="K447" s="31">
        <f>IF(base!I447&lt;&gt;"",VLOOKUP(I447,de_para!$A$1:$B$31,2,0)*base!J447,0)</f>
        <v>0</v>
      </c>
      <c r="L447" s="38"/>
      <c r="M447" s="29"/>
      <c r="N447" s="31">
        <f>IF(base!L447&lt;&gt;"",VLOOKUP(L447,de_para!$A$1:$B$31,2,0)*base!M447,0)</f>
        <v>0</v>
      </c>
      <c r="O447" s="38"/>
      <c r="P447" s="29"/>
      <c r="Q447" s="31">
        <f>IF(base!O447&lt;&gt;"",VLOOKUP(O447,de_para!$A$1:$B$31,2,0)*base!P447,0)</f>
        <v>0</v>
      </c>
      <c r="R447" s="38"/>
      <c r="S447" s="29"/>
      <c r="T447" s="31">
        <f>IF(base!R447&lt;&gt;"",VLOOKUP(R447,de_para!$A$1:$B$31,2,0)*base!S447,0)</f>
        <v>0</v>
      </c>
      <c r="U447" s="30">
        <f t="shared" si="8"/>
        <v>0</v>
      </c>
    </row>
    <row r="448" spans="1:21" x14ac:dyDescent="0.35">
      <c r="A448" s="29"/>
      <c r="B448" s="29"/>
      <c r="C448" s="29"/>
      <c r="D448" s="29"/>
      <c r="E448" s="29"/>
      <c r="F448" s="29"/>
      <c r="G448" s="29"/>
      <c r="H448" s="31">
        <f>IF(base!F448&lt;&gt;"",VLOOKUP(F448,de_para!$A$1:$B$31,2,0)*base!G448,0)</f>
        <v>0</v>
      </c>
      <c r="I448" s="38"/>
      <c r="J448" s="29"/>
      <c r="K448" s="31">
        <f>IF(base!I448&lt;&gt;"",VLOOKUP(I448,de_para!$A$1:$B$31,2,0)*base!J448,0)</f>
        <v>0</v>
      </c>
      <c r="L448" s="38"/>
      <c r="M448" s="29"/>
      <c r="N448" s="31">
        <f>IF(base!L448&lt;&gt;"",VLOOKUP(L448,de_para!$A$1:$B$31,2,0)*base!M448,0)</f>
        <v>0</v>
      </c>
      <c r="O448" s="38"/>
      <c r="P448" s="29"/>
      <c r="Q448" s="31">
        <f>IF(base!O448&lt;&gt;"",VLOOKUP(O448,de_para!$A$1:$B$31,2,0)*base!P448,0)</f>
        <v>0</v>
      </c>
      <c r="R448" s="38"/>
      <c r="S448" s="29"/>
      <c r="T448" s="31">
        <f>IF(base!R448&lt;&gt;"",VLOOKUP(R448,de_para!$A$1:$B$31,2,0)*base!S448,0)</f>
        <v>0</v>
      </c>
      <c r="U448" s="30">
        <f t="shared" si="8"/>
        <v>0</v>
      </c>
    </row>
    <row r="449" spans="1:21" x14ac:dyDescent="0.35">
      <c r="A449" s="29"/>
      <c r="B449" s="29"/>
      <c r="C449" s="29"/>
      <c r="D449" s="29"/>
      <c r="E449" s="29"/>
      <c r="F449" s="29"/>
      <c r="G449" s="29"/>
      <c r="H449" s="31">
        <f>IF(base!F449&lt;&gt;"",VLOOKUP(F449,de_para!$A$1:$B$31,2,0)*base!G449,0)</f>
        <v>0</v>
      </c>
      <c r="I449" s="38"/>
      <c r="J449" s="29"/>
      <c r="K449" s="31">
        <f>IF(base!I449&lt;&gt;"",VLOOKUP(I449,de_para!$A$1:$B$31,2,0)*base!J449,0)</f>
        <v>0</v>
      </c>
      <c r="L449" s="38"/>
      <c r="M449" s="29"/>
      <c r="N449" s="31">
        <f>IF(base!L449&lt;&gt;"",VLOOKUP(L449,de_para!$A$1:$B$31,2,0)*base!M449,0)</f>
        <v>0</v>
      </c>
      <c r="O449" s="38"/>
      <c r="P449" s="29"/>
      <c r="Q449" s="31">
        <f>IF(base!O449&lt;&gt;"",VLOOKUP(O449,de_para!$A$1:$B$31,2,0)*base!P449,0)</f>
        <v>0</v>
      </c>
      <c r="R449" s="38"/>
      <c r="S449" s="29"/>
      <c r="T449" s="31">
        <f>IF(base!R449&lt;&gt;"",VLOOKUP(R449,de_para!$A$1:$B$31,2,0)*base!S449,0)</f>
        <v>0</v>
      </c>
      <c r="U449" s="30">
        <f t="shared" si="8"/>
        <v>0</v>
      </c>
    </row>
    <row r="450" spans="1:21" x14ac:dyDescent="0.35">
      <c r="A450" s="29"/>
      <c r="B450" s="29"/>
      <c r="C450" s="29"/>
      <c r="D450" s="29"/>
      <c r="E450" s="29"/>
      <c r="F450" s="29"/>
      <c r="G450" s="29"/>
      <c r="H450" s="31">
        <f>IF(base!F450&lt;&gt;"",VLOOKUP(F450,de_para!$A$1:$B$31,2,0)*base!G450,0)</f>
        <v>0</v>
      </c>
      <c r="I450" s="38"/>
      <c r="J450" s="29"/>
      <c r="K450" s="31">
        <f>IF(base!I450&lt;&gt;"",VLOOKUP(I450,de_para!$A$1:$B$31,2,0)*base!J450,0)</f>
        <v>0</v>
      </c>
      <c r="L450" s="38"/>
      <c r="M450" s="29"/>
      <c r="N450" s="31">
        <f>IF(base!L450&lt;&gt;"",VLOOKUP(L450,de_para!$A$1:$B$31,2,0)*base!M450,0)</f>
        <v>0</v>
      </c>
      <c r="O450" s="38"/>
      <c r="P450" s="29"/>
      <c r="Q450" s="31">
        <f>IF(base!O450&lt;&gt;"",VLOOKUP(O450,de_para!$A$1:$B$31,2,0)*base!P450,0)</f>
        <v>0</v>
      </c>
      <c r="R450" s="38"/>
      <c r="S450" s="29"/>
      <c r="T450" s="31">
        <f>IF(base!R450&lt;&gt;"",VLOOKUP(R450,de_para!$A$1:$B$31,2,0)*base!S450,0)</f>
        <v>0</v>
      </c>
      <c r="U450" s="30">
        <f t="shared" si="8"/>
        <v>0</v>
      </c>
    </row>
    <row r="451" spans="1:21" x14ac:dyDescent="0.35">
      <c r="A451" s="29"/>
      <c r="B451" s="29"/>
      <c r="C451" s="29"/>
      <c r="D451" s="29"/>
      <c r="E451" s="29"/>
      <c r="F451" s="29"/>
      <c r="G451" s="29"/>
      <c r="H451" s="31">
        <f>IF(base!F451&lt;&gt;"",VLOOKUP(F451,de_para!$A$1:$B$31,2,0)*base!G451,0)</f>
        <v>0</v>
      </c>
      <c r="I451" s="38"/>
      <c r="J451" s="29"/>
      <c r="K451" s="31">
        <f>IF(base!I451&lt;&gt;"",VLOOKUP(I451,de_para!$A$1:$B$31,2,0)*base!J451,0)</f>
        <v>0</v>
      </c>
      <c r="L451" s="38"/>
      <c r="M451" s="29"/>
      <c r="N451" s="31">
        <f>IF(base!L451&lt;&gt;"",VLOOKUP(L451,de_para!$A$1:$B$31,2,0)*base!M451,0)</f>
        <v>0</v>
      </c>
      <c r="O451" s="38"/>
      <c r="P451" s="29"/>
      <c r="Q451" s="31">
        <f>IF(base!O451&lt;&gt;"",VLOOKUP(O451,de_para!$A$1:$B$31,2,0)*base!P451,0)</f>
        <v>0</v>
      </c>
      <c r="R451" s="38"/>
      <c r="S451" s="29"/>
      <c r="T451" s="31">
        <f>IF(base!R451&lt;&gt;"",VLOOKUP(R451,de_para!$A$1:$B$31,2,0)*base!S451,0)</f>
        <v>0</v>
      </c>
      <c r="U451" s="30">
        <f t="shared" si="8"/>
        <v>0</v>
      </c>
    </row>
    <row r="452" spans="1:21" x14ac:dyDescent="0.35">
      <c r="A452" s="29"/>
      <c r="B452" s="29"/>
      <c r="C452" s="29"/>
      <c r="D452" s="29"/>
      <c r="E452" s="29"/>
      <c r="F452" s="29"/>
      <c r="G452" s="29"/>
      <c r="H452" s="31">
        <f>IF(base!F452&lt;&gt;"",VLOOKUP(F452,de_para!$A$1:$B$31,2,0)*base!G452,0)</f>
        <v>0</v>
      </c>
      <c r="I452" s="38"/>
      <c r="J452" s="29"/>
      <c r="K452" s="31">
        <f>IF(base!I452&lt;&gt;"",VLOOKUP(I452,de_para!$A$1:$B$31,2,0)*base!J452,0)</f>
        <v>0</v>
      </c>
      <c r="L452" s="38"/>
      <c r="M452" s="29"/>
      <c r="N452" s="31">
        <f>IF(base!L452&lt;&gt;"",VLOOKUP(L452,de_para!$A$1:$B$31,2,0)*base!M452,0)</f>
        <v>0</v>
      </c>
      <c r="O452" s="38"/>
      <c r="P452" s="29"/>
      <c r="Q452" s="31">
        <f>IF(base!O452&lt;&gt;"",VLOOKUP(O452,de_para!$A$1:$B$31,2,0)*base!P452,0)</f>
        <v>0</v>
      </c>
      <c r="R452" s="38"/>
      <c r="S452" s="29"/>
      <c r="T452" s="31">
        <f>IF(base!R452&lt;&gt;"",VLOOKUP(R452,de_para!$A$1:$B$31,2,0)*base!S452,0)</f>
        <v>0</v>
      </c>
      <c r="U452" s="30">
        <f t="shared" si="8"/>
        <v>0</v>
      </c>
    </row>
    <row r="453" spans="1:21" x14ac:dyDescent="0.35">
      <c r="A453" s="29"/>
      <c r="B453" s="29"/>
      <c r="C453" s="29"/>
      <c r="D453" s="29"/>
      <c r="E453" s="29"/>
      <c r="F453" s="29"/>
      <c r="G453" s="29"/>
      <c r="H453" s="31">
        <f>IF(base!F453&lt;&gt;"",VLOOKUP(F453,de_para!$A$1:$B$31,2,0)*base!G453,0)</f>
        <v>0</v>
      </c>
      <c r="I453" s="38"/>
      <c r="J453" s="29"/>
      <c r="K453" s="31">
        <f>IF(base!I453&lt;&gt;"",VLOOKUP(I453,de_para!$A$1:$B$31,2,0)*base!J453,0)</f>
        <v>0</v>
      </c>
      <c r="L453" s="38"/>
      <c r="M453" s="29"/>
      <c r="N453" s="31">
        <f>IF(base!L453&lt;&gt;"",VLOOKUP(L453,de_para!$A$1:$B$31,2,0)*base!M453,0)</f>
        <v>0</v>
      </c>
      <c r="O453" s="38"/>
      <c r="P453" s="29"/>
      <c r="Q453" s="31">
        <f>IF(base!O453&lt;&gt;"",VLOOKUP(O453,de_para!$A$1:$B$31,2,0)*base!P453,0)</f>
        <v>0</v>
      </c>
      <c r="R453" s="38"/>
      <c r="S453" s="29"/>
      <c r="T453" s="31">
        <f>IF(base!R453&lt;&gt;"",VLOOKUP(R453,de_para!$A$1:$B$31,2,0)*base!S453,0)</f>
        <v>0</v>
      </c>
      <c r="U453" s="30">
        <f t="shared" si="8"/>
        <v>0</v>
      </c>
    </row>
    <row r="454" spans="1:21" x14ac:dyDescent="0.35">
      <c r="A454" s="29"/>
      <c r="B454" s="29"/>
      <c r="C454" s="29"/>
      <c r="D454" s="29"/>
      <c r="E454" s="29"/>
      <c r="F454" s="29"/>
      <c r="G454" s="29"/>
      <c r="H454" s="31">
        <f>IF(base!F454&lt;&gt;"",VLOOKUP(F454,de_para!$A$1:$B$31,2,0)*base!G454,0)</f>
        <v>0</v>
      </c>
      <c r="I454" s="38"/>
      <c r="J454" s="29"/>
      <c r="K454" s="31">
        <f>IF(base!I454&lt;&gt;"",VLOOKUP(I454,de_para!$A$1:$B$31,2,0)*base!J454,0)</f>
        <v>0</v>
      </c>
      <c r="L454" s="38"/>
      <c r="M454" s="29"/>
      <c r="N454" s="31">
        <f>IF(base!L454&lt;&gt;"",VLOOKUP(L454,de_para!$A$1:$B$31,2,0)*base!M454,0)</f>
        <v>0</v>
      </c>
      <c r="O454" s="38"/>
      <c r="P454" s="29"/>
      <c r="Q454" s="31">
        <f>IF(base!O454&lt;&gt;"",VLOOKUP(O454,de_para!$A$1:$B$31,2,0)*base!P454,0)</f>
        <v>0</v>
      </c>
      <c r="R454" s="38"/>
      <c r="S454" s="29"/>
      <c r="T454" s="31">
        <f>IF(base!R454&lt;&gt;"",VLOOKUP(R454,de_para!$A$1:$B$31,2,0)*base!S454,0)</f>
        <v>0</v>
      </c>
      <c r="U454" s="30">
        <f t="shared" si="8"/>
        <v>0</v>
      </c>
    </row>
    <row r="455" spans="1:21" x14ac:dyDescent="0.35">
      <c r="A455" s="29"/>
      <c r="B455" s="29"/>
      <c r="C455" s="29"/>
      <c r="D455" s="29"/>
      <c r="E455" s="29"/>
      <c r="F455" s="29"/>
      <c r="G455" s="29"/>
      <c r="H455" s="31">
        <f>IF(base!F455&lt;&gt;"",VLOOKUP(F455,de_para!$A$1:$B$31,2,0)*base!G455,0)</f>
        <v>0</v>
      </c>
      <c r="I455" s="38"/>
      <c r="J455" s="29"/>
      <c r="K455" s="31">
        <f>IF(base!I455&lt;&gt;"",VLOOKUP(I455,de_para!$A$1:$B$31,2,0)*base!J455,0)</f>
        <v>0</v>
      </c>
      <c r="L455" s="38"/>
      <c r="M455" s="29"/>
      <c r="N455" s="31">
        <f>IF(base!L455&lt;&gt;"",VLOOKUP(L455,de_para!$A$1:$B$31,2,0)*base!M455,0)</f>
        <v>0</v>
      </c>
      <c r="O455" s="38"/>
      <c r="P455" s="29"/>
      <c r="Q455" s="31">
        <f>IF(base!O455&lt;&gt;"",VLOOKUP(O455,de_para!$A$1:$B$31,2,0)*base!P455,0)</f>
        <v>0</v>
      </c>
      <c r="R455" s="38"/>
      <c r="S455" s="29"/>
      <c r="T455" s="31">
        <f>IF(base!R455&lt;&gt;"",VLOOKUP(R455,de_para!$A$1:$B$31,2,0)*base!S455,0)</f>
        <v>0</v>
      </c>
      <c r="U455" s="30">
        <f t="shared" si="8"/>
        <v>0</v>
      </c>
    </row>
    <row r="456" spans="1:21" x14ac:dyDescent="0.35">
      <c r="A456" s="29"/>
      <c r="B456" s="29"/>
      <c r="C456" s="29"/>
      <c r="D456" s="29"/>
      <c r="E456" s="29"/>
      <c r="F456" s="29"/>
      <c r="G456" s="29"/>
      <c r="H456" s="31">
        <f>IF(base!F456&lt;&gt;"",VLOOKUP(F456,de_para!$A$1:$B$31,2,0)*base!G456,0)</f>
        <v>0</v>
      </c>
      <c r="I456" s="38"/>
      <c r="J456" s="29"/>
      <c r="K456" s="31">
        <f>IF(base!I456&lt;&gt;"",VLOOKUP(I456,de_para!$A$1:$B$31,2,0)*base!J456,0)</f>
        <v>0</v>
      </c>
      <c r="L456" s="38"/>
      <c r="M456" s="29"/>
      <c r="N456" s="31">
        <f>IF(base!L456&lt;&gt;"",VLOOKUP(L456,de_para!$A$1:$B$31,2,0)*base!M456,0)</f>
        <v>0</v>
      </c>
      <c r="O456" s="38"/>
      <c r="P456" s="29"/>
      <c r="Q456" s="31">
        <f>IF(base!O456&lt;&gt;"",VLOOKUP(O456,de_para!$A$1:$B$31,2,0)*base!P456,0)</f>
        <v>0</v>
      </c>
      <c r="R456" s="38"/>
      <c r="S456" s="29"/>
      <c r="T456" s="31">
        <f>IF(base!R456&lt;&gt;"",VLOOKUP(R456,de_para!$A$1:$B$31,2,0)*base!S456,0)</f>
        <v>0</v>
      </c>
      <c r="U456" s="30">
        <f t="shared" si="8"/>
        <v>0</v>
      </c>
    </row>
    <row r="457" spans="1:21" x14ac:dyDescent="0.35">
      <c r="A457" s="29"/>
      <c r="B457" s="29"/>
      <c r="C457" s="29"/>
      <c r="D457" s="29"/>
      <c r="E457" s="29"/>
      <c r="F457" s="29"/>
      <c r="G457" s="29"/>
      <c r="H457" s="31">
        <f>IF(base!F457&lt;&gt;"",VLOOKUP(F457,de_para!$A$1:$B$31,2,0)*base!G457,0)</f>
        <v>0</v>
      </c>
      <c r="I457" s="38"/>
      <c r="J457" s="29"/>
      <c r="K457" s="31">
        <f>IF(base!I457&lt;&gt;"",VLOOKUP(I457,de_para!$A$1:$B$31,2,0)*base!J457,0)</f>
        <v>0</v>
      </c>
      <c r="L457" s="38"/>
      <c r="M457" s="29"/>
      <c r="N457" s="31">
        <f>IF(base!L457&lt;&gt;"",VLOOKUP(L457,de_para!$A$1:$B$31,2,0)*base!M457,0)</f>
        <v>0</v>
      </c>
      <c r="O457" s="38"/>
      <c r="P457" s="29"/>
      <c r="Q457" s="31">
        <f>IF(base!O457&lt;&gt;"",VLOOKUP(O457,de_para!$A$1:$B$31,2,0)*base!P457,0)</f>
        <v>0</v>
      </c>
      <c r="R457" s="38"/>
      <c r="S457" s="29"/>
      <c r="T457" s="31">
        <f>IF(base!R457&lt;&gt;"",VLOOKUP(R457,de_para!$A$1:$B$31,2,0)*base!S457,0)</f>
        <v>0</v>
      </c>
      <c r="U457" s="30">
        <f t="shared" si="8"/>
        <v>0</v>
      </c>
    </row>
    <row r="458" spans="1:21" x14ac:dyDescent="0.35">
      <c r="A458" s="29"/>
      <c r="B458" s="29"/>
      <c r="C458" s="29"/>
      <c r="D458" s="29"/>
      <c r="E458" s="29"/>
      <c r="F458" s="29"/>
      <c r="G458" s="29"/>
      <c r="H458" s="31">
        <f>IF(base!F458&lt;&gt;"",VLOOKUP(F458,de_para!$A$1:$B$31,2,0)*base!G458,0)</f>
        <v>0</v>
      </c>
      <c r="I458" s="38"/>
      <c r="J458" s="29"/>
      <c r="K458" s="31">
        <f>IF(base!I458&lt;&gt;"",VLOOKUP(I458,de_para!$A$1:$B$31,2,0)*base!J458,0)</f>
        <v>0</v>
      </c>
      <c r="L458" s="38"/>
      <c r="M458" s="29"/>
      <c r="N458" s="31">
        <f>IF(base!L458&lt;&gt;"",VLOOKUP(L458,de_para!$A$1:$B$31,2,0)*base!M458,0)</f>
        <v>0</v>
      </c>
      <c r="O458" s="38"/>
      <c r="P458" s="29"/>
      <c r="Q458" s="31">
        <f>IF(base!O458&lt;&gt;"",VLOOKUP(O458,de_para!$A$1:$B$31,2,0)*base!P458,0)</f>
        <v>0</v>
      </c>
      <c r="R458" s="38"/>
      <c r="S458" s="29"/>
      <c r="T458" s="31">
        <f>IF(base!R458&lt;&gt;"",VLOOKUP(R458,de_para!$A$1:$B$31,2,0)*base!S458,0)</f>
        <v>0</v>
      </c>
      <c r="U458" s="30">
        <f t="shared" si="8"/>
        <v>0</v>
      </c>
    </row>
    <row r="459" spans="1:21" x14ac:dyDescent="0.35">
      <c r="A459" s="29"/>
      <c r="B459" s="29"/>
      <c r="C459" s="29"/>
      <c r="D459" s="29"/>
      <c r="E459" s="29"/>
      <c r="F459" s="29"/>
      <c r="G459" s="29"/>
      <c r="H459" s="31">
        <f>IF(base!F459&lt;&gt;"",VLOOKUP(F459,de_para!$A$1:$B$31,2,0)*base!G459,0)</f>
        <v>0</v>
      </c>
      <c r="I459" s="38"/>
      <c r="J459" s="29"/>
      <c r="K459" s="31">
        <f>IF(base!I459&lt;&gt;"",VLOOKUP(I459,de_para!$A$1:$B$31,2,0)*base!J459,0)</f>
        <v>0</v>
      </c>
      <c r="L459" s="38"/>
      <c r="M459" s="29"/>
      <c r="N459" s="31">
        <f>IF(base!L459&lt;&gt;"",VLOOKUP(L459,de_para!$A$1:$B$31,2,0)*base!M459,0)</f>
        <v>0</v>
      </c>
      <c r="O459" s="38"/>
      <c r="P459" s="29"/>
      <c r="Q459" s="31">
        <f>IF(base!O459&lt;&gt;"",VLOOKUP(O459,de_para!$A$1:$B$31,2,0)*base!P459,0)</f>
        <v>0</v>
      </c>
      <c r="R459" s="38"/>
      <c r="S459" s="29"/>
      <c r="T459" s="31">
        <f>IF(base!R459&lt;&gt;"",VLOOKUP(R459,de_para!$A$1:$B$31,2,0)*base!S459,0)</f>
        <v>0</v>
      </c>
      <c r="U459" s="30">
        <f t="shared" si="8"/>
        <v>0</v>
      </c>
    </row>
    <row r="460" spans="1:21" x14ac:dyDescent="0.35">
      <c r="A460" s="29"/>
      <c r="B460" s="29"/>
      <c r="C460" s="29"/>
      <c r="D460" s="29"/>
      <c r="E460" s="29"/>
      <c r="F460" s="29"/>
      <c r="G460" s="29"/>
      <c r="H460" s="31">
        <f>IF(base!F460&lt;&gt;"",VLOOKUP(F460,de_para!$A$1:$B$31,2,0)*base!G460,0)</f>
        <v>0</v>
      </c>
      <c r="I460" s="38"/>
      <c r="J460" s="29"/>
      <c r="K460" s="31">
        <f>IF(base!I460&lt;&gt;"",VLOOKUP(I460,de_para!$A$1:$B$31,2,0)*base!J460,0)</f>
        <v>0</v>
      </c>
      <c r="L460" s="38"/>
      <c r="M460" s="29"/>
      <c r="N460" s="31">
        <f>IF(base!L460&lt;&gt;"",VLOOKUP(L460,de_para!$A$1:$B$31,2,0)*base!M460,0)</f>
        <v>0</v>
      </c>
      <c r="O460" s="38"/>
      <c r="P460" s="29"/>
      <c r="Q460" s="31">
        <f>IF(base!O460&lt;&gt;"",VLOOKUP(O460,de_para!$A$1:$B$31,2,0)*base!P460,0)</f>
        <v>0</v>
      </c>
      <c r="R460" s="38"/>
      <c r="S460" s="29"/>
      <c r="T460" s="31">
        <f>IF(base!R460&lt;&gt;"",VLOOKUP(R460,de_para!$A$1:$B$31,2,0)*base!S460,0)</f>
        <v>0</v>
      </c>
      <c r="U460" s="30">
        <f t="shared" si="8"/>
        <v>0</v>
      </c>
    </row>
    <row r="461" spans="1:21" x14ac:dyDescent="0.35">
      <c r="A461" s="29"/>
      <c r="B461" s="29"/>
      <c r="C461" s="29"/>
      <c r="D461" s="29"/>
      <c r="E461" s="29"/>
      <c r="F461" s="29"/>
      <c r="G461" s="29"/>
      <c r="H461" s="31">
        <f>IF(base!F461&lt;&gt;"",VLOOKUP(F461,de_para!$A$1:$B$31,2,0)*base!G461,0)</f>
        <v>0</v>
      </c>
      <c r="I461" s="38"/>
      <c r="J461" s="29"/>
      <c r="K461" s="31">
        <f>IF(base!I461&lt;&gt;"",VLOOKUP(I461,de_para!$A$1:$B$31,2,0)*base!J461,0)</f>
        <v>0</v>
      </c>
      <c r="L461" s="38"/>
      <c r="M461" s="29"/>
      <c r="N461" s="31">
        <f>IF(base!L461&lt;&gt;"",VLOOKUP(L461,de_para!$A$1:$B$31,2,0)*base!M461,0)</f>
        <v>0</v>
      </c>
      <c r="O461" s="38"/>
      <c r="P461" s="29"/>
      <c r="Q461" s="31">
        <f>IF(base!O461&lt;&gt;"",VLOOKUP(O461,de_para!$A$1:$B$31,2,0)*base!P461,0)</f>
        <v>0</v>
      </c>
      <c r="R461" s="38"/>
      <c r="S461" s="29"/>
      <c r="T461" s="31">
        <f>IF(base!R461&lt;&gt;"",VLOOKUP(R461,de_para!$A$1:$B$31,2,0)*base!S461,0)</f>
        <v>0</v>
      </c>
      <c r="U461" s="30">
        <f t="shared" si="8"/>
        <v>0</v>
      </c>
    </row>
    <row r="462" spans="1:21" x14ac:dyDescent="0.35">
      <c r="A462" s="29"/>
      <c r="B462" s="29"/>
      <c r="C462" s="29"/>
      <c r="D462" s="29"/>
      <c r="E462" s="29"/>
      <c r="F462" s="29"/>
      <c r="G462" s="29"/>
      <c r="H462" s="31">
        <f>IF(base!F462&lt;&gt;"",VLOOKUP(F462,de_para!$A$1:$B$31,2,0)*base!G462,0)</f>
        <v>0</v>
      </c>
      <c r="I462" s="38"/>
      <c r="J462" s="29"/>
      <c r="K462" s="31">
        <f>IF(base!I462&lt;&gt;"",VLOOKUP(I462,de_para!$A$1:$B$31,2,0)*base!J462,0)</f>
        <v>0</v>
      </c>
      <c r="L462" s="38"/>
      <c r="M462" s="29"/>
      <c r="N462" s="31">
        <f>IF(base!L462&lt;&gt;"",VLOOKUP(L462,de_para!$A$1:$B$31,2,0)*base!M462,0)</f>
        <v>0</v>
      </c>
      <c r="O462" s="38"/>
      <c r="P462" s="29"/>
      <c r="Q462" s="31">
        <f>IF(base!O462&lt;&gt;"",VLOOKUP(O462,de_para!$A$1:$B$31,2,0)*base!P462,0)</f>
        <v>0</v>
      </c>
      <c r="R462" s="38"/>
      <c r="S462" s="29"/>
      <c r="T462" s="31">
        <f>IF(base!R462&lt;&gt;"",VLOOKUP(R462,de_para!$A$1:$B$31,2,0)*base!S462,0)</f>
        <v>0</v>
      </c>
      <c r="U462" s="30">
        <f t="shared" si="8"/>
        <v>0</v>
      </c>
    </row>
    <row r="463" spans="1:21" x14ac:dyDescent="0.35">
      <c r="A463" s="29"/>
      <c r="B463" s="29"/>
      <c r="C463" s="29"/>
      <c r="D463" s="29"/>
      <c r="E463" s="29"/>
      <c r="F463" s="29"/>
      <c r="G463" s="29"/>
      <c r="H463" s="31">
        <f>IF(base!F463&lt;&gt;"",VLOOKUP(F463,de_para!$A$1:$B$31,2,0)*base!G463,0)</f>
        <v>0</v>
      </c>
      <c r="I463" s="38"/>
      <c r="J463" s="29"/>
      <c r="K463" s="31">
        <f>IF(base!I463&lt;&gt;"",VLOOKUP(I463,de_para!$A$1:$B$31,2,0)*base!J463,0)</f>
        <v>0</v>
      </c>
      <c r="L463" s="38"/>
      <c r="M463" s="29"/>
      <c r="N463" s="31">
        <f>IF(base!L463&lt;&gt;"",VLOOKUP(L463,de_para!$A$1:$B$31,2,0)*base!M463,0)</f>
        <v>0</v>
      </c>
      <c r="O463" s="38"/>
      <c r="P463" s="29"/>
      <c r="Q463" s="31">
        <f>IF(base!O463&lt;&gt;"",VLOOKUP(O463,de_para!$A$1:$B$31,2,0)*base!P463,0)</f>
        <v>0</v>
      </c>
      <c r="R463" s="38"/>
      <c r="S463" s="29"/>
      <c r="T463" s="31">
        <f>IF(base!R463&lt;&gt;"",VLOOKUP(R463,de_para!$A$1:$B$31,2,0)*base!S463,0)</f>
        <v>0</v>
      </c>
      <c r="U463" s="30">
        <f t="shared" si="8"/>
        <v>0</v>
      </c>
    </row>
    <row r="464" spans="1:21" x14ac:dyDescent="0.35">
      <c r="A464" s="29"/>
      <c r="B464" s="29"/>
      <c r="C464" s="29"/>
      <c r="D464" s="29"/>
      <c r="E464" s="29"/>
      <c r="F464" s="29"/>
      <c r="G464" s="29"/>
      <c r="H464" s="31">
        <f>IF(base!F464&lt;&gt;"",VLOOKUP(F464,de_para!$A$1:$B$31,2,0)*base!G464,0)</f>
        <v>0</v>
      </c>
      <c r="I464" s="38"/>
      <c r="J464" s="29"/>
      <c r="K464" s="31">
        <f>IF(base!I464&lt;&gt;"",VLOOKUP(I464,de_para!$A$1:$B$31,2,0)*base!J464,0)</f>
        <v>0</v>
      </c>
      <c r="L464" s="38"/>
      <c r="M464" s="29"/>
      <c r="N464" s="31">
        <f>IF(base!L464&lt;&gt;"",VLOOKUP(L464,de_para!$A$1:$B$31,2,0)*base!M464,0)</f>
        <v>0</v>
      </c>
      <c r="O464" s="38"/>
      <c r="P464" s="29"/>
      <c r="Q464" s="31">
        <f>IF(base!O464&lt;&gt;"",VLOOKUP(O464,de_para!$A$1:$B$31,2,0)*base!P464,0)</f>
        <v>0</v>
      </c>
      <c r="R464" s="38"/>
      <c r="S464" s="29"/>
      <c r="T464" s="31">
        <f>IF(base!R464&lt;&gt;"",VLOOKUP(R464,de_para!$A$1:$B$31,2,0)*base!S464,0)</f>
        <v>0</v>
      </c>
      <c r="U464" s="30">
        <f t="shared" si="8"/>
        <v>0</v>
      </c>
    </row>
    <row r="465" spans="1:21" x14ac:dyDescent="0.35">
      <c r="A465" s="29"/>
      <c r="B465" s="29"/>
      <c r="C465" s="29"/>
      <c r="D465" s="29"/>
      <c r="E465" s="29"/>
      <c r="F465" s="29"/>
      <c r="G465" s="29"/>
      <c r="H465" s="31">
        <f>IF(base!F465&lt;&gt;"",VLOOKUP(F465,de_para!$A$1:$B$31,2,0)*base!G465,0)</f>
        <v>0</v>
      </c>
      <c r="I465" s="38"/>
      <c r="J465" s="29"/>
      <c r="K465" s="31">
        <f>IF(base!I465&lt;&gt;"",VLOOKUP(I465,de_para!$A$1:$B$31,2,0)*base!J465,0)</f>
        <v>0</v>
      </c>
      <c r="L465" s="38"/>
      <c r="M465" s="29"/>
      <c r="N465" s="31">
        <f>IF(base!L465&lt;&gt;"",VLOOKUP(L465,de_para!$A$1:$B$31,2,0)*base!M465,0)</f>
        <v>0</v>
      </c>
      <c r="O465" s="38"/>
      <c r="P465" s="29"/>
      <c r="Q465" s="31">
        <f>IF(base!O465&lt;&gt;"",VLOOKUP(O465,de_para!$A$1:$B$31,2,0)*base!P465,0)</f>
        <v>0</v>
      </c>
      <c r="R465" s="38"/>
      <c r="S465" s="29"/>
      <c r="T465" s="31">
        <f>IF(base!R465&lt;&gt;"",VLOOKUP(R465,de_para!$A$1:$B$31,2,0)*base!S465,0)</f>
        <v>0</v>
      </c>
      <c r="U465" s="30">
        <f t="shared" si="8"/>
        <v>0</v>
      </c>
    </row>
    <row r="466" spans="1:21" x14ac:dyDescent="0.35">
      <c r="A466" s="29"/>
      <c r="B466" s="29"/>
      <c r="C466" s="29"/>
      <c r="D466" s="29"/>
      <c r="E466" s="29"/>
      <c r="F466" s="29"/>
      <c r="G466" s="29"/>
      <c r="H466" s="31">
        <f>IF(base!F466&lt;&gt;"",VLOOKUP(F466,de_para!$A$1:$B$31,2,0)*base!G466,0)</f>
        <v>0</v>
      </c>
      <c r="I466" s="38"/>
      <c r="J466" s="29"/>
      <c r="K466" s="31">
        <f>IF(base!I466&lt;&gt;"",VLOOKUP(I466,de_para!$A$1:$B$31,2,0)*base!J466,0)</f>
        <v>0</v>
      </c>
      <c r="L466" s="38"/>
      <c r="M466" s="29"/>
      <c r="N466" s="31">
        <f>IF(base!L466&lt;&gt;"",VLOOKUP(L466,de_para!$A$1:$B$31,2,0)*base!M466,0)</f>
        <v>0</v>
      </c>
      <c r="O466" s="38"/>
      <c r="P466" s="29"/>
      <c r="Q466" s="31">
        <f>IF(base!O466&lt;&gt;"",VLOOKUP(O466,de_para!$A$1:$B$31,2,0)*base!P466,0)</f>
        <v>0</v>
      </c>
      <c r="R466" s="38"/>
      <c r="S466" s="29"/>
      <c r="T466" s="31">
        <f>IF(base!R466&lt;&gt;"",VLOOKUP(R466,de_para!$A$1:$B$31,2,0)*base!S466,0)</f>
        <v>0</v>
      </c>
      <c r="U466" s="30">
        <f t="shared" si="8"/>
        <v>0</v>
      </c>
    </row>
    <row r="467" spans="1:21" x14ac:dyDescent="0.35">
      <c r="A467" s="29"/>
      <c r="B467" s="29"/>
      <c r="C467" s="29"/>
      <c r="D467" s="29"/>
      <c r="E467" s="29"/>
      <c r="F467" s="29"/>
      <c r="G467" s="29"/>
      <c r="H467" s="31">
        <f>IF(base!F467&lt;&gt;"",VLOOKUP(F467,de_para!$A$1:$B$31,2,0)*base!G467,0)</f>
        <v>0</v>
      </c>
      <c r="I467" s="38"/>
      <c r="J467" s="29"/>
      <c r="K467" s="31">
        <f>IF(base!I467&lt;&gt;"",VLOOKUP(I467,de_para!$A$1:$B$31,2,0)*base!J467,0)</f>
        <v>0</v>
      </c>
      <c r="L467" s="38"/>
      <c r="M467" s="29"/>
      <c r="N467" s="31">
        <f>IF(base!L467&lt;&gt;"",VLOOKUP(L467,de_para!$A$1:$B$31,2,0)*base!M467,0)</f>
        <v>0</v>
      </c>
      <c r="O467" s="38"/>
      <c r="P467" s="29"/>
      <c r="Q467" s="31">
        <f>IF(base!O467&lt;&gt;"",VLOOKUP(O467,de_para!$A$1:$B$31,2,0)*base!P467,0)</f>
        <v>0</v>
      </c>
      <c r="R467" s="38"/>
      <c r="S467" s="29"/>
      <c r="T467" s="31">
        <f>IF(base!R467&lt;&gt;"",VLOOKUP(R467,de_para!$A$1:$B$31,2,0)*base!S467,0)</f>
        <v>0</v>
      </c>
      <c r="U467" s="30">
        <f t="shared" si="8"/>
        <v>0</v>
      </c>
    </row>
    <row r="468" spans="1:21" x14ac:dyDescent="0.35">
      <c r="A468" s="29"/>
      <c r="B468" s="29"/>
      <c r="C468" s="29"/>
      <c r="D468" s="29"/>
      <c r="E468" s="29"/>
      <c r="F468" s="29"/>
      <c r="G468" s="29"/>
      <c r="H468" s="31">
        <f>IF(base!F468&lt;&gt;"",VLOOKUP(F468,de_para!$A$1:$B$31,2,0)*base!G468,0)</f>
        <v>0</v>
      </c>
      <c r="I468" s="38"/>
      <c r="J468" s="29"/>
      <c r="K468" s="31">
        <f>IF(base!I468&lt;&gt;"",VLOOKUP(I468,de_para!$A$1:$B$31,2,0)*base!J468,0)</f>
        <v>0</v>
      </c>
      <c r="L468" s="38"/>
      <c r="M468" s="29"/>
      <c r="N468" s="31">
        <f>IF(base!L468&lt;&gt;"",VLOOKUP(L468,de_para!$A$1:$B$31,2,0)*base!M468,0)</f>
        <v>0</v>
      </c>
      <c r="O468" s="38"/>
      <c r="P468" s="29"/>
      <c r="Q468" s="31">
        <f>IF(base!O468&lt;&gt;"",VLOOKUP(O468,de_para!$A$1:$B$31,2,0)*base!P468,0)</f>
        <v>0</v>
      </c>
      <c r="R468" s="38"/>
      <c r="S468" s="29"/>
      <c r="T468" s="31">
        <f>IF(base!R468&lt;&gt;"",VLOOKUP(R468,de_para!$A$1:$B$31,2,0)*base!S468,0)</f>
        <v>0</v>
      </c>
      <c r="U468" s="30">
        <f t="shared" si="8"/>
        <v>0</v>
      </c>
    </row>
    <row r="469" spans="1:21" x14ac:dyDescent="0.35">
      <c r="A469" s="29"/>
      <c r="B469" s="29"/>
      <c r="C469" s="29"/>
      <c r="D469" s="29"/>
      <c r="E469" s="29"/>
      <c r="F469" s="29"/>
      <c r="G469" s="29"/>
      <c r="H469" s="31">
        <f>IF(base!F469&lt;&gt;"",VLOOKUP(F469,de_para!$A$1:$B$31,2,0)*base!G469,0)</f>
        <v>0</v>
      </c>
      <c r="I469" s="38"/>
      <c r="J469" s="29"/>
      <c r="K469" s="31">
        <f>IF(base!I469&lt;&gt;"",VLOOKUP(I469,de_para!$A$1:$B$31,2,0)*base!J469,0)</f>
        <v>0</v>
      </c>
      <c r="L469" s="38"/>
      <c r="M469" s="29"/>
      <c r="N469" s="31">
        <f>IF(base!L469&lt;&gt;"",VLOOKUP(L469,de_para!$A$1:$B$31,2,0)*base!M469,0)</f>
        <v>0</v>
      </c>
      <c r="O469" s="38"/>
      <c r="P469" s="29"/>
      <c r="Q469" s="31">
        <f>IF(base!O469&lt;&gt;"",VLOOKUP(O469,de_para!$A$1:$B$31,2,0)*base!P469,0)</f>
        <v>0</v>
      </c>
      <c r="R469" s="38"/>
      <c r="S469" s="29"/>
      <c r="T469" s="31">
        <f>IF(base!R469&lt;&gt;"",VLOOKUP(R469,de_para!$A$1:$B$31,2,0)*base!S469,0)</f>
        <v>0</v>
      </c>
      <c r="U469" s="30">
        <f t="shared" si="8"/>
        <v>0</v>
      </c>
    </row>
    <row r="470" spans="1:21" x14ac:dyDescent="0.35">
      <c r="A470" s="29"/>
      <c r="B470" s="29"/>
      <c r="C470" s="29"/>
      <c r="D470" s="29"/>
      <c r="E470" s="29"/>
      <c r="F470" s="29"/>
      <c r="G470" s="29"/>
      <c r="H470" s="31">
        <f>IF(base!F470&lt;&gt;"",VLOOKUP(F470,de_para!$A$1:$B$31,2,0)*base!G470,0)</f>
        <v>0</v>
      </c>
      <c r="I470" s="38"/>
      <c r="J470" s="29"/>
      <c r="K470" s="31">
        <f>IF(base!I470&lt;&gt;"",VLOOKUP(I470,de_para!$A$1:$B$31,2,0)*base!J470,0)</f>
        <v>0</v>
      </c>
      <c r="L470" s="38"/>
      <c r="M470" s="29"/>
      <c r="N470" s="31">
        <f>IF(base!L470&lt;&gt;"",VLOOKUP(L470,de_para!$A$1:$B$31,2,0)*base!M470,0)</f>
        <v>0</v>
      </c>
      <c r="O470" s="38"/>
      <c r="P470" s="29"/>
      <c r="Q470" s="31">
        <f>IF(base!O470&lt;&gt;"",VLOOKUP(O470,de_para!$A$1:$B$31,2,0)*base!P470,0)</f>
        <v>0</v>
      </c>
      <c r="R470" s="38"/>
      <c r="S470" s="29"/>
      <c r="T470" s="31">
        <f>IF(base!R470&lt;&gt;"",VLOOKUP(R470,de_para!$A$1:$B$31,2,0)*base!S470,0)</f>
        <v>0</v>
      </c>
      <c r="U470" s="30">
        <f t="shared" si="8"/>
        <v>0</v>
      </c>
    </row>
    <row r="471" spans="1:21" x14ac:dyDescent="0.35">
      <c r="A471" s="29"/>
      <c r="B471" s="29"/>
      <c r="C471" s="29"/>
      <c r="D471" s="29"/>
      <c r="E471" s="29"/>
      <c r="F471" s="29"/>
      <c r="G471" s="29"/>
      <c r="H471" s="31">
        <f>IF(base!F471&lt;&gt;"",VLOOKUP(F471,de_para!$A$1:$B$31,2,0)*base!G471,0)</f>
        <v>0</v>
      </c>
      <c r="I471" s="38"/>
      <c r="J471" s="29"/>
      <c r="K471" s="31">
        <f>IF(base!I471&lt;&gt;"",VLOOKUP(I471,de_para!$A$1:$B$31,2,0)*base!J471,0)</f>
        <v>0</v>
      </c>
      <c r="L471" s="38"/>
      <c r="M471" s="29"/>
      <c r="N471" s="31">
        <f>IF(base!L471&lt;&gt;"",VLOOKUP(L471,de_para!$A$1:$B$31,2,0)*base!M471,0)</f>
        <v>0</v>
      </c>
      <c r="O471" s="38"/>
      <c r="P471" s="29"/>
      <c r="Q471" s="31">
        <f>IF(base!O471&lt;&gt;"",VLOOKUP(O471,de_para!$A$1:$B$31,2,0)*base!P471,0)</f>
        <v>0</v>
      </c>
      <c r="R471" s="38"/>
      <c r="S471" s="29"/>
      <c r="T471" s="31">
        <f>IF(base!R471&lt;&gt;"",VLOOKUP(R471,de_para!$A$1:$B$31,2,0)*base!S471,0)</f>
        <v>0</v>
      </c>
      <c r="U471" s="30">
        <f t="shared" si="8"/>
        <v>0</v>
      </c>
    </row>
    <row r="472" spans="1:21" x14ac:dyDescent="0.35">
      <c r="A472" s="29"/>
      <c r="B472" s="29"/>
      <c r="C472" s="29"/>
      <c r="D472" s="29"/>
      <c r="E472" s="29"/>
      <c r="F472" s="29"/>
      <c r="G472" s="29"/>
      <c r="H472" s="31">
        <f>IF(base!F472&lt;&gt;"",VLOOKUP(F472,de_para!$A$1:$B$31,2,0)*base!G472,0)</f>
        <v>0</v>
      </c>
      <c r="I472" s="38"/>
      <c r="J472" s="29"/>
      <c r="K472" s="31">
        <f>IF(base!I472&lt;&gt;"",VLOOKUP(I472,de_para!$A$1:$B$31,2,0)*base!J472,0)</f>
        <v>0</v>
      </c>
      <c r="L472" s="38"/>
      <c r="M472" s="29"/>
      <c r="N472" s="31">
        <f>IF(base!L472&lt;&gt;"",VLOOKUP(L472,de_para!$A$1:$B$31,2,0)*base!M472,0)</f>
        <v>0</v>
      </c>
      <c r="O472" s="38"/>
      <c r="P472" s="29"/>
      <c r="Q472" s="31">
        <f>IF(base!O472&lt;&gt;"",VLOOKUP(O472,de_para!$A$1:$B$31,2,0)*base!P472,0)</f>
        <v>0</v>
      </c>
      <c r="R472" s="38"/>
      <c r="S472" s="29"/>
      <c r="T472" s="31">
        <f>IF(base!R472&lt;&gt;"",VLOOKUP(R472,de_para!$A$1:$B$31,2,0)*base!S472,0)</f>
        <v>0</v>
      </c>
      <c r="U472" s="30">
        <f t="shared" si="8"/>
        <v>0</v>
      </c>
    </row>
    <row r="473" spans="1:21" x14ac:dyDescent="0.35">
      <c r="A473" s="29"/>
      <c r="B473" s="29"/>
      <c r="C473" s="29"/>
      <c r="D473" s="29"/>
      <c r="E473" s="29"/>
      <c r="F473" s="29"/>
      <c r="G473" s="29"/>
      <c r="H473" s="31">
        <f>IF(base!F473&lt;&gt;"",VLOOKUP(F473,de_para!$A$1:$B$31,2,0)*base!G473,0)</f>
        <v>0</v>
      </c>
      <c r="I473" s="38"/>
      <c r="J473" s="29"/>
      <c r="K473" s="31">
        <f>IF(base!I473&lt;&gt;"",VLOOKUP(I473,de_para!$A$1:$B$31,2,0)*base!J473,0)</f>
        <v>0</v>
      </c>
      <c r="L473" s="38"/>
      <c r="M473" s="29"/>
      <c r="N473" s="31">
        <f>IF(base!L473&lt;&gt;"",VLOOKUP(L473,de_para!$A$1:$B$31,2,0)*base!M473,0)</f>
        <v>0</v>
      </c>
      <c r="O473" s="38"/>
      <c r="P473" s="29"/>
      <c r="Q473" s="31">
        <f>IF(base!O473&lt;&gt;"",VLOOKUP(O473,de_para!$A$1:$B$31,2,0)*base!P473,0)</f>
        <v>0</v>
      </c>
      <c r="R473" s="38"/>
      <c r="S473" s="29"/>
      <c r="T473" s="31">
        <f>IF(base!R473&lt;&gt;"",VLOOKUP(R473,de_para!$A$1:$B$31,2,0)*base!S473,0)</f>
        <v>0</v>
      </c>
      <c r="U473" s="30">
        <f t="shared" si="8"/>
        <v>0</v>
      </c>
    </row>
    <row r="474" spans="1:21" x14ac:dyDescent="0.35">
      <c r="A474" s="29"/>
      <c r="B474" s="29"/>
      <c r="C474" s="29"/>
      <c r="D474" s="29"/>
      <c r="E474" s="29"/>
      <c r="F474" s="29"/>
      <c r="G474" s="29"/>
      <c r="H474" s="31">
        <f>IF(base!F474&lt;&gt;"",VLOOKUP(F474,de_para!$A$1:$B$31,2,0)*base!G474,0)</f>
        <v>0</v>
      </c>
      <c r="I474" s="38"/>
      <c r="J474" s="29"/>
      <c r="K474" s="31">
        <f>IF(base!I474&lt;&gt;"",VLOOKUP(I474,de_para!$A$1:$B$31,2,0)*base!J474,0)</f>
        <v>0</v>
      </c>
      <c r="L474" s="38"/>
      <c r="M474" s="29"/>
      <c r="N474" s="31">
        <f>IF(base!L474&lt;&gt;"",VLOOKUP(L474,de_para!$A$1:$B$31,2,0)*base!M474,0)</f>
        <v>0</v>
      </c>
      <c r="O474" s="38"/>
      <c r="P474" s="29"/>
      <c r="Q474" s="31">
        <f>IF(base!O474&lt;&gt;"",VLOOKUP(O474,de_para!$A$1:$B$31,2,0)*base!P474,0)</f>
        <v>0</v>
      </c>
      <c r="R474" s="38"/>
      <c r="S474" s="29"/>
      <c r="T474" s="31">
        <f>IF(base!R474&lt;&gt;"",VLOOKUP(R474,de_para!$A$1:$B$31,2,0)*base!S474,0)</f>
        <v>0</v>
      </c>
      <c r="U474" s="30">
        <f t="shared" si="8"/>
        <v>0</v>
      </c>
    </row>
    <row r="475" spans="1:21" x14ac:dyDescent="0.35">
      <c r="A475" s="29"/>
      <c r="B475" s="29"/>
      <c r="C475" s="29"/>
      <c r="D475" s="29"/>
      <c r="E475" s="29"/>
      <c r="F475" s="29"/>
      <c r="G475" s="29"/>
      <c r="H475" s="31">
        <f>IF(base!F475&lt;&gt;"",VLOOKUP(F475,de_para!$A$1:$B$31,2,0)*base!G475,0)</f>
        <v>0</v>
      </c>
      <c r="I475" s="38"/>
      <c r="J475" s="29"/>
      <c r="K475" s="31">
        <f>IF(base!I475&lt;&gt;"",VLOOKUP(I475,de_para!$A$1:$B$31,2,0)*base!J475,0)</f>
        <v>0</v>
      </c>
      <c r="L475" s="38"/>
      <c r="M475" s="29"/>
      <c r="N475" s="31">
        <f>IF(base!L475&lt;&gt;"",VLOOKUP(L475,de_para!$A$1:$B$31,2,0)*base!M475,0)</f>
        <v>0</v>
      </c>
      <c r="O475" s="38"/>
      <c r="P475" s="29"/>
      <c r="Q475" s="31">
        <f>IF(base!O475&lt;&gt;"",VLOOKUP(O475,de_para!$A$1:$B$31,2,0)*base!P475,0)</f>
        <v>0</v>
      </c>
      <c r="R475" s="38"/>
      <c r="S475" s="29"/>
      <c r="T475" s="31">
        <f>IF(base!R475&lt;&gt;"",VLOOKUP(R475,de_para!$A$1:$B$31,2,0)*base!S475,0)</f>
        <v>0</v>
      </c>
      <c r="U475" s="30">
        <f t="shared" si="8"/>
        <v>0</v>
      </c>
    </row>
    <row r="476" spans="1:21" x14ac:dyDescent="0.35">
      <c r="A476" s="29"/>
      <c r="B476" s="29"/>
      <c r="C476" s="29"/>
      <c r="D476" s="29"/>
      <c r="E476" s="29"/>
      <c r="F476" s="29"/>
      <c r="G476" s="29"/>
      <c r="H476" s="31">
        <f>IF(base!F476&lt;&gt;"",VLOOKUP(F476,de_para!$A$1:$B$31,2,0)*base!G476,0)</f>
        <v>0</v>
      </c>
      <c r="I476" s="38"/>
      <c r="J476" s="29"/>
      <c r="K476" s="31">
        <f>IF(base!I476&lt;&gt;"",VLOOKUP(I476,de_para!$A$1:$B$31,2,0)*base!J476,0)</f>
        <v>0</v>
      </c>
      <c r="L476" s="38"/>
      <c r="M476" s="29"/>
      <c r="N476" s="31">
        <f>IF(base!L476&lt;&gt;"",VLOOKUP(L476,de_para!$A$1:$B$31,2,0)*base!M476,0)</f>
        <v>0</v>
      </c>
      <c r="O476" s="38"/>
      <c r="P476" s="29"/>
      <c r="Q476" s="31">
        <f>IF(base!O476&lt;&gt;"",VLOOKUP(O476,de_para!$A$1:$B$31,2,0)*base!P476,0)</f>
        <v>0</v>
      </c>
      <c r="R476" s="38"/>
      <c r="S476" s="29"/>
      <c r="T476" s="31">
        <f>IF(base!R476&lt;&gt;"",VLOOKUP(R476,de_para!$A$1:$B$31,2,0)*base!S476,0)</f>
        <v>0</v>
      </c>
      <c r="U476" s="30">
        <f t="shared" si="8"/>
        <v>0</v>
      </c>
    </row>
    <row r="477" spans="1:21" x14ac:dyDescent="0.35">
      <c r="A477" s="29"/>
      <c r="B477" s="29"/>
      <c r="C477" s="29"/>
      <c r="D477" s="29"/>
      <c r="E477" s="29"/>
      <c r="F477" s="29"/>
      <c r="G477" s="29"/>
      <c r="H477" s="31">
        <f>IF(base!F477&lt;&gt;"",VLOOKUP(F477,de_para!$A$1:$B$31,2,0)*base!G477,0)</f>
        <v>0</v>
      </c>
      <c r="I477" s="38"/>
      <c r="J477" s="29"/>
      <c r="K477" s="31">
        <f>IF(base!I477&lt;&gt;"",VLOOKUP(I477,de_para!$A$1:$B$31,2,0)*base!J477,0)</f>
        <v>0</v>
      </c>
      <c r="L477" s="38"/>
      <c r="M477" s="29"/>
      <c r="N477" s="31">
        <f>IF(base!L477&lt;&gt;"",VLOOKUP(L477,de_para!$A$1:$B$31,2,0)*base!M477,0)</f>
        <v>0</v>
      </c>
      <c r="O477" s="38"/>
      <c r="P477" s="29"/>
      <c r="Q477" s="31">
        <f>IF(base!O477&lt;&gt;"",VLOOKUP(O477,de_para!$A$1:$B$31,2,0)*base!P477,0)</f>
        <v>0</v>
      </c>
      <c r="R477" s="38"/>
      <c r="S477" s="29"/>
      <c r="T477" s="31">
        <f>IF(base!R477&lt;&gt;"",VLOOKUP(R477,de_para!$A$1:$B$31,2,0)*base!S477,0)</f>
        <v>0</v>
      </c>
      <c r="U477" s="30">
        <f t="shared" si="8"/>
        <v>0</v>
      </c>
    </row>
    <row r="478" spans="1:21" x14ac:dyDescent="0.35">
      <c r="A478" s="29"/>
      <c r="B478" s="29"/>
      <c r="C478" s="29"/>
      <c r="D478" s="29"/>
      <c r="E478" s="29"/>
      <c r="F478" s="29"/>
      <c r="G478" s="29"/>
      <c r="H478" s="31">
        <f>IF(base!F478&lt;&gt;"",VLOOKUP(F478,de_para!$A$1:$B$31,2,0)*base!G478,0)</f>
        <v>0</v>
      </c>
      <c r="I478" s="38"/>
      <c r="J478" s="29"/>
      <c r="K478" s="31">
        <f>IF(base!I478&lt;&gt;"",VLOOKUP(I478,de_para!$A$1:$B$31,2,0)*base!J478,0)</f>
        <v>0</v>
      </c>
      <c r="L478" s="38"/>
      <c r="M478" s="29"/>
      <c r="N478" s="31">
        <f>IF(base!L478&lt;&gt;"",VLOOKUP(L478,de_para!$A$1:$B$31,2,0)*base!M478,0)</f>
        <v>0</v>
      </c>
      <c r="O478" s="38"/>
      <c r="P478" s="29"/>
      <c r="Q478" s="31">
        <f>IF(base!O478&lt;&gt;"",VLOOKUP(O478,de_para!$A$1:$B$31,2,0)*base!P478,0)</f>
        <v>0</v>
      </c>
      <c r="R478" s="38"/>
      <c r="S478" s="29"/>
      <c r="T478" s="31">
        <f>IF(base!R478&lt;&gt;"",VLOOKUP(R478,de_para!$A$1:$B$31,2,0)*base!S478,0)</f>
        <v>0</v>
      </c>
      <c r="U478" s="30">
        <f t="shared" si="8"/>
        <v>0</v>
      </c>
    </row>
    <row r="479" spans="1:21" x14ac:dyDescent="0.35">
      <c r="A479" s="29"/>
      <c r="B479" s="29"/>
      <c r="C479" s="29"/>
      <c r="D479" s="29"/>
      <c r="E479" s="29"/>
      <c r="F479" s="29"/>
      <c r="G479" s="29"/>
      <c r="H479" s="31">
        <f>IF(base!F479&lt;&gt;"",VLOOKUP(F479,de_para!$A$1:$B$31,2,0)*base!G479,0)</f>
        <v>0</v>
      </c>
      <c r="I479" s="38"/>
      <c r="J479" s="29"/>
      <c r="K479" s="31">
        <f>IF(base!I479&lt;&gt;"",VLOOKUP(I479,de_para!$A$1:$B$31,2,0)*base!J479,0)</f>
        <v>0</v>
      </c>
      <c r="L479" s="38"/>
      <c r="M479" s="29"/>
      <c r="N479" s="31">
        <f>IF(base!L479&lt;&gt;"",VLOOKUP(L479,de_para!$A$1:$B$31,2,0)*base!M479,0)</f>
        <v>0</v>
      </c>
      <c r="O479" s="38"/>
      <c r="P479" s="29"/>
      <c r="Q479" s="31">
        <f>IF(base!O479&lt;&gt;"",VLOOKUP(O479,de_para!$A$1:$B$31,2,0)*base!P479,0)</f>
        <v>0</v>
      </c>
      <c r="R479" s="38"/>
      <c r="S479" s="29"/>
      <c r="T479" s="31">
        <f>IF(base!R479&lt;&gt;"",VLOOKUP(R479,de_para!$A$1:$B$31,2,0)*base!S479,0)</f>
        <v>0</v>
      </c>
      <c r="U479" s="30">
        <f t="shared" si="8"/>
        <v>0</v>
      </c>
    </row>
    <row r="480" spans="1:21" x14ac:dyDescent="0.35">
      <c r="A480" s="29"/>
      <c r="B480" s="29"/>
      <c r="C480" s="29"/>
      <c r="D480" s="29"/>
      <c r="E480" s="29"/>
      <c r="F480" s="29"/>
      <c r="G480" s="29"/>
      <c r="H480" s="31">
        <f>IF(base!F480&lt;&gt;"",VLOOKUP(F480,de_para!$A$1:$B$31,2,0)*base!G480,0)</f>
        <v>0</v>
      </c>
      <c r="I480" s="38"/>
      <c r="J480" s="29"/>
      <c r="K480" s="31">
        <f>IF(base!I480&lt;&gt;"",VLOOKUP(I480,de_para!$A$1:$B$31,2,0)*base!J480,0)</f>
        <v>0</v>
      </c>
      <c r="L480" s="38"/>
      <c r="M480" s="29"/>
      <c r="N480" s="31">
        <f>IF(base!L480&lt;&gt;"",VLOOKUP(L480,de_para!$A$1:$B$31,2,0)*base!M480,0)</f>
        <v>0</v>
      </c>
      <c r="O480" s="38"/>
      <c r="P480" s="29"/>
      <c r="Q480" s="31">
        <f>IF(base!O480&lt;&gt;"",VLOOKUP(O480,de_para!$A$1:$B$31,2,0)*base!P480,0)</f>
        <v>0</v>
      </c>
      <c r="R480" s="38"/>
      <c r="S480" s="29"/>
      <c r="T480" s="31">
        <f>IF(base!R480&lt;&gt;"",VLOOKUP(R480,de_para!$A$1:$B$31,2,0)*base!S480,0)</f>
        <v>0</v>
      </c>
      <c r="U480" s="30">
        <f t="shared" si="8"/>
        <v>0</v>
      </c>
    </row>
    <row r="481" spans="1:21" x14ac:dyDescent="0.35">
      <c r="A481" s="29"/>
      <c r="B481" s="29"/>
      <c r="C481" s="29"/>
      <c r="D481" s="29"/>
      <c r="E481" s="29"/>
      <c r="F481" s="29"/>
      <c r="G481" s="29"/>
      <c r="H481" s="31">
        <f>IF(base!F481&lt;&gt;"",VLOOKUP(F481,de_para!$A$1:$B$31,2,0)*base!G481,0)</f>
        <v>0</v>
      </c>
      <c r="I481" s="38"/>
      <c r="J481" s="29"/>
      <c r="K481" s="31">
        <f>IF(base!I481&lt;&gt;"",VLOOKUP(I481,de_para!$A$1:$B$31,2,0)*base!J481,0)</f>
        <v>0</v>
      </c>
      <c r="L481" s="38"/>
      <c r="M481" s="29"/>
      <c r="N481" s="31">
        <f>IF(base!L481&lt;&gt;"",VLOOKUP(L481,de_para!$A$1:$B$31,2,0)*base!M481,0)</f>
        <v>0</v>
      </c>
      <c r="O481" s="38"/>
      <c r="P481" s="29"/>
      <c r="Q481" s="31">
        <f>IF(base!O481&lt;&gt;"",VLOOKUP(O481,de_para!$A$1:$B$31,2,0)*base!P481,0)</f>
        <v>0</v>
      </c>
      <c r="R481" s="38"/>
      <c r="S481" s="29"/>
      <c r="T481" s="31">
        <f>IF(base!R481&lt;&gt;"",VLOOKUP(R481,de_para!$A$1:$B$31,2,0)*base!S481,0)</f>
        <v>0</v>
      </c>
      <c r="U481" s="30">
        <f t="shared" si="8"/>
        <v>0</v>
      </c>
    </row>
    <row r="482" spans="1:21" x14ac:dyDescent="0.35">
      <c r="A482" s="29"/>
      <c r="B482" s="29"/>
      <c r="C482" s="29"/>
      <c r="D482" s="29"/>
      <c r="E482" s="29"/>
      <c r="F482" s="29"/>
      <c r="G482" s="29"/>
      <c r="H482" s="31">
        <f>IF(base!F482&lt;&gt;"",VLOOKUP(F482,de_para!$A$1:$B$31,2,0)*base!G482,0)</f>
        <v>0</v>
      </c>
      <c r="I482" s="38"/>
      <c r="J482" s="29"/>
      <c r="K482" s="31">
        <f>IF(base!I482&lt;&gt;"",VLOOKUP(I482,de_para!$A$1:$B$31,2,0)*base!J482,0)</f>
        <v>0</v>
      </c>
      <c r="L482" s="38"/>
      <c r="M482" s="29"/>
      <c r="N482" s="31">
        <f>IF(base!L482&lt;&gt;"",VLOOKUP(L482,de_para!$A$1:$B$31,2,0)*base!M482,0)</f>
        <v>0</v>
      </c>
      <c r="O482" s="38"/>
      <c r="P482" s="29"/>
      <c r="Q482" s="31">
        <f>IF(base!O482&lt;&gt;"",VLOOKUP(O482,de_para!$A$1:$B$31,2,0)*base!P482,0)</f>
        <v>0</v>
      </c>
      <c r="R482" s="38"/>
      <c r="S482" s="29"/>
      <c r="T482" s="31">
        <f>IF(base!R482&lt;&gt;"",VLOOKUP(R482,de_para!$A$1:$B$31,2,0)*base!S482,0)</f>
        <v>0</v>
      </c>
      <c r="U482" s="30">
        <f t="shared" si="8"/>
        <v>0</v>
      </c>
    </row>
    <row r="483" spans="1:21" x14ac:dyDescent="0.35">
      <c r="A483" s="29"/>
      <c r="B483" s="29"/>
      <c r="C483" s="29"/>
      <c r="D483" s="29"/>
      <c r="E483" s="29"/>
      <c r="F483" s="29"/>
      <c r="G483" s="29"/>
      <c r="H483" s="31">
        <f>IF(base!F483&lt;&gt;"",VLOOKUP(F483,de_para!$A$1:$B$31,2,0)*base!G483,0)</f>
        <v>0</v>
      </c>
      <c r="I483" s="38"/>
      <c r="J483" s="29"/>
      <c r="K483" s="31">
        <f>IF(base!I483&lt;&gt;"",VLOOKUP(I483,de_para!$A$1:$B$31,2,0)*base!J483,0)</f>
        <v>0</v>
      </c>
      <c r="L483" s="38"/>
      <c r="M483" s="29"/>
      <c r="N483" s="31">
        <f>IF(base!L483&lt;&gt;"",VLOOKUP(L483,de_para!$A$1:$B$31,2,0)*base!M483,0)</f>
        <v>0</v>
      </c>
      <c r="O483" s="38"/>
      <c r="P483" s="29"/>
      <c r="Q483" s="31">
        <f>IF(base!O483&lt;&gt;"",VLOOKUP(O483,de_para!$A$1:$B$31,2,0)*base!P483,0)</f>
        <v>0</v>
      </c>
      <c r="R483" s="38"/>
      <c r="S483" s="29"/>
      <c r="T483" s="31">
        <f>IF(base!R483&lt;&gt;"",VLOOKUP(R483,de_para!$A$1:$B$31,2,0)*base!S483,0)</f>
        <v>0</v>
      </c>
      <c r="U483" s="30">
        <f t="shared" si="8"/>
        <v>0</v>
      </c>
    </row>
    <row r="484" spans="1:21" x14ac:dyDescent="0.35">
      <c r="A484" s="29"/>
      <c r="B484" s="29"/>
      <c r="C484" s="29"/>
      <c r="D484" s="29"/>
      <c r="E484" s="29"/>
      <c r="F484" s="29"/>
      <c r="G484" s="29"/>
      <c r="H484" s="31">
        <f>IF(base!F484&lt;&gt;"",VLOOKUP(F484,de_para!$A$1:$B$31,2,0)*base!G484,0)</f>
        <v>0</v>
      </c>
      <c r="I484" s="38"/>
      <c r="J484" s="29"/>
      <c r="K484" s="31">
        <f>IF(base!I484&lt;&gt;"",VLOOKUP(I484,de_para!$A$1:$B$31,2,0)*base!J484,0)</f>
        <v>0</v>
      </c>
      <c r="L484" s="38"/>
      <c r="M484" s="29"/>
      <c r="N484" s="31">
        <f>IF(base!L484&lt;&gt;"",VLOOKUP(L484,de_para!$A$1:$B$31,2,0)*base!M484,0)</f>
        <v>0</v>
      </c>
      <c r="O484" s="38"/>
      <c r="P484" s="29"/>
      <c r="Q484" s="31">
        <f>IF(base!O484&lt;&gt;"",VLOOKUP(O484,de_para!$A$1:$B$31,2,0)*base!P484,0)</f>
        <v>0</v>
      </c>
      <c r="R484" s="38"/>
      <c r="S484" s="29"/>
      <c r="T484" s="31">
        <f>IF(base!R484&lt;&gt;"",VLOOKUP(R484,de_para!$A$1:$B$31,2,0)*base!S484,0)</f>
        <v>0</v>
      </c>
      <c r="U484" s="30">
        <f t="shared" si="8"/>
        <v>0</v>
      </c>
    </row>
    <row r="485" spans="1:21" x14ac:dyDescent="0.35">
      <c r="A485" s="29"/>
      <c r="B485" s="29"/>
      <c r="C485" s="29"/>
      <c r="D485" s="29"/>
      <c r="E485" s="29"/>
      <c r="F485" s="29"/>
      <c r="G485" s="29"/>
      <c r="H485" s="31">
        <f>IF(base!F485&lt;&gt;"",VLOOKUP(F485,de_para!$A$1:$B$31,2,0)*base!G485,0)</f>
        <v>0</v>
      </c>
      <c r="I485" s="38"/>
      <c r="J485" s="29"/>
      <c r="K485" s="31">
        <f>IF(base!I485&lt;&gt;"",VLOOKUP(I485,de_para!$A$1:$B$31,2,0)*base!J485,0)</f>
        <v>0</v>
      </c>
      <c r="L485" s="38"/>
      <c r="M485" s="29"/>
      <c r="N485" s="31">
        <f>IF(base!L485&lt;&gt;"",VLOOKUP(L485,de_para!$A$1:$B$31,2,0)*base!M485,0)</f>
        <v>0</v>
      </c>
      <c r="O485" s="38"/>
      <c r="P485" s="29"/>
      <c r="Q485" s="31">
        <f>IF(base!O485&lt;&gt;"",VLOOKUP(O485,de_para!$A$1:$B$31,2,0)*base!P485,0)</f>
        <v>0</v>
      </c>
      <c r="R485" s="38"/>
      <c r="S485" s="29"/>
      <c r="T485" s="31">
        <f>IF(base!R485&lt;&gt;"",VLOOKUP(R485,de_para!$A$1:$B$31,2,0)*base!S485,0)</f>
        <v>0</v>
      </c>
      <c r="U485" s="30">
        <f t="shared" si="8"/>
        <v>0</v>
      </c>
    </row>
    <row r="486" spans="1:21" x14ac:dyDescent="0.35">
      <c r="A486" s="29"/>
      <c r="B486" s="29"/>
      <c r="C486" s="29"/>
      <c r="D486" s="29"/>
      <c r="E486" s="29"/>
      <c r="F486" s="29"/>
      <c r="G486" s="29"/>
      <c r="H486" s="31">
        <f>IF(base!F486&lt;&gt;"",VLOOKUP(F486,de_para!$A$1:$B$31,2,0)*base!G486,0)</f>
        <v>0</v>
      </c>
      <c r="I486" s="38"/>
      <c r="J486" s="29"/>
      <c r="K486" s="31">
        <f>IF(base!I486&lt;&gt;"",VLOOKUP(I486,de_para!$A$1:$B$31,2,0)*base!J486,0)</f>
        <v>0</v>
      </c>
      <c r="L486" s="38"/>
      <c r="M486" s="29"/>
      <c r="N486" s="31">
        <f>IF(base!L486&lt;&gt;"",VLOOKUP(L486,de_para!$A$1:$B$31,2,0)*base!M486,0)</f>
        <v>0</v>
      </c>
      <c r="O486" s="38"/>
      <c r="P486" s="29"/>
      <c r="Q486" s="31">
        <f>IF(base!O486&lt;&gt;"",VLOOKUP(O486,de_para!$A$1:$B$31,2,0)*base!P486,0)</f>
        <v>0</v>
      </c>
      <c r="R486" s="38"/>
      <c r="S486" s="29"/>
      <c r="T486" s="31">
        <f>IF(base!R486&lt;&gt;"",VLOOKUP(R486,de_para!$A$1:$B$31,2,0)*base!S486,0)</f>
        <v>0</v>
      </c>
      <c r="U486" s="30">
        <f t="shared" si="8"/>
        <v>0</v>
      </c>
    </row>
    <row r="487" spans="1:21" x14ac:dyDescent="0.35">
      <c r="A487" s="29"/>
      <c r="B487" s="29"/>
      <c r="C487" s="29"/>
      <c r="D487" s="29"/>
      <c r="E487" s="29"/>
      <c r="F487" s="29"/>
      <c r="G487" s="29"/>
      <c r="H487" s="31">
        <f>IF(base!F487&lt;&gt;"",VLOOKUP(F487,de_para!$A$1:$B$31,2,0)*base!G487,0)</f>
        <v>0</v>
      </c>
      <c r="I487" s="38"/>
      <c r="J487" s="29"/>
      <c r="K487" s="31">
        <f>IF(base!I487&lt;&gt;"",VLOOKUP(I487,de_para!$A$1:$B$31,2,0)*base!J487,0)</f>
        <v>0</v>
      </c>
      <c r="L487" s="38"/>
      <c r="M487" s="29"/>
      <c r="N487" s="31">
        <f>IF(base!L487&lt;&gt;"",VLOOKUP(L487,de_para!$A$1:$B$31,2,0)*base!M487,0)</f>
        <v>0</v>
      </c>
      <c r="O487" s="38"/>
      <c r="P487" s="29"/>
      <c r="Q487" s="31">
        <f>IF(base!O487&lt;&gt;"",VLOOKUP(O487,de_para!$A$1:$B$31,2,0)*base!P487,0)</f>
        <v>0</v>
      </c>
      <c r="R487" s="38"/>
      <c r="S487" s="29"/>
      <c r="T487" s="31">
        <f>IF(base!R487&lt;&gt;"",VLOOKUP(R487,de_para!$A$1:$B$31,2,0)*base!S487,0)</f>
        <v>0</v>
      </c>
      <c r="U487" s="30">
        <f t="shared" si="8"/>
        <v>0</v>
      </c>
    </row>
    <row r="488" spans="1:21" x14ac:dyDescent="0.35">
      <c r="A488" s="29"/>
      <c r="B488" s="29"/>
      <c r="C488" s="29"/>
      <c r="D488" s="29"/>
      <c r="E488" s="29"/>
      <c r="F488" s="29"/>
      <c r="G488" s="29"/>
      <c r="H488" s="31">
        <f>IF(base!F488&lt;&gt;"",VLOOKUP(F488,de_para!$A$1:$B$31,2,0)*base!G488,0)</f>
        <v>0</v>
      </c>
      <c r="I488" s="38"/>
      <c r="J488" s="29"/>
      <c r="K488" s="31">
        <f>IF(base!I488&lt;&gt;"",VLOOKUP(I488,de_para!$A$1:$B$31,2,0)*base!J488,0)</f>
        <v>0</v>
      </c>
      <c r="L488" s="38"/>
      <c r="M488" s="29"/>
      <c r="N488" s="31">
        <f>IF(base!L488&lt;&gt;"",VLOOKUP(L488,de_para!$A$1:$B$31,2,0)*base!M488,0)</f>
        <v>0</v>
      </c>
      <c r="O488" s="38"/>
      <c r="P488" s="29"/>
      <c r="Q488" s="31">
        <f>IF(base!O488&lt;&gt;"",VLOOKUP(O488,de_para!$A$1:$B$31,2,0)*base!P488,0)</f>
        <v>0</v>
      </c>
      <c r="R488" s="38"/>
      <c r="S488" s="29"/>
      <c r="T488" s="31">
        <f>IF(base!R488&lt;&gt;"",VLOOKUP(R488,de_para!$A$1:$B$31,2,0)*base!S488,0)</f>
        <v>0</v>
      </c>
      <c r="U488" s="30">
        <f t="shared" si="8"/>
        <v>0</v>
      </c>
    </row>
    <row r="489" spans="1:21" x14ac:dyDescent="0.35">
      <c r="A489" s="29"/>
      <c r="B489" s="29"/>
      <c r="C489" s="29"/>
      <c r="D489" s="29"/>
      <c r="E489" s="29"/>
      <c r="F489" s="29"/>
      <c r="G489" s="29"/>
      <c r="H489" s="31">
        <f>IF(base!F489&lt;&gt;"",VLOOKUP(F489,de_para!$A$1:$B$31,2,0)*base!G489,0)</f>
        <v>0</v>
      </c>
      <c r="I489" s="38"/>
      <c r="J489" s="29"/>
      <c r="K489" s="31">
        <f>IF(base!I489&lt;&gt;"",VLOOKUP(I489,de_para!$A$1:$B$31,2,0)*base!J489,0)</f>
        <v>0</v>
      </c>
      <c r="L489" s="38"/>
      <c r="M489" s="29"/>
      <c r="N489" s="31">
        <f>IF(base!L489&lt;&gt;"",VLOOKUP(L489,de_para!$A$1:$B$31,2,0)*base!M489,0)</f>
        <v>0</v>
      </c>
      <c r="O489" s="38"/>
      <c r="P489" s="29"/>
      <c r="Q489" s="31">
        <f>IF(base!O489&lt;&gt;"",VLOOKUP(O489,de_para!$A$1:$B$31,2,0)*base!P489,0)</f>
        <v>0</v>
      </c>
      <c r="R489" s="38"/>
      <c r="S489" s="29"/>
      <c r="T489" s="31">
        <f>IF(base!R489&lt;&gt;"",VLOOKUP(R489,de_para!$A$1:$B$31,2,0)*base!S489,0)</f>
        <v>0</v>
      </c>
      <c r="U489" s="30">
        <f t="shared" si="8"/>
        <v>0</v>
      </c>
    </row>
    <row r="490" spans="1:21" x14ac:dyDescent="0.35">
      <c r="A490" s="29"/>
      <c r="B490" s="29"/>
      <c r="C490" s="29"/>
      <c r="D490" s="29"/>
      <c r="E490" s="29"/>
      <c r="F490" s="29"/>
      <c r="G490" s="29"/>
      <c r="H490" s="31">
        <f>IF(base!F490&lt;&gt;"",VLOOKUP(F490,de_para!$A$1:$B$31,2,0)*base!G490,0)</f>
        <v>0</v>
      </c>
      <c r="I490" s="38"/>
      <c r="J490" s="29"/>
      <c r="K490" s="31">
        <f>IF(base!I490&lt;&gt;"",VLOOKUP(I490,de_para!$A$1:$B$31,2,0)*base!J490,0)</f>
        <v>0</v>
      </c>
      <c r="L490" s="38"/>
      <c r="M490" s="29"/>
      <c r="N490" s="31">
        <f>IF(base!L490&lt;&gt;"",VLOOKUP(L490,de_para!$A$1:$B$31,2,0)*base!M490,0)</f>
        <v>0</v>
      </c>
      <c r="O490" s="38"/>
      <c r="P490" s="29"/>
      <c r="Q490" s="31">
        <f>IF(base!O490&lt;&gt;"",VLOOKUP(O490,de_para!$A$1:$B$31,2,0)*base!P490,0)</f>
        <v>0</v>
      </c>
      <c r="R490" s="38"/>
      <c r="S490" s="29"/>
      <c r="T490" s="31">
        <f>IF(base!R490&lt;&gt;"",VLOOKUP(R490,de_para!$A$1:$B$31,2,0)*base!S490,0)</f>
        <v>0</v>
      </c>
      <c r="U490" s="30">
        <f t="shared" si="8"/>
        <v>0</v>
      </c>
    </row>
    <row r="491" spans="1:21" x14ac:dyDescent="0.35">
      <c r="A491" s="29"/>
      <c r="B491" s="29"/>
      <c r="C491" s="29"/>
      <c r="D491" s="29"/>
      <c r="E491" s="29"/>
      <c r="F491" s="29"/>
      <c r="G491" s="29"/>
      <c r="H491" s="31">
        <f>IF(base!F491&lt;&gt;"",VLOOKUP(F491,de_para!$A$1:$B$31,2,0)*base!G491,0)</f>
        <v>0</v>
      </c>
      <c r="I491" s="38"/>
      <c r="J491" s="29"/>
      <c r="K491" s="31">
        <f>IF(base!I491&lt;&gt;"",VLOOKUP(I491,de_para!$A$1:$B$31,2,0)*base!J491,0)</f>
        <v>0</v>
      </c>
      <c r="L491" s="38"/>
      <c r="M491" s="29"/>
      <c r="N491" s="31">
        <f>IF(base!L491&lt;&gt;"",VLOOKUP(L491,de_para!$A$1:$B$31,2,0)*base!M491,0)</f>
        <v>0</v>
      </c>
      <c r="O491" s="38"/>
      <c r="P491" s="29"/>
      <c r="Q491" s="31">
        <f>IF(base!O491&lt;&gt;"",VLOOKUP(O491,de_para!$A$1:$B$31,2,0)*base!P491,0)</f>
        <v>0</v>
      </c>
      <c r="R491" s="38"/>
      <c r="S491" s="29"/>
      <c r="T491" s="31">
        <f>IF(base!R491&lt;&gt;"",VLOOKUP(R491,de_para!$A$1:$B$31,2,0)*base!S491,0)</f>
        <v>0</v>
      </c>
      <c r="U491" s="30">
        <f t="shared" si="8"/>
        <v>0</v>
      </c>
    </row>
    <row r="492" spans="1:21" x14ac:dyDescent="0.35">
      <c r="A492" s="29"/>
      <c r="B492" s="29"/>
      <c r="C492" s="29"/>
      <c r="D492" s="29"/>
      <c r="E492" s="29"/>
      <c r="F492" s="29"/>
      <c r="G492" s="29"/>
      <c r="H492" s="31">
        <f>IF(base!F492&lt;&gt;"",VLOOKUP(F492,de_para!$A$1:$B$31,2,0)*base!G492,0)</f>
        <v>0</v>
      </c>
      <c r="I492" s="38"/>
      <c r="J492" s="29"/>
      <c r="K492" s="31">
        <f>IF(base!I492&lt;&gt;"",VLOOKUP(I492,de_para!$A$1:$B$31,2,0)*base!J492,0)</f>
        <v>0</v>
      </c>
      <c r="L492" s="38"/>
      <c r="M492" s="29"/>
      <c r="N492" s="31">
        <f>IF(base!L492&lt;&gt;"",VLOOKUP(L492,de_para!$A$1:$B$31,2,0)*base!M492,0)</f>
        <v>0</v>
      </c>
      <c r="O492" s="38"/>
      <c r="P492" s="29"/>
      <c r="Q492" s="31">
        <f>IF(base!O492&lt;&gt;"",VLOOKUP(O492,de_para!$A$1:$B$31,2,0)*base!P492,0)</f>
        <v>0</v>
      </c>
      <c r="R492" s="38"/>
      <c r="S492" s="29"/>
      <c r="T492" s="31">
        <f>IF(base!R492&lt;&gt;"",VLOOKUP(R492,de_para!$A$1:$B$31,2,0)*base!S492,0)</f>
        <v>0</v>
      </c>
      <c r="U492" s="30">
        <f t="shared" si="8"/>
        <v>0</v>
      </c>
    </row>
    <row r="493" spans="1:21" x14ac:dyDescent="0.35">
      <c r="A493" s="29"/>
      <c r="B493" s="29"/>
      <c r="C493" s="29"/>
      <c r="D493" s="29"/>
      <c r="E493" s="29"/>
      <c r="F493" s="29"/>
      <c r="G493" s="29"/>
      <c r="H493" s="31">
        <f>IF(base!F493&lt;&gt;"",VLOOKUP(F493,de_para!$A$1:$B$31,2,0)*base!G493,0)</f>
        <v>0</v>
      </c>
      <c r="I493" s="38"/>
      <c r="J493" s="29"/>
      <c r="K493" s="31">
        <f>IF(base!I493&lt;&gt;"",VLOOKUP(I493,de_para!$A$1:$B$31,2,0)*base!J493,0)</f>
        <v>0</v>
      </c>
      <c r="L493" s="38"/>
      <c r="M493" s="29"/>
      <c r="N493" s="31">
        <f>IF(base!L493&lt;&gt;"",VLOOKUP(L493,de_para!$A$1:$B$31,2,0)*base!M493,0)</f>
        <v>0</v>
      </c>
      <c r="O493" s="38"/>
      <c r="P493" s="29"/>
      <c r="Q493" s="31">
        <f>IF(base!O493&lt;&gt;"",VLOOKUP(O493,de_para!$A$1:$B$31,2,0)*base!P493,0)</f>
        <v>0</v>
      </c>
      <c r="R493" s="38"/>
      <c r="S493" s="29"/>
      <c r="T493" s="31">
        <f>IF(base!R493&lt;&gt;"",VLOOKUP(R493,de_para!$A$1:$B$31,2,0)*base!S493,0)</f>
        <v>0</v>
      </c>
      <c r="U493" s="30">
        <f t="shared" si="8"/>
        <v>0</v>
      </c>
    </row>
    <row r="494" spans="1:21" x14ac:dyDescent="0.35">
      <c r="A494" s="29"/>
      <c r="B494" s="29"/>
      <c r="C494" s="29"/>
      <c r="D494" s="29"/>
      <c r="E494" s="29"/>
      <c r="F494" s="29"/>
      <c r="G494" s="29"/>
      <c r="H494" s="31">
        <f>IF(base!F494&lt;&gt;"",VLOOKUP(F494,de_para!$A$1:$B$31,2,0)*base!G494,0)</f>
        <v>0</v>
      </c>
      <c r="I494" s="38"/>
      <c r="J494" s="29"/>
      <c r="K494" s="31">
        <f>IF(base!I494&lt;&gt;"",VLOOKUP(I494,de_para!$A$1:$B$31,2,0)*base!J494,0)</f>
        <v>0</v>
      </c>
      <c r="L494" s="38"/>
      <c r="M494" s="29"/>
      <c r="N494" s="31">
        <f>IF(base!L494&lt;&gt;"",VLOOKUP(L494,de_para!$A$1:$B$31,2,0)*base!M494,0)</f>
        <v>0</v>
      </c>
      <c r="O494" s="38"/>
      <c r="P494" s="29"/>
      <c r="Q494" s="31">
        <f>IF(base!O494&lt;&gt;"",VLOOKUP(O494,de_para!$A$1:$B$31,2,0)*base!P494,0)</f>
        <v>0</v>
      </c>
      <c r="R494" s="38"/>
      <c r="S494" s="29"/>
      <c r="T494" s="31">
        <f>IF(base!R494&lt;&gt;"",VLOOKUP(R494,de_para!$A$1:$B$31,2,0)*base!S494,0)</f>
        <v>0</v>
      </c>
      <c r="U494" s="30">
        <f t="shared" si="8"/>
        <v>0</v>
      </c>
    </row>
    <row r="495" spans="1:21" x14ac:dyDescent="0.35">
      <c r="A495" s="29"/>
      <c r="B495" s="29"/>
      <c r="C495" s="29"/>
      <c r="D495" s="29"/>
      <c r="E495" s="29"/>
      <c r="F495" s="29"/>
      <c r="G495" s="29"/>
      <c r="H495" s="31">
        <f>IF(base!F495&lt;&gt;"",VLOOKUP(F495,de_para!$A$1:$B$31,2,0)*base!G495,0)</f>
        <v>0</v>
      </c>
      <c r="I495" s="38"/>
      <c r="J495" s="29"/>
      <c r="K495" s="31">
        <f>IF(base!I495&lt;&gt;"",VLOOKUP(I495,de_para!$A$1:$B$31,2,0)*base!J495,0)</f>
        <v>0</v>
      </c>
      <c r="L495" s="38"/>
      <c r="M495" s="29"/>
      <c r="N495" s="31">
        <f>IF(base!L495&lt;&gt;"",VLOOKUP(L495,de_para!$A$1:$B$31,2,0)*base!M495,0)</f>
        <v>0</v>
      </c>
      <c r="O495" s="38"/>
      <c r="P495" s="29"/>
      <c r="Q495" s="31">
        <f>IF(base!O495&lt;&gt;"",VLOOKUP(O495,de_para!$A$1:$B$31,2,0)*base!P495,0)</f>
        <v>0</v>
      </c>
      <c r="R495" s="38"/>
      <c r="S495" s="29"/>
      <c r="T495" s="31">
        <f>IF(base!R495&lt;&gt;"",VLOOKUP(R495,de_para!$A$1:$B$31,2,0)*base!S495,0)</f>
        <v>0</v>
      </c>
      <c r="U495" s="30">
        <f t="shared" si="8"/>
        <v>0</v>
      </c>
    </row>
    <row r="496" spans="1:21" x14ac:dyDescent="0.35">
      <c r="A496" s="29"/>
      <c r="B496" s="29"/>
      <c r="C496" s="29"/>
      <c r="D496" s="29"/>
      <c r="E496" s="29"/>
      <c r="F496" s="29"/>
      <c r="G496" s="29"/>
      <c r="H496" s="31">
        <f>IF(base!F496&lt;&gt;"",VLOOKUP(F496,de_para!$A$1:$B$31,2,0)*base!G496,0)</f>
        <v>0</v>
      </c>
      <c r="I496" s="38"/>
      <c r="J496" s="29"/>
      <c r="K496" s="31">
        <f>IF(base!I496&lt;&gt;"",VLOOKUP(I496,de_para!$A$1:$B$31,2,0)*base!J496,0)</f>
        <v>0</v>
      </c>
      <c r="L496" s="38"/>
      <c r="M496" s="29"/>
      <c r="N496" s="31">
        <f>IF(base!L496&lt;&gt;"",VLOOKUP(L496,de_para!$A$1:$B$31,2,0)*base!M496,0)</f>
        <v>0</v>
      </c>
      <c r="O496" s="38"/>
      <c r="P496" s="29"/>
      <c r="Q496" s="31">
        <f>IF(base!O496&lt;&gt;"",VLOOKUP(O496,de_para!$A$1:$B$31,2,0)*base!P496,0)</f>
        <v>0</v>
      </c>
      <c r="R496" s="38"/>
      <c r="S496" s="29"/>
      <c r="T496" s="31">
        <f>IF(base!R496&lt;&gt;"",VLOOKUP(R496,de_para!$A$1:$B$31,2,0)*base!S496,0)</f>
        <v>0</v>
      </c>
      <c r="U496" s="30">
        <f t="shared" si="8"/>
        <v>0</v>
      </c>
    </row>
    <row r="497" spans="1:21" x14ac:dyDescent="0.35">
      <c r="A497" s="29"/>
      <c r="B497" s="29"/>
      <c r="C497" s="29"/>
      <c r="D497" s="29"/>
      <c r="E497" s="29"/>
      <c r="F497" s="29"/>
      <c r="G497" s="29"/>
      <c r="H497" s="31">
        <f>IF(base!F497&lt;&gt;"",VLOOKUP(F497,de_para!$A$1:$B$31,2,0)*base!G497,0)</f>
        <v>0</v>
      </c>
      <c r="I497" s="38"/>
      <c r="J497" s="29"/>
      <c r="K497" s="31">
        <f>IF(base!I497&lt;&gt;"",VLOOKUP(I497,de_para!$A$1:$B$31,2,0)*base!J497,0)</f>
        <v>0</v>
      </c>
      <c r="L497" s="38"/>
      <c r="M497" s="29"/>
      <c r="N497" s="31">
        <f>IF(base!L497&lt;&gt;"",VLOOKUP(L497,de_para!$A$1:$B$31,2,0)*base!M497,0)</f>
        <v>0</v>
      </c>
      <c r="O497" s="38"/>
      <c r="P497" s="29"/>
      <c r="Q497" s="31">
        <f>IF(base!O497&lt;&gt;"",VLOOKUP(O497,de_para!$A$1:$B$31,2,0)*base!P497,0)</f>
        <v>0</v>
      </c>
      <c r="R497" s="38"/>
      <c r="S497" s="29"/>
      <c r="T497" s="31">
        <f>IF(base!R497&lt;&gt;"",VLOOKUP(R497,de_para!$A$1:$B$31,2,0)*base!S497,0)</f>
        <v>0</v>
      </c>
      <c r="U497" s="30">
        <f t="shared" si="8"/>
        <v>0</v>
      </c>
    </row>
    <row r="498" spans="1:21" x14ac:dyDescent="0.35">
      <c r="A498" s="29"/>
      <c r="B498" s="29"/>
      <c r="C498" s="29"/>
      <c r="D498" s="29"/>
      <c r="E498" s="29"/>
      <c r="F498" s="29"/>
      <c r="G498" s="29"/>
      <c r="H498" s="31">
        <f>IF(base!F498&lt;&gt;"",VLOOKUP(F498,de_para!$A$1:$B$31,2,0)*base!G498,0)</f>
        <v>0</v>
      </c>
      <c r="I498" s="38"/>
      <c r="J498" s="29"/>
      <c r="K498" s="31">
        <f>IF(base!I498&lt;&gt;"",VLOOKUP(I498,de_para!$A$1:$B$31,2,0)*base!J498,0)</f>
        <v>0</v>
      </c>
      <c r="L498" s="38"/>
      <c r="M498" s="29"/>
      <c r="N498" s="31">
        <f>IF(base!L498&lt;&gt;"",VLOOKUP(L498,de_para!$A$1:$B$31,2,0)*base!M498,0)</f>
        <v>0</v>
      </c>
      <c r="O498" s="38"/>
      <c r="P498" s="29"/>
      <c r="Q498" s="31">
        <f>IF(base!O498&lt;&gt;"",VLOOKUP(O498,de_para!$A$1:$B$31,2,0)*base!P498,0)</f>
        <v>0</v>
      </c>
      <c r="R498" s="38"/>
      <c r="S498" s="29"/>
      <c r="T498" s="31">
        <f>IF(base!R498&lt;&gt;"",VLOOKUP(R498,de_para!$A$1:$B$31,2,0)*base!S498,0)</f>
        <v>0</v>
      </c>
      <c r="U498" s="30">
        <f t="shared" si="8"/>
        <v>0</v>
      </c>
    </row>
    <row r="499" spans="1:21" x14ac:dyDescent="0.35">
      <c r="A499" s="29"/>
      <c r="B499" s="29"/>
      <c r="C499" s="29"/>
      <c r="D499" s="29"/>
      <c r="E499" s="29"/>
      <c r="F499" s="29"/>
      <c r="G499" s="29"/>
      <c r="H499" s="31">
        <f>IF(base!F499&lt;&gt;"",VLOOKUP(F499,de_para!$A$1:$B$31,2,0)*base!G499,0)</f>
        <v>0</v>
      </c>
      <c r="I499" s="38"/>
      <c r="J499" s="29"/>
      <c r="K499" s="31">
        <f>IF(base!I499&lt;&gt;"",VLOOKUP(I499,de_para!$A$1:$B$31,2,0)*base!J499,0)</f>
        <v>0</v>
      </c>
      <c r="L499" s="38"/>
      <c r="M499" s="29"/>
      <c r="N499" s="31">
        <f>IF(base!L499&lt;&gt;"",VLOOKUP(L499,de_para!$A$1:$B$31,2,0)*base!M499,0)</f>
        <v>0</v>
      </c>
      <c r="O499" s="38"/>
      <c r="P499" s="29"/>
      <c r="Q499" s="31">
        <f>IF(base!O499&lt;&gt;"",VLOOKUP(O499,de_para!$A$1:$B$31,2,0)*base!P499,0)</f>
        <v>0</v>
      </c>
      <c r="R499" s="38"/>
      <c r="S499" s="29"/>
      <c r="T499" s="31">
        <f>IF(base!R499&lt;&gt;"",VLOOKUP(R499,de_para!$A$1:$B$31,2,0)*base!S499,0)</f>
        <v>0</v>
      </c>
      <c r="U499" s="30">
        <f t="shared" si="8"/>
        <v>0</v>
      </c>
    </row>
    <row r="500" spans="1:21" x14ac:dyDescent="0.35">
      <c r="A500" s="29"/>
      <c r="B500" s="29"/>
      <c r="C500" s="29"/>
      <c r="D500" s="29"/>
      <c r="E500" s="29"/>
      <c r="F500" s="29"/>
      <c r="G500" s="29"/>
      <c r="H500" s="31">
        <f>IF(base!F500&lt;&gt;"",VLOOKUP(F500,de_para!$A$1:$B$31,2,0)*base!G500,0)</f>
        <v>0</v>
      </c>
      <c r="I500" s="38"/>
      <c r="J500" s="29"/>
      <c r="K500" s="31">
        <f>IF(base!I500&lt;&gt;"",VLOOKUP(I500,de_para!$A$1:$B$31,2,0)*base!J500,0)</f>
        <v>0</v>
      </c>
      <c r="L500" s="38"/>
      <c r="M500" s="29"/>
      <c r="N500" s="31">
        <f>IF(base!L500&lt;&gt;"",VLOOKUP(L500,de_para!$A$1:$B$31,2,0)*base!M500,0)</f>
        <v>0</v>
      </c>
      <c r="O500" s="38"/>
      <c r="P500" s="29"/>
      <c r="Q500" s="31">
        <f>IF(base!O500&lt;&gt;"",VLOOKUP(O500,de_para!$A$1:$B$31,2,0)*base!P500,0)</f>
        <v>0</v>
      </c>
      <c r="R500" s="38"/>
      <c r="S500" s="29"/>
      <c r="T500" s="31">
        <f>IF(base!R500&lt;&gt;"",VLOOKUP(R500,de_para!$A$1:$B$31,2,0)*base!S500,0)</f>
        <v>0</v>
      </c>
      <c r="U500" s="30">
        <f t="shared" si="8"/>
        <v>0</v>
      </c>
    </row>
    <row r="501" spans="1:21" x14ac:dyDescent="0.35">
      <c r="A501" s="29"/>
      <c r="B501" s="29"/>
      <c r="C501" s="29"/>
      <c r="D501" s="29"/>
      <c r="E501" s="29"/>
      <c r="F501" s="29"/>
      <c r="G501" s="29"/>
      <c r="H501" s="31">
        <f>IF(base!F501&lt;&gt;"",VLOOKUP(F501,de_para!$A$1:$B$31,2,0)*base!G501,0)</f>
        <v>0</v>
      </c>
      <c r="I501" s="38"/>
      <c r="J501" s="29"/>
      <c r="K501" s="31">
        <f>IF(base!I501&lt;&gt;"",VLOOKUP(I501,de_para!$A$1:$B$31,2,0)*base!J501,0)</f>
        <v>0</v>
      </c>
      <c r="L501" s="38"/>
      <c r="M501" s="29"/>
      <c r="N501" s="31">
        <f>IF(base!L501&lt;&gt;"",VLOOKUP(L501,de_para!$A$1:$B$31,2,0)*base!M501,0)</f>
        <v>0</v>
      </c>
      <c r="O501" s="38"/>
      <c r="P501" s="29"/>
      <c r="Q501" s="31">
        <f>IF(base!O501&lt;&gt;"",VLOOKUP(O501,de_para!$A$1:$B$31,2,0)*base!P501,0)</f>
        <v>0</v>
      </c>
      <c r="R501" s="38"/>
      <c r="S501" s="29"/>
      <c r="T501" s="31">
        <f>IF(base!R501&lt;&gt;"",VLOOKUP(R501,de_para!$A$1:$B$31,2,0)*base!S501,0)</f>
        <v>0</v>
      </c>
      <c r="U501" s="30">
        <f t="shared" si="8"/>
        <v>0</v>
      </c>
    </row>
    <row r="502" spans="1:21" x14ac:dyDescent="0.35">
      <c r="A502" s="29"/>
      <c r="B502" s="29"/>
      <c r="C502" s="29"/>
      <c r="D502" s="29"/>
      <c r="E502" s="29"/>
      <c r="F502" s="29"/>
      <c r="G502" s="29"/>
      <c r="H502" s="31">
        <f>IF(base!F502&lt;&gt;"",VLOOKUP(F502,de_para!$A$1:$B$31,2,0)*base!G502,0)</f>
        <v>0</v>
      </c>
      <c r="I502" s="38"/>
      <c r="J502" s="29"/>
      <c r="K502" s="31">
        <f>IF(base!I502&lt;&gt;"",VLOOKUP(I502,de_para!$A$1:$B$31,2,0)*base!J502,0)</f>
        <v>0</v>
      </c>
      <c r="L502" s="38"/>
      <c r="M502" s="29"/>
      <c r="N502" s="31">
        <f>IF(base!L502&lt;&gt;"",VLOOKUP(L502,de_para!$A$1:$B$31,2,0)*base!M502,0)</f>
        <v>0</v>
      </c>
      <c r="O502" s="38"/>
      <c r="P502" s="29"/>
      <c r="Q502" s="31">
        <f>IF(base!O502&lt;&gt;"",VLOOKUP(O502,de_para!$A$1:$B$31,2,0)*base!P502,0)</f>
        <v>0</v>
      </c>
      <c r="R502" s="38"/>
      <c r="S502" s="29"/>
      <c r="T502" s="31">
        <f>IF(base!R502&lt;&gt;"",VLOOKUP(R502,de_para!$A$1:$B$31,2,0)*base!S502,0)</f>
        <v>0</v>
      </c>
      <c r="U502" s="30">
        <f t="shared" si="8"/>
        <v>0</v>
      </c>
    </row>
    <row r="503" spans="1:21" x14ac:dyDescent="0.35">
      <c r="A503" s="29"/>
      <c r="B503" s="29"/>
      <c r="C503" s="29"/>
      <c r="D503" s="29"/>
      <c r="E503" s="29"/>
      <c r="F503" s="29"/>
      <c r="G503" s="29"/>
      <c r="H503" s="31">
        <f>IF(base!F503&lt;&gt;"",VLOOKUP(F503,de_para!$A$1:$B$31,2,0)*base!G503,0)</f>
        <v>0</v>
      </c>
      <c r="I503" s="38"/>
      <c r="J503" s="29"/>
      <c r="K503" s="31">
        <f>IF(base!I503&lt;&gt;"",VLOOKUP(I503,de_para!$A$1:$B$31,2,0)*base!J503,0)</f>
        <v>0</v>
      </c>
      <c r="L503" s="38"/>
      <c r="M503" s="29"/>
      <c r="N503" s="31">
        <f>IF(base!L503&lt;&gt;"",VLOOKUP(L503,de_para!$A$1:$B$31,2,0)*base!M503,0)</f>
        <v>0</v>
      </c>
      <c r="O503" s="38"/>
      <c r="P503" s="29"/>
      <c r="Q503" s="31">
        <f>IF(base!O503&lt;&gt;"",VLOOKUP(O503,de_para!$A$1:$B$31,2,0)*base!P503,0)</f>
        <v>0</v>
      </c>
      <c r="R503" s="38"/>
      <c r="S503" s="29"/>
      <c r="T503" s="31">
        <f>IF(base!R503&lt;&gt;"",VLOOKUP(R503,de_para!$A$1:$B$31,2,0)*base!S503,0)</f>
        <v>0</v>
      </c>
      <c r="U503" s="30">
        <f t="shared" ref="U503:U566" si="9">H503+K503+N503+Q503+T503</f>
        <v>0</v>
      </c>
    </row>
    <row r="504" spans="1:21" x14ac:dyDescent="0.35">
      <c r="A504" s="29"/>
      <c r="B504" s="29"/>
      <c r="C504" s="29"/>
      <c r="D504" s="29"/>
      <c r="E504" s="29"/>
      <c r="F504" s="29"/>
      <c r="G504" s="29"/>
      <c r="H504" s="31">
        <f>IF(base!F504&lt;&gt;"",VLOOKUP(F504,de_para!$A$1:$B$31,2,0)*base!G504,0)</f>
        <v>0</v>
      </c>
      <c r="I504" s="38"/>
      <c r="J504" s="29"/>
      <c r="K504" s="31">
        <f>IF(base!I504&lt;&gt;"",VLOOKUP(I504,de_para!$A$1:$B$31,2,0)*base!J504,0)</f>
        <v>0</v>
      </c>
      <c r="L504" s="38"/>
      <c r="M504" s="29"/>
      <c r="N504" s="31">
        <f>IF(base!L504&lt;&gt;"",VLOOKUP(L504,de_para!$A$1:$B$31,2,0)*base!M504,0)</f>
        <v>0</v>
      </c>
      <c r="O504" s="38"/>
      <c r="P504" s="29"/>
      <c r="Q504" s="31">
        <f>IF(base!O504&lt;&gt;"",VLOOKUP(O504,de_para!$A$1:$B$31,2,0)*base!P504,0)</f>
        <v>0</v>
      </c>
      <c r="R504" s="38"/>
      <c r="S504" s="29"/>
      <c r="T504" s="31">
        <f>IF(base!R504&lt;&gt;"",VLOOKUP(R504,de_para!$A$1:$B$31,2,0)*base!S504,0)</f>
        <v>0</v>
      </c>
      <c r="U504" s="30">
        <f t="shared" si="9"/>
        <v>0</v>
      </c>
    </row>
    <row r="505" spans="1:21" x14ac:dyDescent="0.35">
      <c r="A505" s="29"/>
      <c r="B505" s="29"/>
      <c r="C505" s="29"/>
      <c r="D505" s="29"/>
      <c r="E505" s="29"/>
      <c r="F505" s="29"/>
      <c r="G505" s="29"/>
      <c r="H505" s="31">
        <f>IF(base!F505&lt;&gt;"",VLOOKUP(F505,de_para!$A$1:$B$31,2,0)*base!G505,0)</f>
        <v>0</v>
      </c>
      <c r="I505" s="38"/>
      <c r="J505" s="29"/>
      <c r="K505" s="31">
        <f>IF(base!I505&lt;&gt;"",VLOOKUP(I505,de_para!$A$1:$B$31,2,0)*base!J505,0)</f>
        <v>0</v>
      </c>
      <c r="L505" s="38"/>
      <c r="M505" s="29"/>
      <c r="N505" s="31">
        <f>IF(base!L505&lt;&gt;"",VLOOKUP(L505,de_para!$A$1:$B$31,2,0)*base!M505,0)</f>
        <v>0</v>
      </c>
      <c r="O505" s="38"/>
      <c r="P505" s="29"/>
      <c r="Q505" s="31">
        <f>IF(base!O505&lt;&gt;"",VLOOKUP(O505,de_para!$A$1:$B$31,2,0)*base!P505,0)</f>
        <v>0</v>
      </c>
      <c r="R505" s="38"/>
      <c r="S505" s="29"/>
      <c r="T505" s="31">
        <f>IF(base!R505&lt;&gt;"",VLOOKUP(R505,de_para!$A$1:$B$31,2,0)*base!S505,0)</f>
        <v>0</v>
      </c>
      <c r="U505" s="30">
        <f t="shared" si="9"/>
        <v>0</v>
      </c>
    </row>
    <row r="506" spans="1:21" x14ac:dyDescent="0.35">
      <c r="A506" s="29"/>
      <c r="B506" s="29"/>
      <c r="C506" s="29"/>
      <c r="D506" s="29"/>
      <c r="E506" s="29"/>
      <c r="F506" s="29"/>
      <c r="G506" s="29"/>
      <c r="H506" s="31">
        <f>IF(base!F506&lt;&gt;"",VLOOKUP(F506,de_para!$A$1:$B$31,2,0)*base!G506,0)</f>
        <v>0</v>
      </c>
      <c r="I506" s="38"/>
      <c r="J506" s="29"/>
      <c r="K506" s="31">
        <f>IF(base!I506&lt;&gt;"",VLOOKUP(I506,de_para!$A$1:$B$31,2,0)*base!J506,0)</f>
        <v>0</v>
      </c>
      <c r="L506" s="38"/>
      <c r="M506" s="29"/>
      <c r="N506" s="31">
        <f>IF(base!L506&lt;&gt;"",VLOOKUP(L506,de_para!$A$1:$B$31,2,0)*base!M506,0)</f>
        <v>0</v>
      </c>
      <c r="O506" s="38"/>
      <c r="P506" s="29"/>
      <c r="Q506" s="31">
        <f>IF(base!O506&lt;&gt;"",VLOOKUP(O506,de_para!$A$1:$B$31,2,0)*base!P506,0)</f>
        <v>0</v>
      </c>
      <c r="R506" s="38"/>
      <c r="S506" s="29"/>
      <c r="T506" s="31">
        <f>IF(base!R506&lt;&gt;"",VLOOKUP(R506,de_para!$A$1:$B$31,2,0)*base!S506,0)</f>
        <v>0</v>
      </c>
      <c r="U506" s="30">
        <f t="shared" si="9"/>
        <v>0</v>
      </c>
    </row>
    <row r="507" spans="1:21" x14ac:dyDescent="0.35">
      <c r="A507" s="29"/>
      <c r="B507" s="29"/>
      <c r="C507" s="29"/>
      <c r="D507" s="29"/>
      <c r="E507" s="29"/>
      <c r="F507" s="29"/>
      <c r="G507" s="29"/>
      <c r="H507" s="31">
        <f>IF(base!F507&lt;&gt;"",VLOOKUP(F507,de_para!$A$1:$B$31,2,0)*base!G507,0)</f>
        <v>0</v>
      </c>
      <c r="I507" s="38"/>
      <c r="J507" s="29"/>
      <c r="K507" s="31">
        <f>IF(base!I507&lt;&gt;"",VLOOKUP(I507,de_para!$A$1:$B$31,2,0)*base!J507,0)</f>
        <v>0</v>
      </c>
      <c r="L507" s="38"/>
      <c r="M507" s="29"/>
      <c r="N507" s="31">
        <f>IF(base!L507&lt;&gt;"",VLOOKUP(L507,de_para!$A$1:$B$31,2,0)*base!M507,0)</f>
        <v>0</v>
      </c>
      <c r="O507" s="38"/>
      <c r="P507" s="29"/>
      <c r="Q507" s="31">
        <f>IF(base!O507&lt;&gt;"",VLOOKUP(O507,de_para!$A$1:$B$31,2,0)*base!P507,0)</f>
        <v>0</v>
      </c>
      <c r="R507" s="38"/>
      <c r="S507" s="29"/>
      <c r="T507" s="31">
        <f>IF(base!R507&lt;&gt;"",VLOOKUP(R507,de_para!$A$1:$B$31,2,0)*base!S507,0)</f>
        <v>0</v>
      </c>
      <c r="U507" s="30">
        <f t="shared" si="9"/>
        <v>0</v>
      </c>
    </row>
    <row r="508" spans="1:21" x14ac:dyDescent="0.35">
      <c r="A508" s="29"/>
      <c r="B508" s="29"/>
      <c r="C508" s="29"/>
      <c r="D508" s="29"/>
      <c r="E508" s="29"/>
      <c r="F508" s="29"/>
      <c r="G508" s="29"/>
      <c r="H508" s="31">
        <f>IF(base!F508&lt;&gt;"",VLOOKUP(F508,de_para!$A$1:$B$31,2,0)*base!G508,0)</f>
        <v>0</v>
      </c>
      <c r="I508" s="38"/>
      <c r="J508" s="29"/>
      <c r="K508" s="31">
        <f>IF(base!I508&lt;&gt;"",VLOOKUP(I508,de_para!$A$1:$B$31,2,0)*base!J508,0)</f>
        <v>0</v>
      </c>
      <c r="L508" s="38"/>
      <c r="M508" s="29"/>
      <c r="N508" s="31">
        <f>IF(base!L508&lt;&gt;"",VLOOKUP(L508,de_para!$A$1:$B$31,2,0)*base!M508,0)</f>
        <v>0</v>
      </c>
      <c r="O508" s="38"/>
      <c r="P508" s="29"/>
      <c r="Q508" s="31">
        <f>IF(base!O508&lt;&gt;"",VLOOKUP(O508,de_para!$A$1:$B$31,2,0)*base!P508,0)</f>
        <v>0</v>
      </c>
      <c r="R508" s="38"/>
      <c r="S508" s="29"/>
      <c r="T508" s="31">
        <f>IF(base!R508&lt;&gt;"",VLOOKUP(R508,de_para!$A$1:$B$31,2,0)*base!S508,0)</f>
        <v>0</v>
      </c>
      <c r="U508" s="30">
        <f t="shared" si="9"/>
        <v>0</v>
      </c>
    </row>
    <row r="509" spans="1:21" x14ac:dyDescent="0.35">
      <c r="A509" s="29"/>
      <c r="B509" s="29"/>
      <c r="C509" s="29"/>
      <c r="D509" s="29"/>
      <c r="E509" s="29"/>
      <c r="F509" s="29"/>
      <c r="G509" s="29"/>
      <c r="H509" s="31">
        <f>IF(base!F509&lt;&gt;"",VLOOKUP(F509,de_para!$A$1:$B$31,2,0)*base!G509,0)</f>
        <v>0</v>
      </c>
      <c r="I509" s="38"/>
      <c r="J509" s="29"/>
      <c r="K509" s="31">
        <f>IF(base!I509&lt;&gt;"",VLOOKUP(I509,de_para!$A$1:$B$31,2,0)*base!J509,0)</f>
        <v>0</v>
      </c>
      <c r="L509" s="38"/>
      <c r="M509" s="29"/>
      <c r="N509" s="31">
        <f>IF(base!L509&lt;&gt;"",VLOOKUP(L509,de_para!$A$1:$B$31,2,0)*base!M509,0)</f>
        <v>0</v>
      </c>
      <c r="O509" s="38"/>
      <c r="P509" s="29"/>
      <c r="Q509" s="31">
        <f>IF(base!O509&lt;&gt;"",VLOOKUP(O509,de_para!$A$1:$B$31,2,0)*base!P509,0)</f>
        <v>0</v>
      </c>
      <c r="R509" s="38"/>
      <c r="S509" s="29"/>
      <c r="T509" s="31">
        <f>IF(base!R509&lt;&gt;"",VLOOKUP(R509,de_para!$A$1:$B$31,2,0)*base!S509,0)</f>
        <v>0</v>
      </c>
      <c r="U509" s="30">
        <f t="shared" si="9"/>
        <v>0</v>
      </c>
    </row>
    <row r="510" spans="1:21" x14ac:dyDescent="0.35">
      <c r="A510" s="29"/>
      <c r="B510" s="29"/>
      <c r="C510" s="29"/>
      <c r="D510" s="29"/>
      <c r="E510" s="29"/>
      <c r="F510" s="29"/>
      <c r="G510" s="29"/>
      <c r="H510" s="31">
        <f>IF(base!F510&lt;&gt;"",VLOOKUP(F510,de_para!$A$1:$B$31,2,0)*base!G510,0)</f>
        <v>0</v>
      </c>
      <c r="I510" s="38"/>
      <c r="J510" s="29"/>
      <c r="K510" s="31">
        <f>IF(base!I510&lt;&gt;"",VLOOKUP(I510,de_para!$A$1:$B$31,2,0)*base!J510,0)</f>
        <v>0</v>
      </c>
      <c r="L510" s="38"/>
      <c r="M510" s="29"/>
      <c r="N510" s="31">
        <f>IF(base!L510&lt;&gt;"",VLOOKUP(L510,de_para!$A$1:$B$31,2,0)*base!M510,0)</f>
        <v>0</v>
      </c>
      <c r="O510" s="38"/>
      <c r="P510" s="29"/>
      <c r="Q510" s="31">
        <f>IF(base!O510&lt;&gt;"",VLOOKUP(O510,de_para!$A$1:$B$31,2,0)*base!P510,0)</f>
        <v>0</v>
      </c>
      <c r="R510" s="38"/>
      <c r="S510" s="29"/>
      <c r="T510" s="31">
        <f>IF(base!R510&lt;&gt;"",VLOOKUP(R510,de_para!$A$1:$B$31,2,0)*base!S510,0)</f>
        <v>0</v>
      </c>
      <c r="U510" s="30">
        <f t="shared" si="9"/>
        <v>0</v>
      </c>
    </row>
    <row r="511" spans="1:21" x14ac:dyDescent="0.35">
      <c r="A511" s="29"/>
      <c r="B511" s="29"/>
      <c r="C511" s="29"/>
      <c r="D511" s="29"/>
      <c r="E511" s="29"/>
      <c r="F511" s="29"/>
      <c r="G511" s="29"/>
      <c r="H511" s="31">
        <f>IF(base!F511&lt;&gt;"",VLOOKUP(F511,de_para!$A$1:$B$31,2,0)*base!G511,0)</f>
        <v>0</v>
      </c>
      <c r="I511" s="38"/>
      <c r="J511" s="29"/>
      <c r="K511" s="31">
        <f>IF(base!I511&lt;&gt;"",VLOOKUP(I511,de_para!$A$1:$B$31,2,0)*base!J511,0)</f>
        <v>0</v>
      </c>
      <c r="L511" s="38"/>
      <c r="M511" s="29"/>
      <c r="N511" s="31">
        <f>IF(base!L511&lt;&gt;"",VLOOKUP(L511,de_para!$A$1:$B$31,2,0)*base!M511,0)</f>
        <v>0</v>
      </c>
      <c r="O511" s="38"/>
      <c r="P511" s="29"/>
      <c r="Q511" s="31">
        <f>IF(base!O511&lt;&gt;"",VLOOKUP(O511,de_para!$A$1:$B$31,2,0)*base!P511,0)</f>
        <v>0</v>
      </c>
      <c r="R511" s="38"/>
      <c r="S511" s="29"/>
      <c r="T511" s="31">
        <f>IF(base!R511&lt;&gt;"",VLOOKUP(R511,de_para!$A$1:$B$31,2,0)*base!S511,0)</f>
        <v>0</v>
      </c>
      <c r="U511" s="30">
        <f t="shared" si="9"/>
        <v>0</v>
      </c>
    </row>
    <row r="512" spans="1:21" x14ac:dyDescent="0.35">
      <c r="A512" s="29"/>
      <c r="B512" s="29"/>
      <c r="C512" s="29"/>
      <c r="D512" s="29"/>
      <c r="E512" s="29"/>
      <c r="F512" s="29"/>
      <c r="G512" s="29"/>
      <c r="H512" s="31">
        <f>IF(base!F512&lt;&gt;"",VLOOKUP(F512,de_para!$A$1:$B$31,2,0)*base!G512,0)</f>
        <v>0</v>
      </c>
      <c r="I512" s="38"/>
      <c r="J512" s="29"/>
      <c r="K512" s="31">
        <f>IF(base!I512&lt;&gt;"",VLOOKUP(I512,de_para!$A$1:$B$31,2,0)*base!J512,0)</f>
        <v>0</v>
      </c>
      <c r="L512" s="38"/>
      <c r="M512" s="29"/>
      <c r="N512" s="31">
        <f>IF(base!L512&lt;&gt;"",VLOOKUP(L512,de_para!$A$1:$B$31,2,0)*base!M512,0)</f>
        <v>0</v>
      </c>
      <c r="O512" s="38"/>
      <c r="P512" s="29"/>
      <c r="Q512" s="31">
        <f>IF(base!O512&lt;&gt;"",VLOOKUP(O512,de_para!$A$1:$B$31,2,0)*base!P512,0)</f>
        <v>0</v>
      </c>
      <c r="R512" s="38"/>
      <c r="S512" s="29"/>
      <c r="T512" s="31">
        <f>IF(base!R512&lt;&gt;"",VLOOKUP(R512,de_para!$A$1:$B$31,2,0)*base!S512,0)</f>
        <v>0</v>
      </c>
      <c r="U512" s="30">
        <f t="shared" si="9"/>
        <v>0</v>
      </c>
    </row>
    <row r="513" spans="1:21" x14ac:dyDescent="0.35">
      <c r="A513" s="29"/>
      <c r="B513" s="29"/>
      <c r="C513" s="29"/>
      <c r="D513" s="29"/>
      <c r="E513" s="29"/>
      <c r="F513" s="29"/>
      <c r="G513" s="29"/>
      <c r="H513" s="31">
        <f>IF(base!F513&lt;&gt;"",VLOOKUP(F513,de_para!$A$1:$B$31,2,0)*base!G513,0)</f>
        <v>0</v>
      </c>
      <c r="I513" s="38"/>
      <c r="J513" s="29"/>
      <c r="K513" s="31">
        <f>IF(base!I513&lt;&gt;"",VLOOKUP(I513,de_para!$A$1:$B$31,2,0)*base!J513,0)</f>
        <v>0</v>
      </c>
      <c r="L513" s="38"/>
      <c r="M513" s="29"/>
      <c r="N513" s="31">
        <f>IF(base!L513&lt;&gt;"",VLOOKUP(L513,de_para!$A$1:$B$31,2,0)*base!M513,0)</f>
        <v>0</v>
      </c>
      <c r="O513" s="38"/>
      <c r="P513" s="29"/>
      <c r="Q513" s="31">
        <f>IF(base!O513&lt;&gt;"",VLOOKUP(O513,de_para!$A$1:$B$31,2,0)*base!P513,0)</f>
        <v>0</v>
      </c>
      <c r="R513" s="38"/>
      <c r="S513" s="29"/>
      <c r="T513" s="31">
        <f>IF(base!R513&lt;&gt;"",VLOOKUP(R513,de_para!$A$1:$B$31,2,0)*base!S513,0)</f>
        <v>0</v>
      </c>
      <c r="U513" s="30">
        <f t="shared" si="9"/>
        <v>0</v>
      </c>
    </row>
    <row r="514" spans="1:21" x14ac:dyDescent="0.35">
      <c r="A514" s="29"/>
      <c r="B514" s="29"/>
      <c r="C514" s="29"/>
      <c r="D514" s="29"/>
      <c r="E514" s="29"/>
      <c r="F514" s="29"/>
      <c r="G514" s="29"/>
      <c r="H514" s="31">
        <f>IF(base!F514&lt;&gt;"",VLOOKUP(F514,de_para!$A$1:$B$31,2,0)*base!G514,0)</f>
        <v>0</v>
      </c>
      <c r="I514" s="38"/>
      <c r="J514" s="29"/>
      <c r="K514" s="31">
        <f>IF(base!I514&lt;&gt;"",VLOOKUP(I514,de_para!$A$1:$B$31,2,0)*base!J514,0)</f>
        <v>0</v>
      </c>
      <c r="L514" s="38"/>
      <c r="M514" s="29"/>
      <c r="N514" s="31">
        <f>IF(base!L514&lt;&gt;"",VLOOKUP(L514,de_para!$A$1:$B$31,2,0)*base!M514,0)</f>
        <v>0</v>
      </c>
      <c r="O514" s="38"/>
      <c r="P514" s="29"/>
      <c r="Q514" s="31">
        <f>IF(base!O514&lt;&gt;"",VLOOKUP(O514,de_para!$A$1:$B$31,2,0)*base!P514,0)</f>
        <v>0</v>
      </c>
      <c r="R514" s="38"/>
      <c r="S514" s="29"/>
      <c r="T514" s="31">
        <f>IF(base!R514&lt;&gt;"",VLOOKUP(R514,de_para!$A$1:$B$31,2,0)*base!S514,0)</f>
        <v>0</v>
      </c>
      <c r="U514" s="30">
        <f t="shared" si="9"/>
        <v>0</v>
      </c>
    </row>
    <row r="515" spans="1:21" x14ac:dyDescent="0.35">
      <c r="A515" s="29"/>
      <c r="B515" s="29"/>
      <c r="C515" s="29"/>
      <c r="D515" s="29"/>
      <c r="E515" s="29"/>
      <c r="F515" s="29"/>
      <c r="G515" s="29"/>
      <c r="H515" s="31">
        <f>IF(base!F515&lt;&gt;"",VLOOKUP(F515,de_para!$A$1:$B$31,2,0)*base!G515,0)</f>
        <v>0</v>
      </c>
      <c r="I515" s="38"/>
      <c r="J515" s="29"/>
      <c r="K515" s="31">
        <f>IF(base!I515&lt;&gt;"",VLOOKUP(I515,de_para!$A$1:$B$31,2,0)*base!J515,0)</f>
        <v>0</v>
      </c>
      <c r="L515" s="38"/>
      <c r="M515" s="29"/>
      <c r="N515" s="31">
        <f>IF(base!L515&lt;&gt;"",VLOOKUP(L515,de_para!$A$1:$B$31,2,0)*base!M515,0)</f>
        <v>0</v>
      </c>
      <c r="O515" s="38"/>
      <c r="P515" s="29"/>
      <c r="Q515" s="31">
        <f>IF(base!O515&lt;&gt;"",VLOOKUP(O515,de_para!$A$1:$B$31,2,0)*base!P515,0)</f>
        <v>0</v>
      </c>
      <c r="R515" s="38"/>
      <c r="S515" s="29"/>
      <c r="T515" s="31">
        <f>IF(base!R515&lt;&gt;"",VLOOKUP(R515,de_para!$A$1:$B$31,2,0)*base!S515,0)</f>
        <v>0</v>
      </c>
      <c r="U515" s="30">
        <f t="shared" si="9"/>
        <v>0</v>
      </c>
    </row>
    <row r="516" spans="1:21" x14ac:dyDescent="0.35">
      <c r="A516" s="29"/>
      <c r="B516" s="29"/>
      <c r="C516" s="29"/>
      <c r="D516" s="29"/>
      <c r="E516" s="29"/>
      <c r="F516" s="29"/>
      <c r="G516" s="29"/>
      <c r="H516" s="31">
        <f>IF(base!F516&lt;&gt;"",VLOOKUP(F516,de_para!$A$1:$B$31,2,0)*base!G516,0)</f>
        <v>0</v>
      </c>
      <c r="I516" s="38"/>
      <c r="J516" s="29"/>
      <c r="K516" s="31">
        <f>IF(base!I516&lt;&gt;"",VLOOKUP(I516,de_para!$A$1:$B$31,2,0)*base!J516,0)</f>
        <v>0</v>
      </c>
      <c r="L516" s="38"/>
      <c r="M516" s="29"/>
      <c r="N516" s="31">
        <f>IF(base!L516&lt;&gt;"",VLOOKUP(L516,de_para!$A$1:$B$31,2,0)*base!M516,0)</f>
        <v>0</v>
      </c>
      <c r="O516" s="38"/>
      <c r="P516" s="29"/>
      <c r="Q516" s="31">
        <f>IF(base!O516&lt;&gt;"",VLOOKUP(O516,de_para!$A$1:$B$31,2,0)*base!P516,0)</f>
        <v>0</v>
      </c>
      <c r="R516" s="38"/>
      <c r="S516" s="29"/>
      <c r="T516" s="31">
        <f>IF(base!R516&lt;&gt;"",VLOOKUP(R516,de_para!$A$1:$B$31,2,0)*base!S516,0)</f>
        <v>0</v>
      </c>
      <c r="U516" s="30">
        <f t="shared" si="9"/>
        <v>0</v>
      </c>
    </row>
    <row r="517" spans="1:21" x14ac:dyDescent="0.35">
      <c r="A517" s="29"/>
      <c r="B517" s="29"/>
      <c r="C517" s="29"/>
      <c r="D517" s="29"/>
      <c r="E517" s="29"/>
      <c r="F517" s="29"/>
      <c r="G517" s="29"/>
      <c r="H517" s="31">
        <f>IF(base!F517&lt;&gt;"",VLOOKUP(F517,de_para!$A$1:$B$31,2,0)*base!G517,0)</f>
        <v>0</v>
      </c>
      <c r="I517" s="38"/>
      <c r="J517" s="29"/>
      <c r="K517" s="31">
        <f>IF(base!I517&lt;&gt;"",VLOOKUP(I517,de_para!$A$1:$B$31,2,0)*base!J517,0)</f>
        <v>0</v>
      </c>
      <c r="L517" s="38"/>
      <c r="M517" s="29"/>
      <c r="N517" s="31">
        <f>IF(base!L517&lt;&gt;"",VLOOKUP(L517,de_para!$A$1:$B$31,2,0)*base!M517,0)</f>
        <v>0</v>
      </c>
      <c r="O517" s="38"/>
      <c r="P517" s="29"/>
      <c r="Q517" s="31">
        <f>IF(base!O517&lt;&gt;"",VLOOKUP(O517,de_para!$A$1:$B$31,2,0)*base!P517,0)</f>
        <v>0</v>
      </c>
      <c r="R517" s="38"/>
      <c r="S517" s="29"/>
      <c r="T517" s="31">
        <f>IF(base!R517&lt;&gt;"",VLOOKUP(R517,de_para!$A$1:$B$31,2,0)*base!S517,0)</f>
        <v>0</v>
      </c>
      <c r="U517" s="30">
        <f t="shared" si="9"/>
        <v>0</v>
      </c>
    </row>
    <row r="518" spans="1:21" x14ac:dyDescent="0.35">
      <c r="A518" s="29"/>
      <c r="B518" s="29"/>
      <c r="C518" s="29"/>
      <c r="D518" s="29"/>
      <c r="E518" s="29"/>
      <c r="F518" s="29"/>
      <c r="G518" s="29"/>
      <c r="H518" s="31">
        <f>IF(base!F518&lt;&gt;"",VLOOKUP(F518,de_para!$A$1:$B$31,2,0)*base!G518,0)</f>
        <v>0</v>
      </c>
      <c r="I518" s="38"/>
      <c r="J518" s="29"/>
      <c r="K518" s="31">
        <f>IF(base!I518&lt;&gt;"",VLOOKUP(I518,de_para!$A$1:$B$31,2,0)*base!J518,0)</f>
        <v>0</v>
      </c>
      <c r="L518" s="38"/>
      <c r="M518" s="29"/>
      <c r="N518" s="31">
        <f>IF(base!L518&lt;&gt;"",VLOOKUP(L518,de_para!$A$1:$B$31,2,0)*base!M518,0)</f>
        <v>0</v>
      </c>
      <c r="O518" s="38"/>
      <c r="P518" s="29"/>
      <c r="Q518" s="31">
        <f>IF(base!O518&lt;&gt;"",VLOOKUP(O518,de_para!$A$1:$B$31,2,0)*base!P518,0)</f>
        <v>0</v>
      </c>
      <c r="R518" s="38"/>
      <c r="S518" s="29"/>
      <c r="T518" s="31">
        <f>IF(base!R518&lt;&gt;"",VLOOKUP(R518,de_para!$A$1:$B$31,2,0)*base!S518,0)</f>
        <v>0</v>
      </c>
      <c r="U518" s="30">
        <f t="shared" si="9"/>
        <v>0</v>
      </c>
    </row>
    <row r="519" spans="1:21" x14ac:dyDescent="0.35">
      <c r="A519" s="29"/>
      <c r="B519" s="29"/>
      <c r="C519" s="29"/>
      <c r="D519" s="29"/>
      <c r="E519" s="29"/>
      <c r="F519" s="29"/>
      <c r="G519" s="29"/>
      <c r="H519" s="31">
        <f>IF(base!F519&lt;&gt;"",VLOOKUP(F519,de_para!$A$1:$B$31,2,0)*base!G519,0)</f>
        <v>0</v>
      </c>
      <c r="I519" s="38"/>
      <c r="J519" s="29"/>
      <c r="K519" s="31">
        <f>IF(base!I519&lt;&gt;"",VLOOKUP(I519,de_para!$A$1:$B$31,2,0)*base!J519,0)</f>
        <v>0</v>
      </c>
      <c r="L519" s="38"/>
      <c r="M519" s="29"/>
      <c r="N519" s="31">
        <f>IF(base!L519&lt;&gt;"",VLOOKUP(L519,de_para!$A$1:$B$31,2,0)*base!M519,0)</f>
        <v>0</v>
      </c>
      <c r="O519" s="38"/>
      <c r="P519" s="29"/>
      <c r="Q519" s="31">
        <f>IF(base!O519&lt;&gt;"",VLOOKUP(O519,de_para!$A$1:$B$31,2,0)*base!P519,0)</f>
        <v>0</v>
      </c>
      <c r="R519" s="38"/>
      <c r="S519" s="29"/>
      <c r="T519" s="31">
        <f>IF(base!R519&lt;&gt;"",VLOOKUP(R519,de_para!$A$1:$B$31,2,0)*base!S519,0)</f>
        <v>0</v>
      </c>
      <c r="U519" s="30">
        <f t="shared" si="9"/>
        <v>0</v>
      </c>
    </row>
    <row r="520" spans="1:21" x14ac:dyDescent="0.35">
      <c r="A520" s="29"/>
      <c r="B520" s="29"/>
      <c r="C520" s="29"/>
      <c r="D520" s="29"/>
      <c r="E520" s="29"/>
      <c r="F520" s="29"/>
      <c r="G520" s="29"/>
      <c r="H520" s="31">
        <f>IF(base!F520&lt;&gt;"",VLOOKUP(F520,de_para!$A$1:$B$31,2,0)*base!G520,0)</f>
        <v>0</v>
      </c>
      <c r="I520" s="38"/>
      <c r="J520" s="29"/>
      <c r="K520" s="31">
        <f>IF(base!I520&lt;&gt;"",VLOOKUP(I520,de_para!$A$1:$B$31,2,0)*base!J520,0)</f>
        <v>0</v>
      </c>
      <c r="L520" s="38"/>
      <c r="M520" s="29"/>
      <c r="N520" s="31">
        <f>IF(base!L520&lt;&gt;"",VLOOKUP(L520,de_para!$A$1:$B$31,2,0)*base!M520,0)</f>
        <v>0</v>
      </c>
      <c r="O520" s="38"/>
      <c r="P520" s="29"/>
      <c r="Q520" s="31">
        <f>IF(base!O520&lt;&gt;"",VLOOKUP(O520,de_para!$A$1:$B$31,2,0)*base!P520,0)</f>
        <v>0</v>
      </c>
      <c r="R520" s="38"/>
      <c r="S520" s="29"/>
      <c r="T520" s="31">
        <f>IF(base!R520&lt;&gt;"",VLOOKUP(R520,de_para!$A$1:$B$31,2,0)*base!S520,0)</f>
        <v>0</v>
      </c>
      <c r="U520" s="30">
        <f t="shared" si="9"/>
        <v>0</v>
      </c>
    </row>
    <row r="521" spans="1:21" x14ac:dyDescent="0.35">
      <c r="A521" s="29"/>
      <c r="B521" s="29"/>
      <c r="C521" s="29"/>
      <c r="D521" s="29"/>
      <c r="E521" s="29"/>
      <c r="F521" s="29"/>
      <c r="G521" s="29"/>
      <c r="H521" s="31">
        <f>IF(base!F521&lt;&gt;"",VLOOKUP(F521,de_para!$A$1:$B$31,2,0)*base!G521,0)</f>
        <v>0</v>
      </c>
      <c r="I521" s="38"/>
      <c r="J521" s="29"/>
      <c r="K521" s="31">
        <f>IF(base!I521&lt;&gt;"",VLOOKUP(I521,de_para!$A$1:$B$31,2,0)*base!J521,0)</f>
        <v>0</v>
      </c>
      <c r="L521" s="38"/>
      <c r="M521" s="29"/>
      <c r="N521" s="31">
        <f>IF(base!L521&lt;&gt;"",VLOOKUP(L521,de_para!$A$1:$B$31,2,0)*base!M521,0)</f>
        <v>0</v>
      </c>
      <c r="O521" s="38"/>
      <c r="P521" s="29"/>
      <c r="Q521" s="31">
        <f>IF(base!O521&lt;&gt;"",VLOOKUP(O521,de_para!$A$1:$B$31,2,0)*base!P521,0)</f>
        <v>0</v>
      </c>
      <c r="R521" s="38"/>
      <c r="S521" s="29"/>
      <c r="T521" s="31">
        <f>IF(base!R521&lt;&gt;"",VLOOKUP(R521,de_para!$A$1:$B$31,2,0)*base!S521,0)</f>
        <v>0</v>
      </c>
      <c r="U521" s="30">
        <f t="shared" si="9"/>
        <v>0</v>
      </c>
    </row>
    <row r="522" spans="1:21" x14ac:dyDescent="0.35">
      <c r="A522" s="29"/>
      <c r="B522" s="29"/>
      <c r="C522" s="29"/>
      <c r="D522" s="29"/>
      <c r="E522" s="29"/>
      <c r="F522" s="29"/>
      <c r="G522" s="29"/>
      <c r="H522" s="31">
        <f>IF(base!F522&lt;&gt;"",VLOOKUP(F522,de_para!$A$1:$B$31,2,0)*base!G522,0)</f>
        <v>0</v>
      </c>
      <c r="I522" s="38"/>
      <c r="J522" s="29"/>
      <c r="K522" s="31">
        <f>IF(base!I522&lt;&gt;"",VLOOKUP(I522,de_para!$A$1:$B$31,2,0)*base!J522,0)</f>
        <v>0</v>
      </c>
      <c r="L522" s="38"/>
      <c r="M522" s="29"/>
      <c r="N522" s="31">
        <f>IF(base!L522&lt;&gt;"",VLOOKUP(L522,de_para!$A$1:$B$31,2,0)*base!M522,0)</f>
        <v>0</v>
      </c>
      <c r="O522" s="38"/>
      <c r="P522" s="29"/>
      <c r="Q522" s="31">
        <f>IF(base!O522&lt;&gt;"",VLOOKUP(O522,de_para!$A$1:$B$31,2,0)*base!P522,0)</f>
        <v>0</v>
      </c>
      <c r="R522" s="38"/>
      <c r="S522" s="29"/>
      <c r="T522" s="31">
        <f>IF(base!R522&lt;&gt;"",VLOOKUP(R522,de_para!$A$1:$B$31,2,0)*base!S522,0)</f>
        <v>0</v>
      </c>
      <c r="U522" s="30">
        <f t="shared" si="9"/>
        <v>0</v>
      </c>
    </row>
    <row r="523" spans="1:21" x14ac:dyDescent="0.35">
      <c r="A523" s="29"/>
      <c r="B523" s="29"/>
      <c r="C523" s="29"/>
      <c r="D523" s="29"/>
      <c r="E523" s="29"/>
      <c r="F523" s="29"/>
      <c r="G523" s="29"/>
      <c r="H523" s="31">
        <f>IF(base!F523&lt;&gt;"",VLOOKUP(F523,de_para!$A$1:$B$31,2,0)*base!G523,0)</f>
        <v>0</v>
      </c>
      <c r="I523" s="38"/>
      <c r="J523" s="29"/>
      <c r="K523" s="31">
        <f>IF(base!I523&lt;&gt;"",VLOOKUP(I523,de_para!$A$1:$B$31,2,0)*base!J523,0)</f>
        <v>0</v>
      </c>
      <c r="L523" s="38"/>
      <c r="M523" s="29"/>
      <c r="N523" s="31">
        <f>IF(base!L523&lt;&gt;"",VLOOKUP(L523,de_para!$A$1:$B$31,2,0)*base!M523,0)</f>
        <v>0</v>
      </c>
      <c r="O523" s="38"/>
      <c r="P523" s="29"/>
      <c r="Q523" s="31">
        <f>IF(base!O523&lt;&gt;"",VLOOKUP(O523,de_para!$A$1:$B$31,2,0)*base!P523,0)</f>
        <v>0</v>
      </c>
      <c r="R523" s="38"/>
      <c r="S523" s="29"/>
      <c r="T523" s="31">
        <f>IF(base!R523&lt;&gt;"",VLOOKUP(R523,de_para!$A$1:$B$31,2,0)*base!S523,0)</f>
        <v>0</v>
      </c>
      <c r="U523" s="30">
        <f t="shared" si="9"/>
        <v>0</v>
      </c>
    </row>
    <row r="524" spans="1:21" x14ac:dyDescent="0.35">
      <c r="A524" s="29"/>
      <c r="B524" s="29"/>
      <c r="C524" s="29"/>
      <c r="D524" s="29"/>
      <c r="E524" s="29"/>
      <c r="F524" s="29"/>
      <c r="G524" s="29"/>
      <c r="H524" s="31">
        <f>IF(base!F524&lt;&gt;"",VLOOKUP(F524,de_para!$A$1:$B$31,2,0)*base!G524,0)</f>
        <v>0</v>
      </c>
      <c r="I524" s="38"/>
      <c r="J524" s="29"/>
      <c r="K524" s="31">
        <f>IF(base!I524&lt;&gt;"",VLOOKUP(I524,de_para!$A$1:$B$31,2,0)*base!J524,0)</f>
        <v>0</v>
      </c>
      <c r="L524" s="38"/>
      <c r="M524" s="29"/>
      <c r="N524" s="31">
        <f>IF(base!L524&lt;&gt;"",VLOOKUP(L524,de_para!$A$1:$B$31,2,0)*base!M524,0)</f>
        <v>0</v>
      </c>
      <c r="O524" s="38"/>
      <c r="P524" s="29"/>
      <c r="Q524" s="31">
        <f>IF(base!O524&lt;&gt;"",VLOOKUP(O524,de_para!$A$1:$B$31,2,0)*base!P524,0)</f>
        <v>0</v>
      </c>
      <c r="R524" s="38"/>
      <c r="S524" s="29"/>
      <c r="T524" s="31">
        <f>IF(base!R524&lt;&gt;"",VLOOKUP(R524,de_para!$A$1:$B$31,2,0)*base!S524,0)</f>
        <v>0</v>
      </c>
      <c r="U524" s="30">
        <f t="shared" si="9"/>
        <v>0</v>
      </c>
    </row>
    <row r="525" spans="1:21" x14ac:dyDescent="0.35">
      <c r="A525" s="29"/>
      <c r="B525" s="29"/>
      <c r="C525" s="29"/>
      <c r="D525" s="29"/>
      <c r="E525" s="29"/>
      <c r="F525" s="29"/>
      <c r="G525" s="29"/>
      <c r="H525" s="31">
        <f>IF(base!F525&lt;&gt;"",VLOOKUP(F525,de_para!$A$1:$B$31,2,0)*base!G525,0)</f>
        <v>0</v>
      </c>
      <c r="I525" s="38"/>
      <c r="J525" s="29"/>
      <c r="K525" s="31">
        <f>IF(base!I525&lt;&gt;"",VLOOKUP(I525,de_para!$A$1:$B$31,2,0)*base!J525,0)</f>
        <v>0</v>
      </c>
      <c r="L525" s="38"/>
      <c r="M525" s="29"/>
      <c r="N525" s="31">
        <f>IF(base!L525&lt;&gt;"",VLOOKUP(L525,de_para!$A$1:$B$31,2,0)*base!M525,0)</f>
        <v>0</v>
      </c>
      <c r="O525" s="38"/>
      <c r="P525" s="29"/>
      <c r="Q525" s="31">
        <f>IF(base!O525&lt;&gt;"",VLOOKUP(O525,de_para!$A$1:$B$31,2,0)*base!P525,0)</f>
        <v>0</v>
      </c>
      <c r="R525" s="38"/>
      <c r="S525" s="29"/>
      <c r="T525" s="31">
        <f>IF(base!R525&lt;&gt;"",VLOOKUP(R525,de_para!$A$1:$B$31,2,0)*base!S525,0)</f>
        <v>0</v>
      </c>
      <c r="U525" s="30">
        <f t="shared" si="9"/>
        <v>0</v>
      </c>
    </row>
    <row r="526" spans="1:21" x14ac:dyDescent="0.35">
      <c r="A526" s="29"/>
      <c r="B526" s="29"/>
      <c r="C526" s="29"/>
      <c r="D526" s="29"/>
      <c r="E526" s="29"/>
      <c r="F526" s="29"/>
      <c r="G526" s="29"/>
      <c r="H526" s="31">
        <f>IF(base!F526&lt;&gt;"",VLOOKUP(F526,de_para!$A$1:$B$31,2,0)*base!G526,0)</f>
        <v>0</v>
      </c>
      <c r="I526" s="38"/>
      <c r="J526" s="29"/>
      <c r="K526" s="31">
        <f>IF(base!I526&lt;&gt;"",VLOOKUP(I526,de_para!$A$1:$B$31,2,0)*base!J526,0)</f>
        <v>0</v>
      </c>
      <c r="L526" s="38"/>
      <c r="M526" s="29"/>
      <c r="N526" s="31">
        <f>IF(base!L526&lt;&gt;"",VLOOKUP(L526,de_para!$A$1:$B$31,2,0)*base!M526,0)</f>
        <v>0</v>
      </c>
      <c r="O526" s="38"/>
      <c r="P526" s="29"/>
      <c r="Q526" s="31">
        <f>IF(base!O526&lt;&gt;"",VLOOKUP(O526,de_para!$A$1:$B$31,2,0)*base!P526,0)</f>
        <v>0</v>
      </c>
      <c r="R526" s="38"/>
      <c r="S526" s="29"/>
      <c r="T526" s="31">
        <f>IF(base!R526&lt;&gt;"",VLOOKUP(R526,de_para!$A$1:$B$31,2,0)*base!S526,0)</f>
        <v>0</v>
      </c>
      <c r="U526" s="30">
        <f t="shared" si="9"/>
        <v>0</v>
      </c>
    </row>
    <row r="527" spans="1:21" x14ac:dyDescent="0.35">
      <c r="A527" s="29"/>
      <c r="B527" s="29"/>
      <c r="C527" s="29"/>
      <c r="D527" s="29"/>
      <c r="E527" s="29"/>
      <c r="F527" s="29"/>
      <c r="G527" s="29"/>
      <c r="H527" s="31">
        <f>IF(base!F527&lt;&gt;"",VLOOKUP(F527,de_para!$A$1:$B$31,2,0)*base!G527,0)</f>
        <v>0</v>
      </c>
      <c r="I527" s="38"/>
      <c r="J527" s="29"/>
      <c r="K527" s="31">
        <f>IF(base!I527&lt;&gt;"",VLOOKUP(I527,de_para!$A$1:$B$31,2,0)*base!J527,0)</f>
        <v>0</v>
      </c>
      <c r="L527" s="38"/>
      <c r="M527" s="29"/>
      <c r="N527" s="31">
        <f>IF(base!L527&lt;&gt;"",VLOOKUP(L527,de_para!$A$1:$B$31,2,0)*base!M527,0)</f>
        <v>0</v>
      </c>
      <c r="O527" s="38"/>
      <c r="P527" s="29"/>
      <c r="Q527" s="31">
        <f>IF(base!O527&lt;&gt;"",VLOOKUP(O527,de_para!$A$1:$B$31,2,0)*base!P527,0)</f>
        <v>0</v>
      </c>
      <c r="R527" s="38"/>
      <c r="S527" s="29"/>
      <c r="T527" s="31">
        <f>IF(base!R527&lt;&gt;"",VLOOKUP(R527,de_para!$A$1:$B$31,2,0)*base!S527,0)</f>
        <v>0</v>
      </c>
      <c r="U527" s="30">
        <f t="shared" si="9"/>
        <v>0</v>
      </c>
    </row>
    <row r="528" spans="1:21" x14ac:dyDescent="0.35">
      <c r="A528" s="29"/>
      <c r="B528" s="29"/>
      <c r="C528" s="29"/>
      <c r="D528" s="29"/>
      <c r="E528" s="29"/>
      <c r="F528" s="29"/>
      <c r="G528" s="29"/>
      <c r="H528" s="31">
        <f>IF(base!F528&lt;&gt;"",VLOOKUP(F528,de_para!$A$1:$B$31,2,0)*base!G528,0)</f>
        <v>0</v>
      </c>
      <c r="I528" s="38"/>
      <c r="J528" s="29"/>
      <c r="K528" s="31">
        <f>IF(base!I528&lt;&gt;"",VLOOKUP(I528,de_para!$A$1:$B$31,2,0)*base!J528,0)</f>
        <v>0</v>
      </c>
      <c r="L528" s="38"/>
      <c r="M528" s="29"/>
      <c r="N528" s="31">
        <f>IF(base!L528&lt;&gt;"",VLOOKUP(L528,de_para!$A$1:$B$31,2,0)*base!M528,0)</f>
        <v>0</v>
      </c>
      <c r="O528" s="38"/>
      <c r="P528" s="29"/>
      <c r="Q528" s="31">
        <f>IF(base!O528&lt;&gt;"",VLOOKUP(O528,de_para!$A$1:$B$31,2,0)*base!P528,0)</f>
        <v>0</v>
      </c>
      <c r="R528" s="38"/>
      <c r="S528" s="29"/>
      <c r="T528" s="31">
        <f>IF(base!R528&lt;&gt;"",VLOOKUP(R528,de_para!$A$1:$B$31,2,0)*base!S528,0)</f>
        <v>0</v>
      </c>
      <c r="U528" s="30">
        <f t="shared" si="9"/>
        <v>0</v>
      </c>
    </row>
    <row r="529" spans="1:21" x14ac:dyDescent="0.35">
      <c r="A529" s="29"/>
      <c r="B529" s="29"/>
      <c r="C529" s="29"/>
      <c r="D529" s="29"/>
      <c r="E529" s="29"/>
      <c r="F529" s="29"/>
      <c r="G529" s="29"/>
      <c r="H529" s="31">
        <f>IF(base!F529&lt;&gt;"",VLOOKUP(F529,de_para!$A$1:$B$31,2,0)*base!G529,0)</f>
        <v>0</v>
      </c>
      <c r="I529" s="38"/>
      <c r="J529" s="29"/>
      <c r="K529" s="31">
        <f>IF(base!I529&lt;&gt;"",VLOOKUP(I529,de_para!$A$1:$B$31,2,0)*base!J529,0)</f>
        <v>0</v>
      </c>
      <c r="L529" s="38"/>
      <c r="M529" s="29"/>
      <c r="N529" s="31">
        <f>IF(base!L529&lt;&gt;"",VLOOKUP(L529,de_para!$A$1:$B$31,2,0)*base!M529,0)</f>
        <v>0</v>
      </c>
      <c r="O529" s="38"/>
      <c r="P529" s="29"/>
      <c r="Q529" s="31">
        <f>IF(base!O529&lt;&gt;"",VLOOKUP(O529,de_para!$A$1:$B$31,2,0)*base!P529,0)</f>
        <v>0</v>
      </c>
      <c r="R529" s="38"/>
      <c r="S529" s="29"/>
      <c r="T529" s="31">
        <f>IF(base!R529&lt;&gt;"",VLOOKUP(R529,de_para!$A$1:$B$31,2,0)*base!S529,0)</f>
        <v>0</v>
      </c>
      <c r="U529" s="30">
        <f t="shared" si="9"/>
        <v>0</v>
      </c>
    </row>
    <row r="530" spans="1:21" x14ac:dyDescent="0.35">
      <c r="A530" s="29"/>
      <c r="B530" s="29"/>
      <c r="C530" s="29"/>
      <c r="D530" s="29"/>
      <c r="E530" s="29"/>
      <c r="F530" s="29"/>
      <c r="G530" s="29"/>
      <c r="H530" s="31">
        <f>IF(base!F530&lt;&gt;"",VLOOKUP(F530,de_para!$A$1:$B$31,2,0)*base!G530,0)</f>
        <v>0</v>
      </c>
      <c r="I530" s="38"/>
      <c r="J530" s="29"/>
      <c r="K530" s="31">
        <f>IF(base!I530&lt;&gt;"",VLOOKUP(I530,de_para!$A$1:$B$31,2,0)*base!J530,0)</f>
        <v>0</v>
      </c>
      <c r="L530" s="38"/>
      <c r="M530" s="29"/>
      <c r="N530" s="31">
        <f>IF(base!L530&lt;&gt;"",VLOOKUP(L530,de_para!$A$1:$B$31,2,0)*base!M530,0)</f>
        <v>0</v>
      </c>
      <c r="O530" s="38"/>
      <c r="P530" s="29"/>
      <c r="Q530" s="31">
        <f>IF(base!O530&lt;&gt;"",VLOOKUP(O530,de_para!$A$1:$B$31,2,0)*base!P530,0)</f>
        <v>0</v>
      </c>
      <c r="R530" s="38"/>
      <c r="S530" s="29"/>
      <c r="T530" s="31">
        <f>IF(base!R530&lt;&gt;"",VLOOKUP(R530,de_para!$A$1:$B$31,2,0)*base!S530,0)</f>
        <v>0</v>
      </c>
      <c r="U530" s="30">
        <f t="shared" si="9"/>
        <v>0</v>
      </c>
    </row>
    <row r="531" spans="1:21" x14ac:dyDescent="0.35">
      <c r="A531" s="29"/>
      <c r="B531" s="29"/>
      <c r="C531" s="29"/>
      <c r="D531" s="29"/>
      <c r="E531" s="29"/>
      <c r="F531" s="29"/>
      <c r="G531" s="29"/>
      <c r="H531" s="31">
        <f>IF(base!F531&lt;&gt;"",VLOOKUP(F531,de_para!$A$1:$B$31,2,0)*base!G531,0)</f>
        <v>0</v>
      </c>
      <c r="I531" s="38"/>
      <c r="J531" s="29"/>
      <c r="K531" s="31">
        <f>IF(base!I531&lt;&gt;"",VLOOKUP(I531,de_para!$A$1:$B$31,2,0)*base!J531,0)</f>
        <v>0</v>
      </c>
      <c r="L531" s="38"/>
      <c r="M531" s="29"/>
      <c r="N531" s="31">
        <f>IF(base!L531&lt;&gt;"",VLOOKUP(L531,de_para!$A$1:$B$31,2,0)*base!M531,0)</f>
        <v>0</v>
      </c>
      <c r="O531" s="38"/>
      <c r="P531" s="29"/>
      <c r="Q531" s="31">
        <f>IF(base!O531&lt;&gt;"",VLOOKUP(O531,de_para!$A$1:$B$31,2,0)*base!P531,0)</f>
        <v>0</v>
      </c>
      <c r="R531" s="38"/>
      <c r="S531" s="29"/>
      <c r="T531" s="31">
        <f>IF(base!R531&lt;&gt;"",VLOOKUP(R531,de_para!$A$1:$B$31,2,0)*base!S531,0)</f>
        <v>0</v>
      </c>
      <c r="U531" s="30">
        <f t="shared" si="9"/>
        <v>0</v>
      </c>
    </row>
    <row r="532" spans="1:21" x14ac:dyDescent="0.35">
      <c r="A532" s="29"/>
      <c r="B532" s="29"/>
      <c r="C532" s="29"/>
      <c r="D532" s="29"/>
      <c r="E532" s="29"/>
      <c r="F532" s="29"/>
      <c r="G532" s="29"/>
      <c r="H532" s="31">
        <f>IF(base!F532&lt;&gt;"",VLOOKUP(F532,de_para!$A$1:$B$31,2,0)*base!G532,0)</f>
        <v>0</v>
      </c>
      <c r="I532" s="38"/>
      <c r="J532" s="29"/>
      <c r="K532" s="31">
        <f>IF(base!I532&lt;&gt;"",VLOOKUP(I532,de_para!$A$1:$B$31,2,0)*base!J532,0)</f>
        <v>0</v>
      </c>
      <c r="L532" s="38"/>
      <c r="M532" s="29"/>
      <c r="N532" s="31">
        <f>IF(base!L532&lt;&gt;"",VLOOKUP(L532,de_para!$A$1:$B$31,2,0)*base!M532,0)</f>
        <v>0</v>
      </c>
      <c r="O532" s="38"/>
      <c r="P532" s="29"/>
      <c r="Q532" s="31">
        <f>IF(base!O532&lt;&gt;"",VLOOKUP(O532,de_para!$A$1:$B$31,2,0)*base!P532,0)</f>
        <v>0</v>
      </c>
      <c r="R532" s="38"/>
      <c r="S532" s="29"/>
      <c r="T532" s="31">
        <f>IF(base!R532&lt;&gt;"",VLOOKUP(R532,de_para!$A$1:$B$31,2,0)*base!S532,0)</f>
        <v>0</v>
      </c>
      <c r="U532" s="30">
        <f t="shared" si="9"/>
        <v>0</v>
      </c>
    </row>
    <row r="533" spans="1:21" x14ac:dyDescent="0.35">
      <c r="A533" s="29"/>
      <c r="B533" s="29"/>
      <c r="C533" s="29"/>
      <c r="D533" s="29"/>
      <c r="E533" s="29"/>
      <c r="F533" s="29"/>
      <c r="G533" s="29"/>
      <c r="H533" s="31">
        <f>IF(base!F533&lt;&gt;"",VLOOKUP(F533,de_para!$A$1:$B$31,2,0)*base!G533,0)</f>
        <v>0</v>
      </c>
      <c r="I533" s="38"/>
      <c r="J533" s="29"/>
      <c r="K533" s="31">
        <f>IF(base!I533&lt;&gt;"",VLOOKUP(I533,de_para!$A$1:$B$31,2,0)*base!J533,0)</f>
        <v>0</v>
      </c>
      <c r="L533" s="38"/>
      <c r="M533" s="29"/>
      <c r="N533" s="31">
        <f>IF(base!L533&lt;&gt;"",VLOOKUP(L533,de_para!$A$1:$B$31,2,0)*base!M533,0)</f>
        <v>0</v>
      </c>
      <c r="O533" s="38"/>
      <c r="P533" s="29"/>
      <c r="Q533" s="31">
        <f>IF(base!O533&lt;&gt;"",VLOOKUP(O533,de_para!$A$1:$B$31,2,0)*base!P533,0)</f>
        <v>0</v>
      </c>
      <c r="R533" s="38"/>
      <c r="S533" s="29"/>
      <c r="T533" s="31">
        <f>IF(base!R533&lt;&gt;"",VLOOKUP(R533,de_para!$A$1:$B$31,2,0)*base!S533,0)</f>
        <v>0</v>
      </c>
      <c r="U533" s="30">
        <f t="shared" si="9"/>
        <v>0</v>
      </c>
    </row>
    <row r="534" spans="1:21" x14ac:dyDescent="0.35">
      <c r="A534" s="29"/>
      <c r="B534" s="29"/>
      <c r="C534" s="29"/>
      <c r="D534" s="29"/>
      <c r="E534" s="29"/>
      <c r="F534" s="29"/>
      <c r="G534" s="29"/>
      <c r="H534" s="31">
        <f>IF(base!F534&lt;&gt;"",VLOOKUP(F534,de_para!$A$1:$B$31,2,0)*base!G534,0)</f>
        <v>0</v>
      </c>
      <c r="I534" s="38"/>
      <c r="J534" s="29"/>
      <c r="K534" s="31">
        <f>IF(base!I534&lt;&gt;"",VLOOKUP(I534,de_para!$A$1:$B$31,2,0)*base!J534,0)</f>
        <v>0</v>
      </c>
      <c r="L534" s="38"/>
      <c r="M534" s="29"/>
      <c r="N534" s="31">
        <f>IF(base!L534&lt;&gt;"",VLOOKUP(L534,de_para!$A$1:$B$31,2,0)*base!M534,0)</f>
        <v>0</v>
      </c>
      <c r="O534" s="38"/>
      <c r="P534" s="29"/>
      <c r="Q534" s="31">
        <f>IF(base!O534&lt;&gt;"",VLOOKUP(O534,de_para!$A$1:$B$31,2,0)*base!P534,0)</f>
        <v>0</v>
      </c>
      <c r="R534" s="38"/>
      <c r="S534" s="29"/>
      <c r="T534" s="31">
        <f>IF(base!R534&lt;&gt;"",VLOOKUP(R534,de_para!$A$1:$B$31,2,0)*base!S534,0)</f>
        <v>0</v>
      </c>
      <c r="U534" s="30">
        <f t="shared" si="9"/>
        <v>0</v>
      </c>
    </row>
    <row r="535" spans="1:21" x14ac:dyDescent="0.35">
      <c r="A535" s="29"/>
      <c r="B535" s="29"/>
      <c r="C535" s="29"/>
      <c r="D535" s="29"/>
      <c r="E535" s="29"/>
      <c r="F535" s="29"/>
      <c r="G535" s="29"/>
      <c r="H535" s="31">
        <f>IF(base!F535&lt;&gt;"",VLOOKUP(F535,de_para!$A$1:$B$31,2,0)*base!G535,0)</f>
        <v>0</v>
      </c>
      <c r="I535" s="38"/>
      <c r="J535" s="29"/>
      <c r="K535" s="31">
        <f>IF(base!I535&lt;&gt;"",VLOOKUP(I535,de_para!$A$1:$B$31,2,0)*base!J535,0)</f>
        <v>0</v>
      </c>
      <c r="L535" s="38"/>
      <c r="M535" s="29"/>
      <c r="N535" s="31">
        <f>IF(base!L535&lt;&gt;"",VLOOKUP(L535,de_para!$A$1:$B$31,2,0)*base!M535,0)</f>
        <v>0</v>
      </c>
      <c r="O535" s="38"/>
      <c r="P535" s="29"/>
      <c r="Q535" s="31">
        <f>IF(base!O535&lt;&gt;"",VLOOKUP(O535,de_para!$A$1:$B$31,2,0)*base!P535,0)</f>
        <v>0</v>
      </c>
      <c r="R535" s="38"/>
      <c r="S535" s="29"/>
      <c r="T535" s="31">
        <f>IF(base!R535&lt;&gt;"",VLOOKUP(R535,de_para!$A$1:$B$31,2,0)*base!S535,0)</f>
        <v>0</v>
      </c>
      <c r="U535" s="30">
        <f t="shared" si="9"/>
        <v>0</v>
      </c>
    </row>
    <row r="536" spans="1:21" x14ac:dyDescent="0.35">
      <c r="A536" s="29"/>
      <c r="B536" s="29"/>
      <c r="C536" s="29"/>
      <c r="D536" s="29"/>
      <c r="E536" s="29"/>
      <c r="F536" s="29"/>
      <c r="G536" s="29"/>
      <c r="H536" s="31">
        <f>IF(base!F536&lt;&gt;"",VLOOKUP(F536,de_para!$A$1:$B$31,2,0)*base!G536,0)</f>
        <v>0</v>
      </c>
      <c r="I536" s="38"/>
      <c r="J536" s="29"/>
      <c r="K536" s="31">
        <f>IF(base!I536&lt;&gt;"",VLOOKUP(I536,de_para!$A$1:$B$31,2,0)*base!J536,0)</f>
        <v>0</v>
      </c>
      <c r="L536" s="38"/>
      <c r="M536" s="29"/>
      <c r="N536" s="31">
        <f>IF(base!L536&lt;&gt;"",VLOOKUP(L536,de_para!$A$1:$B$31,2,0)*base!M536,0)</f>
        <v>0</v>
      </c>
      <c r="O536" s="38"/>
      <c r="P536" s="29"/>
      <c r="Q536" s="31">
        <f>IF(base!O536&lt;&gt;"",VLOOKUP(O536,de_para!$A$1:$B$31,2,0)*base!P536,0)</f>
        <v>0</v>
      </c>
      <c r="R536" s="38"/>
      <c r="S536" s="29"/>
      <c r="T536" s="31">
        <f>IF(base!R536&lt;&gt;"",VLOOKUP(R536,de_para!$A$1:$B$31,2,0)*base!S536,0)</f>
        <v>0</v>
      </c>
      <c r="U536" s="30">
        <f t="shared" si="9"/>
        <v>0</v>
      </c>
    </row>
    <row r="537" spans="1:21" x14ac:dyDescent="0.35">
      <c r="A537" s="29"/>
      <c r="B537" s="29"/>
      <c r="C537" s="29"/>
      <c r="D537" s="29"/>
      <c r="E537" s="29"/>
      <c r="F537" s="29"/>
      <c r="G537" s="29"/>
      <c r="H537" s="31">
        <f>IF(base!F537&lt;&gt;"",VLOOKUP(F537,de_para!$A$1:$B$31,2,0)*base!G537,0)</f>
        <v>0</v>
      </c>
      <c r="I537" s="38"/>
      <c r="J537" s="29"/>
      <c r="K537" s="31">
        <f>IF(base!I537&lt;&gt;"",VLOOKUP(I537,de_para!$A$1:$B$31,2,0)*base!J537,0)</f>
        <v>0</v>
      </c>
      <c r="L537" s="38"/>
      <c r="M537" s="29"/>
      <c r="N537" s="31">
        <f>IF(base!L537&lt;&gt;"",VLOOKUP(L537,de_para!$A$1:$B$31,2,0)*base!M537,0)</f>
        <v>0</v>
      </c>
      <c r="O537" s="38"/>
      <c r="P537" s="29"/>
      <c r="Q537" s="31">
        <f>IF(base!O537&lt;&gt;"",VLOOKUP(O537,de_para!$A$1:$B$31,2,0)*base!P537,0)</f>
        <v>0</v>
      </c>
      <c r="R537" s="38"/>
      <c r="S537" s="29"/>
      <c r="T537" s="31">
        <f>IF(base!R537&lt;&gt;"",VLOOKUP(R537,de_para!$A$1:$B$31,2,0)*base!S537,0)</f>
        <v>0</v>
      </c>
      <c r="U537" s="30">
        <f t="shared" si="9"/>
        <v>0</v>
      </c>
    </row>
    <row r="538" spans="1:21" x14ac:dyDescent="0.35">
      <c r="A538" s="29"/>
      <c r="B538" s="29"/>
      <c r="C538" s="29"/>
      <c r="D538" s="29"/>
      <c r="E538" s="29"/>
      <c r="F538" s="29"/>
      <c r="G538" s="29"/>
      <c r="H538" s="31">
        <f>IF(base!F538&lt;&gt;"",VLOOKUP(F538,de_para!$A$1:$B$31,2,0)*base!G538,0)</f>
        <v>0</v>
      </c>
      <c r="I538" s="38"/>
      <c r="J538" s="29"/>
      <c r="K538" s="31">
        <f>IF(base!I538&lt;&gt;"",VLOOKUP(I538,de_para!$A$1:$B$31,2,0)*base!J538,0)</f>
        <v>0</v>
      </c>
      <c r="L538" s="38"/>
      <c r="M538" s="29"/>
      <c r="N538" s="31">
        <f>IF(base!L538&lt;&gt;"",VLOOKUP(L538,de_para!$A$1:$B$31,2,0)*base!M538,0)</f>
        <v>0</v>
      </c>
      <c r="O538" s="38"/>
      <c r="P538" s="29"/>
      <c r="Q538" s="31">
        <f>IF(base!O538&lt;&gt;"",VLOOKUP(O538,de_para!$A$1:$B$31,2,0)*base!P538,0)</f>
        <v>0</v>
      </c>
      <c r="R538" s="38"/>
      <c r="S538" s="29"/>
      <c r="T538" s="31">
        <f>IF(base!R538&lt;&gt;"",VLOOKUP(R538,de_para!$A$1:$B$31,2,0)*base!S538,0)</f>
        <v>0</v>
      </c>
      <c r="U538" s="30">
        <f t="shared" si="9"/>
        <v>0</v>
      </c>
    </row>
    <row r="539" spans="1:21" x14ac:dyDescent="0.35">
      <c r="A539" s="29"/>
      <c r="B539" s="29"/>
      <c r="C539" s="29"/>
      <c r="D539" s="29"/>
      <c r="E539" s="29"/>
      <c r="F539" s="29"/>
      <c r="G539" s="29"/>
      <c r="H539" s="31">
        <f>IF(base!F539&lt;&gt;"",VLOOKUP(F539,de_para!$A$1:$B$31,2,0)*base!G539,0)</f>
        <v>0</v>
      </c>
      <c r="I539" s="38"/>
      <c r="J539" s="29"/>
      <c r="K539" s="31">
        <f>IF(base!I539&lt;&gt;"",VLOOKUP(I539,de_para!$A$1:$B$31,2,0)*base!J539,0)</f>
        <v>0</v>
      </c>
      <c r="L539" s="38"/>
      <c r="M539" s="29"/>
      <c r="N539" s="31">
        <f>IF(base!L539&lt;&gt;"",VLOOKUP(L539,de_para!$A$1:$B$31,2,0)*base!M539,0)</f>
        <v>0</v>
      </c>
      <c r="O539" s="38"/>
      <c r="P539" s="29"/>
      <c r="Q539" s="31">
        <f>IF(base!O539&lt;&gt;"",VLOOKUP(O539,de_para!$A$1:$B$31,2,0)*base!P539,0)</f>
        <v>0</v>
      </c>
      <c r="R539" s="38"/>
      <c r="S539" s="29"/>
      <c r="T539" s="31">
        <f>IF(base!R539&lt;&gt;"",VLOOKUP(R539,de_para!$A$1:$B$31,2,0)*base!S539,0)</f>
        <v>0</v>
      </c>
      <c r="U539" s="30">
        <f t="shared" si="9"/>
        <v>0</v>
      </c>
    </row>
    <row r="540" spans="1:21" x14ac:dyDescent="0.35">
      <c r="A540" s="29"/>
      <c r="B540" s="29"/>
      <c r="C540" s="29"/>
      <c r="D540" s="29"/>
      <c r="E540" s="29"/>
      <c r="F540" s="29"/>
      <c r="G540" s="29"/>
      <c r="H540" s="31">
        <f>IF(base!F540&lt;&gt;"",VLOOKUP(F540,de_para!$A$1:$B$31,2,0)*base!G540,0)</f>
        <v>0</v>
      </c>
      <c r="I540" s="38"/>
      <c r="J540" s="29"/>
      <c r="K540" s="31">
        <f>IF(base!I540&lt;&gt;"",VLOOKUP(I540,de_para!$A$1:$B$31,2,0)*base!J540,0)</f>
        <v>0</v>
      </c>
      <c r="L540" s="38"/>
      <c r="M540" s="29"/>
      <c r="N540" s="31">
        <f>IF(base!L540&lt;&gt;"",VLOOKUP(L540,de_para!$A$1:$B$31,2,0)*base!M540,0)</f>
        <v>0</v>
      </c>
      <c r="O540" s="38"/>
      <c r="P540" s="29"/>
      <c r="Q540" s="31">
        <f>IF(base!O540&lt;&gt;"",VLOOKUP(O540,de_para!$A$1:$B$31,2,0)*base!P540,0)</f>
        <v>0</v>
      </c>
      <c r="R540" s="38"/>
      <c r="S540" s="29"/>
      <c r="T540" s="31">
        <f>IF(base!R540&lt;&gt;"",VLOOKUP(R540,de_para!$A$1:$B$31,2,0)*base!S540,0)</f>
        <v>0</v>
      </c>
      <c r="U540" s="30">
        <f t="shared" si="9"/>
        <v>0</v>
      </c>
    </row>
    <row r="541" spans="1:21" x14ac:dyDescent="0.35">
      <c r="A541" s="29"/>
      <c r="B541" s="29"/>
      <c r="C541" s="29"/>
      <c r="D541" s="29"/>
      <c r="E541" s="29"/>
      <c r="F541" s="29"/>
      <c r="G541" s="29"/>
      <c r="H541" s="31">
        <f>IF(base!F541&lt;&gt;"",VLOOKUP(F541,de_para!$A$1:$B$31,2,0)*base!G541,0)</f>
        <v>0</v>
      </c>
      <c r="I541" s="38"/>
      <c r="J541" s="29"/>
      <c r="K541" s="31">
        <f>IF(base!I541&lt;&gt;"",VLOOKUP(I541,de_para!$A$1:$B$31,2,0)*base!J541,0)</f>
        <v>0</v>
      </c>
      <c r="L541" s="38"/>
      <c r="M541" s="29"/>
      <c r="N541" s="31">
        <f>IF(base!L541&lt;&gt;"",VLOOKUP(L541,de_para!$A$1:$B$31,2,0)*base!M541,0)</f>
        <v>0</v>
      </c>
      <c r="O541" s="38"/>
      <c r="P541" s="29"/>
      <c r="Q541" s="31">
        <f>IF(base!O541&lt;&gt;"",VLOOKUP(O541,de_para!$A$1:$B$31,2,0)*base!P541,0)</f>
        <v>0</v>
      </c>
      <c r="R541" s="38"/>
      <c r="S541" s="29"/>
      <c r="T541" s="31">
        <f>IF(base!R541&lt;&gt;"",VLOOKUP(R541,de_para!$A$1:$B$31,2,0)*base!S541,0)</f>
        <v>0</v>
      </c>
      <c r="U541" s="30">
        <f t="shared" si="9"/>
        <v>0</v>
      </c>
    </row>
    <row r="542" spans="1:21" x14ac:dyDescent="0.35">
      <c r="A542" s="29"/>
      <c r="B542" s="29"/>
      <c r="C542" s="29"/>
      <c r="D542" s="29"/>
      <c r="E542" s="29"/>
      <c r="F542" s="29"/>
      <c r="G542" s="29"/>
      <c r="H542" s="31">
        <f>IF(base!F542&lt;&gt;"",VLOOKUP(F542,de_para!$A$1:$B$31,2,0)*base!G542,0)</f>
        <v>0</v>
      </c>
      <c r="I542" s="38"/>
      <c r="J542" s="29"/>
      <c r="K542" s="31">
        <f>IF(base!I542&lt;&gt;"",VLOOKUP(I542,de_para!$A$1:$B$31,2,0)*base!J542,0)</f>
        <v>0</v>
      </c>
      <c r="L542" s="38"/>
      <c r="M542" s="29"/>
      <c r="N542" s="31">
        <f>IF(base!L542&lt;&gt;"",VLOOKUP(L542,de_para!$A$1:$B$31,2,0)*base!M542,0)</f>
        <v>0</v>
      </c>
      <c r="O542" s="38"/>
      <c r="P542" s="29"/>
      <c r="Q542" s="31">
        <f>IF(base!O542&lt;&gt;"",VLOOKUP(O542,de_para!$A$1:$B$31,2,0)*base!P542,0)</f>
        <v>0</v>
      </c>
      <c r="R542" s="38"/>
      <c r="S542" s="29"/>
      <c r="T542" s="31">
        <f>IF(base!R542&lt;&gt;"",VLOOKUP(R542,de_para!$A$1:$B$31,2,0)*base!S542,0)</f>
        <v>0</v>
      </c>
      <c r="U542" s="30">
        <f t="shared" si="9"/>
        <v>0</v>
      </c>
    </row>
    <row r="543" spans="1:21" x14ac:dyDescent="0.35">
      <c r="A543" s="29"/>
      <c r="B543" s="29"/>
      <c r="C543" s="29"/>
      <c r="D543" s="29"/>
      <c r="E543" s="29"/>
      <c r="F543" s="29"/>
      <c r="G543" s="29"/>
      <c r="H543" s="31">
        <f>IF(base!F543&lt;&gt;"",VLOOKUP(F543,de_para!$A$1:$B$31,2,0)*base!G543,0)</f>
        <v>0</v>
      </c>
      <c r="I543" s="38"/>
      <c r="J543" s="29"/>
      <c r="K543" s="31">
        <f>IF(base!I543&lt;&gt;"",VLOOKUP(I543,de_para!$A$1:$B$31,2,0)*base!J543,0)</f>
        <v>0</v>
      </c>
      <c r="L543" s="38"/>
      <c r="M543" s="29"/>
      <c r="N543" s="31">
        <f>IF(base!L543&lt;&gt;"",VLOOKUP(L543,de_para!$A$1:$B$31,2,0)*base!M543,0)</f>
        <v>0</v>
      </c>
      <c r="O543" s="38"/>
      <c r="P543" s="29"/>
      <c r="Q543" s="31">
        <f>IF(base!O543&lt;&gt;"",VLOOKUP(O543,de_para!$A$1:$B$31,2,0)*base!P543,0)</f>
        <v>0</v>
      </c>
      <c r="R543" s="38"/>
      <c r="S543" s="29"/>
      <c r="T543" s="31">
        <f>IF(base!R543&lt;&gt;"",VLOOKUP(R543,de_para!$A$1:$B$31,2,0)*base!S543,0)</f>
        <v>0</v>
      </c>
      <c r="U543" s="30">
        <f t="shared" si="9"/>
        <v>0</v>
      </c>
    </row>
    <row r="544" spans="1:21" x14ac:dyDescent="0.35">
      <c r="A544" s="29"/>
      <c r="B544" s="29"/>
      <c r="C544" s="29"/>
      <c r="D544" s="29"/>
      <c r="E544" s="29"/>
      <c r="F544" s="29"/>
      <c r="G544" s="29"/>
      <c r="H544" s="31">
        <f>IF(base!F544&lt;&gt;"",VLOOKUP(F544,de_para!$A$1:$B$31,2,0)*base!G544,0)</f>
        <v>0</v>
      </c>
      <c r="I544" s="38"/>
      <c r="J544" s="29"/>
      <c r="K544" s="31">
        <f>IF(base!I544&lt;&gt;"",VLOOKUP(I544,de_para!$A$1:$B$31,2,0)*base!J544,0)</f>
        <v>0</v>
      </c>
      <c r="L544" s="38"/>
      <c r="M544" s="29"/>
      <c r="N544" s="31">
        <f>IF(base!L544&lt;&gt;"",VLOOKUP(L544,de_para!$A$1:$B$31,2,0)*base!M544,0)</f>
        <v>0</v>
      </c>
      <c r="O544" s="38"/>
      <c r="P544" s="29"/>
      <c r="Q544" s="31">
        <f>IF(base!O544&lt;&gt;"",VLOOKUP(O544,de_para!$A$1:$B$31,2,0)*base!P544,0)</f>
        <v>0</v>
      </c>
      <c r="R544" s="38"/>
      <c r="S544" s="29"/>
      <c r="T544" s="31">
        <f>IF(base!R544&lt;&gt;"",VLOOKUP(R544,de_para!$A$1:$B$31,2,0)*base!S544,0)</f>
        <v>0</v>
      </c>
      <c r="U544" s="30">
        <f t="shared" si="9"/>
        <v>0</v>
      </c>
    </row>
    <row r="545" spans="1:21" x14ac:dyDescent="0.35">
      <c r="A545" s="29"/>
      <c r="B545" s="29"/>
      <c r="C545" s="29"/>
      <c r="D545" s="29"/>
      <c r="E545" s="29"/>
      <c r="F545" s="29"/>
      <c r="G545" s="29"/>
      <c r="H545" s="31">
        <f>IF(base!F545&lt;&gt;"",VLOOKUP(F545,de_para!$A$1:$B$31,2,0)*base!G545,0)</f>
        <v>0</v>
      </c>
      <c r="I545" s="38"/>
      <c r="J545" s="29"/>
      <c r="K545" s="31">
        <f>IF(base!I545&lt;&gt;"",VLOOKUP(I545,de_para!$A$1:$B$31,2,0)*base!J545,0)</f>
        <v>0</v>
      </c>
      <c r="L545" s="38"/>
      <c r="M545" s="29"/>
      <c r="N545" s="31">
        <f>IF(base!L545&lt;&gt;"",VLOOKUP(L545,de_para!$A$1:$B$31,2,0)*base!M545,0)</f>
        <v>0</v>
      </c>
      <c r="O545" s="38"/>
      <c r="P545" s="29"/>
      <c r="Q545" s="31">
        <f>IF(base!O545&lt;&gt;"",VLOOKUP(O545,de_para!$A$1:$B$31,2,0)*base!P545,0)</f>
        <v>0</v>
      </c>
      <c r="R545" s="38"/>
      <c r="S545" s="29"/>
      <c r="T545" s="31">
        <f>IF(base!R545&lt;&gt;"",VLOOKUP(R545,de_para!$A$1:$B$31,2,0)*base!S545,0)</f>
        <v>0</v>
      </c>
      <c r="U545" s="30">
        <f t="shared" si="9"/>
        <v>0</v>
      </c>
    </row>
    <row r="546" spans="1:21" x14ac:dyDescent="0.35">
      <c r="A546" s="29"/>
      <c r="B546" s="29"/>
      <c r="C546" s="29"/>
      <c r="D546" s="29"/>
      <c r="E546" s="29"/>
      <c r="F546" s="29"/>
      <c r="G546" s="29"/>
      <c r="H546" s="31">
        <f>IF(base!F546&lt;&gt;"",VLOOKUP(F546,de_para!$A$1:$B$31,2,0)*base!G546,0)</f>
        <v>0</v>
      </c>
      <c r="I546" s="38"/>
      <c r="J546" s="29"/>
      <c r="K546" s="31">
        <f>IF(base!I546&lt;&gt;"",VLOOKUP(I546,de_para!$A$1:$B$31,2,0)*base!J546,0)</f>
        <v>0</v>
      </c>
      <c r="L546" s="38"/>
      <c r="M546" s="29"/>
      <c r="N546" s="31">
        <f>IF(base!L546&lt;&gt;"",VLOOKUP(L546,de_para!$A$1:$B$31,2,0)*base!M546,0)</f>
        <v>0</v>
      </c>
      <c r="O546" s="38"/>
      <c r="P546" s="29"/>
      <c r="Q546" s="31">
        <f>IF(base!O546&lt;&gt;"",VLOOKUP(O546,de_para!$A$1:$B$31,2,0)*base!P546,0)</f>
        <v>0</v>
      </c>
      <c r="R546" s="38"/>
      <c r="S546" s="29"/>
      <c r="T546" s="31">
        <f>IF(base!R546&lt;&gt;"",VLOOKUP(R546,de_para!$A$1:$B$31,2,0)*base!S546,0)</f>
        <v>0</v>
      </c>
      <c r="U546" s="30">
        <f t="shared" si="9"/>
        <v>0</v>
      </c>
    </row>
    <row r="547" spans="1:21" x14ac:dyDescent="0.35">
      <c r="A547" s="29"/>
      <c r="B547" s="29"/>
      <c r="C547" s="29"/>
      <c r="D547" s="29"/>
      <c r="E547" s="29"/>
      <c r="F547" s="29"/>
      <c r="G547" s="29"/>
      <c r="H547" s="31">
        <f>IF(base!F547&lt;&gt;"",VLOOKUP(F547,de_para!$A$1:$B$31,2,0)*base!G547,0)</f>
        <v>0</v>
      </c>
      <c r="I547" s="38"/>
      <c r="J547" s="29"/>
      <c r="K547" s="31">
        <f>IF(base!I547&lt;&gt;"",VLOOKUP(I547,de_para!$A$1:$B$31,2,0)*base!J547,0)</f>
        <v>0</v>
      </c>
      <c r="L547" s="38"/>
      <c r="M547" s="29"/>
      <c r="N547" s="31">
        <f>IF(base!L547&lt;&gt;"",VLOOKUP(L547,de_para!$A$1:$B$31,2,0)*base!M547,0)</f>
        <v>0</v>
      </c>
      <c r="O547" s="38"/>
      <c r="P547" s="29"/>
      <c r="Q547" s="31">
        <f>IF(base!O547&lt;&gt;"",VLOOKUP(O547,de_para!$A$1:$B$31,2,0)*base!P547,0)</f>
        <v>0</v>
      </c>
      <c r="R547" s="38"/>
      <c r="S547" s="29"/>
      <c r="T547" s="31">
        <f>IF(base!R547&lt;&gt;"",VLOOKUP(R547,de_para!$A$1:$B$31,2,0)*base!S547,0)</f>
        <v>0</v>
      </c>
      <c r="U547" s="30">
        <f t="shared" si="9"/>
        <v>0</v>
      </c>
    </row>
    <row r="548" spans="1:21" x14ac:dyDescent="0.35">
      <c r="A548" s="29"/>
      <c r="B548" s="29"/>
      <c r="C548" s="29"/>
      <c r="D548" s="29"/>
      <c r="E548" s="29"/>
      <c r="F548" s="29"/>
      <c r="G548" s="29"/>
      <c r="H548" s="31">
        <f>IF(base!F548&lt;&gt;"",VLOOKUP(F548,de_para!$A$1:$B$31,2,0)*base!G548,0)</f>
        <v>0</v>
      </c>
      <c r="I548" s="38"/>
      <c r="J548" s="29"/>
      <c r="K548" s="31">
        <f>IF(base!I548&lt;&gt;"",VLOOKUP(I548,de_para!$A$1:$B$31,2,0)*base!J548,0)</f>
        <v>0</v>
      </c>
      <c r="L548" s="38"/>
      <c r="M548" s="29"/>
      <c r="N548" s="31">
        <f>IF(base!L548&lt;&gt;"",VLOOKUP(L548,de_para!$A$1:$B$31,2,0)*base!M548,0)</f>
        <v>0</v>
      </c>
      <c r="O548" s="38"/>
      <c r="P548" s="29"/>
      <c r="Q548" s="31">
        <f>IF(base!O548&lt;&gt;"",VLOOKUP(O548,de_para!$A$1:$B$31,2,0)*base!P548,0)</f>
        <v>0</v>
      </c>
      <c r="R548" s="38"/>
      <c r="S548" s="29"/>
      <c r="T548" s="31">
        <f>IF(base!R548&lt;&gt;"",VLOOKUP(R548,de_para!$A$1:$B$31,2,0)*base!S548,0)</f>
        <v>0</v>
      </c>
      <c r="U548" s="30">
        <f t="shared" si="9"/>
        <v>0</v>
      </c>
    </row>
    <row r="549" spans="1:21" x14ac:dyDescent="0.35">
      <c r="A549" s="29"/>
      <c r="B549" s="29"/>
      <c r="C549" s="29"/>
      <c r="D549" s="29"/>
      <c r="E549" s="29"/>
      <c r="F549" s="29"/>
      <c r="G549" s="29"/>
      <c r="H549" s="31">
        <f>IF(base!F549&lt;&gt;"",VLOOKUP(F549,de_para!$A$1:$B$31,2,0)*base!G549,0)</f>
        <v>0</v>
      </c>
      <c r="I549" s="38"/>
      <c r="J549" s="29"/>
      <c r="K549" s="31">
        <f>IF(base!I549&lt;&gt;"",VLOOKUP(I549,de_para!$A$1:$B$31,2,0)*base!J549,0)</f>
        <v>0</v>
      </c>
      <c r="L549" s="38"/>
      <c r="M549" s="29"/>
      <c r="N549" s="31">
        <f>IF(base!L549&lt;&gt;"",VLOOKUP(L549,de_para!$A$1:$B$31,2,0)*base!M549,0)</f>
        <v>0</v>
      </c>
      <c r="O549" s="38"/>
      <c r="P549" s="29"/>
      <c r="Q549" s="31">
        <f>IF(base!O549&lt;&gt;"",VLOOKUP(O549,de_para!$A$1:$B$31,2,0)*base!P549,0)</f>
        <v>0</v>
      </c>
      <c r="R549" s="38"/>
      <c r="S549" s="29"/>
      <c r="T549" s="31">
        <f>IF(base!R549&lt;&gt;"",VLOOKUP(R549,de_para!$A$1:$B$31,2,0)*base!S549,0)</f>
        <v>0</v>
      </c>
      <c r="U549" s="30">
        <f t="shared" si="9"/>
        <v>0</v>
      </c>
    </row>
    <row r="550" spans="1:21" x14ac:dyDescent="0.35">
      <c r="A550" s="29"/>
      <c r="B550" s="29"/>
      <c r="C550" s="29"/>
      <c r="D550" s="29"/>
      <c r="E550" s="29"/>
      <c r="F550" s="29"/>
      <c r="G550" s="29"/>
      <c r="H550" s="31">
        <f>IF(base!F550&lt;&gt;"",VLOOKUP(F550,de_para!$A$1:$B$31,2,0)*base!G550,0)</f>
        <v>0</v>
      </c>
      <c r="I550" s="38"/>
      <c r="J550" s="29"/>
      <c r="K550" s="31">
        <f>IF(base!I550&lt;&gt;"",VLOOKUP(I550,de_para!$A$1:$B$31,2,0)*base!J550,0)</f>
        <v>0</v>
      </c>
      <c r="L550" s="38"/>
      <c r="M550" s="29"/>
      <c r="N550" s="31">
        <f>IF(base!L550&lt;&gt;"",VLOOKUP(L550,de_para!$A$1:$B$31,2,0)*base!M550,0)</f>
        <v>0</v>
      </c>
      <c r="O550" s="38"/>
      <c r="P550" s="29"/>
      <c r="Q550" s="31">
        <f>IF(base!O550&lt;&gt;"",VLOOKUP(O550,de_para!$A$1:$B$31,2,0)*base!P550,0)</f>
        <v>0</v>
      </c>
      <c r="R550" s="38"/>
      <c r="S550" s="29"/>
      <c r="T550" s="31">
        <f>IF(base!R550&lt;&gt;"",VLOOKUP(R550,de_para!$A$1:$B$31,2,0)*base!S550,0)</f>
        <v>0</v>
      </c>
      <c r="U550" s="30">
        <f t="shared" si="9"/>
        <v>0</v>
      </c>
    </row>
    <row r="551" spans="1:21" x14ac:dyDescent="0.35">
      <c r="A551" s="29"/>
      <c r="B551" s="29"/>
      <c r="C551" s="29"/>
      <c r="D551" s="29"/>
      <c r="E551" s="29"/>
      <c r="F551" s="29"/>
      <c r="G551" s="29"/>
      <c r="H551" s="31">
        <f>IF(base!F551&lt;&gt;"",VLOOKUP(F551,de_para!$A$1:$B$31,2,0)*base!G551,0)</f>
        <v>0</v>
      </c>
      <c r="I551" s="38"/>
      <c r="J551" s="29"/>
      <c r="K551" s="31">
        <f>IF(base!I551&lt;&gt;"",VLOOKUP(I551,de_para!$A$1:$B$31,2,0)*base!J551,0)</f>
        <v>0</v>
      </c>
      <c r="L551" s="38"/>
      <c r="M551" s="29"/>
      <c r="N551" s="31">
        <f>IF(base!L551&lt;&gt;"",VLOOKUP(L551,de_para!$A$1:$B$31,2,0)*base!M551,0)</f>
        <v>0</v>
      </c>
      <c r="O551" s="38"/>
      <c r="P551" s="29"/>
      <c r="Q551" s="31">
        <f>IF(base!O551&lt;&gt;"",VLOOKUP(O551,de_para!$A$1:$B$31,2,0)*base!P551,0)</f>
        <v>0</v>
      </c>
      <c r="R551" s="38"/>
      <c r="S551" s="29"/>
      <c r="T551" s="31">
        <f>IF(base!R551&lt;&gt;"",VLOOKUP(R551,de_para!$A$1:$B$31,2,0)*base!S551,0)</f>
        <v>0</v>
      </c>
      <c r="U551" s="30">
        <f t="shared" si="9"/>
        <v>0</v>
      </c>
    </row>
    <row r="552" spans="1:21" x14ac:dyDescent="0.35">
      <c r="A552" s="29"/>
      <c r="B552" s="29"/>
      <c r="C552" s="29"/>
      <c r="D552" s="29"/>
      <c r="E552" s="29"/>
      <c r="F552" s="29"/>
      <c r="G552" s="29"/>
      <c r="H552" s="31">
        <f>IF(base!F552&lt;&gt;"",VLOOKUP(F552,de_para!$A$1:$B$31,2,0)*base!G552,0)</f>
        <v>0</v>
      </c>
      <c r="I552" s="38"/>
      <c r="J552" s="29"/>
      <c r="K552" s="31">
        <f>IF(base!I552&lt;&gt;"",VLOOKUP(I552,de_para!$A$1:$B$31,2,0)*base!J552,0)</f>
        <v>0</v>
      </c>
      <c r="L552" s="38"/>
      <c r="M552" s="29"/>
      <c r="N552" s="31">
        <f>IF(base!L552&lt;&gt;"",VLOOKUP(L552,de_para!$A$1:$B$31,2,0)*base!M552,0)</f>
        <v>0</v>
      </c>
      <c r="O552" s="38"/>
      <c r="P552" s="29"/>
      <c r="Q552" s="31">
        <f>IF(base!O552&lt;&gt;"",VLOOKUP(O552,de_para!$A$1:$B$31,2,0)*base!P552,0)</f>
        <v>0</v>
      </c>
      <c r="R552" s="38"/>
      <c r="S552" s="29"/>
      <c r="T552" s="31">
        <f>IF(base!R552&lt;&gt;"",VLOOKUP(R552,de_para!$A$1:$B$31,2,0)*base!S552,0)</f>
        <v>0</v>
      </c>
      <c r="U552" s="30">
        <f t="shared" si="9"/>
        <v>0</v>
      </c>
    </row>
    <row r="553" spans="1:21" x14ac:dyDescent="0.35">
      <c r="A553" s="29"/>
      <c r="B553" s="29"/>
      <c r="C553" s="29"/>
      <c r="D553" s="29"/>
      <c r="E553" s="29"/>
      <c r="F553" s="29"/>
      <c r="G553" s="29"/>
      <c r="H553" s="31">
        <f>IF(base!F553&lt;&gt;"",VLOOKUP(F553,de_para!$A$1:$B$31,2,0)*base!G553,0)</f>
        <v>0</v>
      </c>
      <c r="I553" s="38"/>
      <c r="J553" s="29"/>
      <c r="K553" s="31">
        <f>IF(base!I553&lt;&gt;"",VLOOKUP(I553,de_para!$A$1:$B$31,2,0)*base!J553,0)</f>
        <v>0</v>
      </c>
      <c r="L553" s="38"/>
      <c r="M553" s="29"/>
      <c r="N553" s="31">
        <f>IF(base!L553&lt;&gt;"",VLOOKUP(L553,de_para!$A$1:$B$31,2,0)*base!M553,0)</f>
        <v>0</v>
      </c>
      <c r="O553" s="38"/>
      <c r="P553" s="29"/>
      <c r="Q553" s="31">
        <f>IF(base!O553&lt;&gt;"",VLOOKUP(O553,de_para!$A$1:$B$31,2,0)*base!P553,0)</f>
        <v>0</v>
      </c>
      <c r="R553" s="38"/>
      <c r="S553" s="29"/>
      <c r="T553" s="31">
        <f>IF(base!R553&lt;&gt;"",VLOOKUP(R553,de_para!$A$1:$B$31,2,0)*base!S553,0)</f>
        <v>0</v>
      </c>
      <c r="U553" s="30">
        <f t="shared" si="9"/>
        <v>0</v>
      </c>
    </row>
    <row r="554" spans="1:21" x14ac:dyDescent="0.35">
      <c r="A554" s="29"/>
      <c r="B554" s="29"/>
      <c r="C554" s="29"/>
      <c r="D554" s="29"/>
      <c r="E554" s="29"/>
      <c r="F554" s="29"/>
      <c r="G554" s="29"/>
      <c r="H554" s="31">
        <f>IF(base!F554&lt;&gt;"",VLOOKUP(F554,de_para!$A$1:$B$31,2,0)*base!G554,0)</f>
        <v>0</v>
      </c>
      <c r="I554" s="38"/>
      <c r="J554" s="29"/>
      <c r="K554" s="31">
        <f>IF(base!I554&lt;&gt;"",VLOOKUP(I554,de_para!$A$1:$B$31,2,0)*base!J554,0)</f>
        <v>0</v>
      </c>
      <c r="L554" s="38"/>
      <c r="M554" s="29"/>
      <c r="N554" s="31">
        <f>IF(base!L554&lt;&gt;"",VLOOKUP(L554,de_para!$A$1:$B$31,2,0)*base!M554,0)</f>
        <v>0</v>
      </c>
      <c r="O554" s="38"/>
      <c r="P554" s="29"/>
      <c r="Q554" s="31">
        <f>IF(base!O554&lt;&gt;"",VLOOKUP(O554,de_para!$A$1:$B$31,2,0)*base!P554,0)</f>
        <v>0</v>
      </c>
      <c r="R554" s="38"/>
      <c r="S554" s="29"/>
      <c r="T554" s="31">
        <f>IF(base!R554&lt;&gt;"",VLOOKUP(R554,de_para!$A$1:$B$31,2,0)*base!S554,0)</f>
        <v>0</v>
      </c>
      <c r="U554" s="30">
        <f t="shared" si="9"/>
        <v>0</v>
      </c>
    </row>
    <row r="555" spans="1:21" x14ac:dyDescent="0.35">
      <c r="A555" s="29"/>
      <c r="B555" s="29"/>
      <c r="C555" s="29"/>
      <c r="D555" s="29"/>
      <c r="E555" s="29"/>
      <c r="F555" s="29"/>
      <c r="G555" s="29"/>
      <c r="H555" s="31">
        <f>IF(base!F555&lt;&gt;"",VLOOKUP(F555,de_para!$A$1:$B$31,2,0)*base!G555,0)</f>
        <v>0</v>
      </c>
      <c r="I555" s="38"/>
      <c r="J555" s="29"/>
      <c r="K555" s="31">
        <f>IF(base!I555&lt;&gt;"",VLOOKUP(I555,de_para!$A$1:$B$31,2,0)*base!J555,0)</f>
        <v>0</v>
      </c>
      <c r="L555" s="38"/>
      <c r="M555" s="29"/>
      <c r="N555" s="31">
        <f>IF(base!L555&lt;&gt;"",VLOOKUP(L555,de_para!$A$1:$B$31,2,0)*base!M555,0)</f>
        <v>0</v>
      </c>
      <c r="O555" s="38"/>
      <c r="P555" s="29"/>
      <c r="Q555" s="31">
        <f>IF(base!O555&lt;&gt;"",VLOOKUP(O555,de_para!$A$1:$B$31,2,0)*base!P555,0)</f>
        <v>0</v>
      </c>
      <c r="R555" s="38"/>
      <c r="S555" s="29"/>
      <c r="T555" s="31">
        <f>IF(base!R555&lt;&gt;"",VLOOKUP(R555,de_para!$A$1:$B$31,2,0)*base!S555,0)</f>
        <v>0</v>
      </c>
      <c r="U555" s="30">
        <f t="shared" si="9"/>
        <v>0</v>
      </c>
    </row>
    <row r="556" spans="1:21" x14ac:dyDescent="0.35">
      <c r="A556" s="29"/>
      <c r="B556" s="29"/>
      <c r="C556" s="29"/>
      <c r="D556" s="29"/>
      <c r="E556" s="29"/>
      <c r="F556" s="29"/>
      <c r="G556" s="29"/>
      <c r="H556" s="31">
        <f>IF(base!F556&lt;&gt;"",VLOOKUP(F556,de_para!$A$1:$B$31,2,0)*base!G556,0)</f>
        <v>0</v>
      </c>
      <c r="I556" s="38"/>
      <c r="J556" s="29"/>
      <c r="K556" s="31">
        <f>IF(base!I556&lt;&gt;"",VLOOKUP(I556,de_para!$A$1:$B$31,2,0)*base!J556,0)</f>
        <v>0</v>
      </c>
      <c r="L556" s="38"/>
      <c r="M556" s="29"/>
      <c r="N556" s="31">
        <f>IF(base!L556&lt;&gt;"",VLOOKUP(L556,de_para!$A$1:$B$31,2,0)*base!M556,0)</f>
        <v>0</v>
      </c>
      <c r="O556" s="38"/>
      <c r="P556" s="29"/>
      <c r="Q556" s="31">
        <f>IF(base!O556&lt;&gt;"",VLOOKUP(O556,de_para!$A$1:$B$31,2,0)*base!P556,0)</f>
        <v>0</v>
      </c>
      <c r="R556" s="38"/>
      <c r="S556" s="29"/>
      <c r="T556" s="31">
        <f>IF(base!R556&lt;&gt;"",VLOOKUP(R556,de_para!$A$1:$B$31,2,0)*base!S556,0)</f>
        <v>0</v>
      </c>
      <c r="U556" s="30">
        <f t="shared" si="9"/>
        <v>0</v>
      </c>
    </row>
    <row r="557" spans="1:21" x14ac:dyDescent="0.35">
      <c r="A557" s="29"/>
      <c r="B557" s="29"/>
      <c r="C557" s="29"/>
      <c r="D557" s="29"/>
      <c r="E557" s="29"/>
      <c r="F557" s="29"/>
      <c r="G557" s="29"/>
      <c r="H557" s="31">
        <f>IF(base!F557&lt;&gt;"",VLOOKUP(F557,de_para!$A$1:$B$31,2,0)*base!G557,0)</f>
        <v>0</v>
      </c>
      <c r="I557" s="38"/>
      <c r="J557" s="29"/>
      <c r="K557" s="31">
        <f>IF(base!I557&lt;&gt;"",VLOOKUP(I557,de_para!$A$1:$B$31,2,0)*base!J557,0)</f>
        <v>0</v>
      </c>
      <c r="L557" s="38"/>
      <c r="M557" s="29"/>
      <c r="N557" s="31">
        <f>IF(base!L557&lt;&gt;"",VLOOKUP(L557,de_para!$A$1:$B$31,2,0)*base!M557,0)</f>
        <v>0</v>
      </c>
      <c r="O557" s="38"/>
      <c r="P557" s="29"/>
      <c r="Q557" s="31">
        <f>IF(base!O557&lt;&gt;"",VLOOKUP(O557,de_para!$A$1:$B$31,2,0)*base!P557,0)</f>
        <v>0</v>
      </c>
      <c r="R557" s="38"/>
      <c r="S557" s="29"/>
      <c r="T557" s="31">
        <f>IF(base!R557&lt;&gt;"",VLOOKUP(R557,de_para!$A$1:$B$31,2,0)*base!S557,0)</f>
        <v>0</v>
      </c>
      <c r="U557" s="30">
        <f t="shared" si="9"/>
        <v>0</v>
      </c>
    </row>
    <row r="558" spans="1:21" x14ac:dyDescent="0.35">
      <c r="A558" s="29"/>
      <c r="B558" s="29"/>
      <c r="C558" s="29"/>
      <c r="D558" s="29"/>
      <c r="E558" s="29"/>
      <c r="F558" s="29"/>
      <c r="G558" s="29"/>
      <c r="H558" s="31">
        <f>IF(base!F558&lt;&gt;"",VLOOKUP(F558,de_para!$A$1:$B$31,2,0)*base!G558,0)</f>
        <v>0</v>
      </c>
      <c r="I558" s="38"/>
      <c r="J558" s="29"/>
      <c r="K558" s="31">
        <f>IF(base!I558&lt;&gt;"",VLOOKUP(I558,de_para!$A$1:$B$31,2,0)*base!J558,0)</f>
        <v>0</v>
      </c>
      <c r="L558" s="38"/>
      <c r="M558" s="29"/>
      <c r="N558" s="31">
        <f>IF(base!L558&lt;&gt;"",VLOOKUP(L558,de_para!$A$1:$B$31,2,0)*base!M558,0)</f>
        <v>0</v>
      </c>
      <c r="O558" s="38"/>
      <c r="P558" s="29"/>
      <c r="Q558" s="31">
        <f>IF(base!O558&lt;&gt;"",VLOOKUP(O558,de_para!$A$1:$B$31,2,0)*base!P558,0)</f>
        <v>0</v>
      </c>
      <c r="R558" s="38"/>
      <c r="S558" s="29"/>
      <c r="T558" s="31">
        <f>IF(base!R558&lt;&gt;"",VLOOKUP(R558,de_para!$A$1:$B$31,2,0)*base!S558,0)</f>
        <v>0</v>
      </c>
      <c r="U558" s="30">
        <f t="shared" si="9"/>
        <v>0</v>
      </c>
    </row>
    <row r="559" spans="1:21" x14ac:dyDescent="0.35">
      <c r="A559" s="29"/>
      <c r="B559" s="29"/>
      <c r="C559" s="29"/>
      <c r="D559" s="29"/>
      <c r="E559" s="29"/>
      <c r="F559" s="29"/>
      <c r="G559" s="29"/>
      <c r="H559" s="31">
        <f>IF(base!F559&lt;&gt;"",VLOOKUP(F559,de_para!$A$1:$B$31,2,0)*base!G559,0)</f>
        <v>0</v>
      </c>
      <c r="I559" s="38"/>
      <c r="J559" s="29"/>
      <c r="K559" s="31">
        <f>IF(base!I559&lt;&gt;"",VLOOKUP(I559,de_para!$A$1:$B$31,2,0)*base!J559,0)</f>
        <v>0</v>
      </c>
      <c r="L559" s="38"/>
      <c r="M559" s="29"/>
      <c r="N559" s="31">
        <f>IF(base!L559&lt;&gt;"",VLOOKUP(L559,de_para!$A$1:$B$31,2,0)*base!M559,0)</f>
        <v>0</v>
      </c>
      <c r="O559" s="38"/>
      <c r="P559" s="29"/>
      <c r="Q559" s="31">
        <f>IF(base!O559&lt;&gt;"",VLOOKUP(O559,de_para!$A$1:$B$31,2,0)*base!P559,0)</f>
        <v>0</v>
      </c>
      <c r="R559" s="38"/>
      <c r="S559" s="29"/>
      <c r="T559" s="31">
        <f>IF(base!R559&lt;&gt;"",VLOOKUP(R559,de_para!$A$1:$B$31,2,0)*base!S559,0)</f>
        <v>0</v>
      </c>
      <c r="U559" s="30">
        <f t="shared" si="9"/>
        <v>0</v>
      </c>
    </row>
    <row r="560" spans="1:21" x14ac:dyDescent="0.35">
      <c r="A560" s="29"/>
      <c r="B560" s="29"/>
      <c r="C560" s="29"/>
      <c r="D560" s="29"/>
      <c r="E560" s="29"/>
      <c r="F560" s="29"/>
      <c r="G560" s="29"/>
      <c r="H560" s="31">
        <f>IF(base!F560&lt;&gt;"",VLOOKUP(F560,de_para!$A$1:$B$31,2,0)*base!G560,0)</f>
        <v>0</v>
      </c>
      <c r="I560" s="38"/>
      <c r="J560" s="29"/>
      <c r="K560" s="31">
        <f>IF(base!I560&lt;&gt;"",VLOOKUP(I560,de_para!$A$1:$B$31,2,0)*base!J560,0)</f>
        <v>0</v>
      </c>
      <c r="L560" s="38"/>
      <c r="M560" s="29"/>
      <c r="N560" s="31">
        <f>IF(base!L560&lt;&gt;"",VLOOKUP(L560,de_para!$A$1:$B$31,2,0)*base!M560,0)</f>
        <v>0</v>
      </c>
      <c r="O560" s="38"/>
      <c r="P560" s="29"/>
      <c r="Q560" s="31">
        <f>IF(base!O560&lt;&gt;"",VLOOKUP(O560,de_para!$A$1:$B$31,2,0)*base!P560,0)</f>
        <v>0</v>
      </c>
      <c r="R560" s="38"/>
      <c r="S560" s="29"/>
      <c r="T560" s="31">
        <f>IF(base!R560&lt;&gt;"",VLOOKUP(R560,de_para!$A$1:$B$31,2,0)*base!S560,0)</f>
        <v>0</v>
      </c>
      <c r="U560" s="30">
        <f t="shared" si="9"/>
        <v>0</v>
      </c>
    </row>
    <row r="561" spans="1:21" x14ac:dyDescent="0.35">
      <c r="A561" s="29"/>
      <c r="B561" s="29"/>
      <c r="C561" s="29"/>
      <c r="D561" s="29"/>
      <c r="E561" s="29"/>
      <c r="F561" s="29"/>
      <c r="G561" s="29"/>
      <c r="H561" s="31">
        <f>IF(base!F561&lt;&gt;"",VLOOKUP(F561,de_para!$A$1:$B$31,2,0)*base!G561,0)</f>
        <v>0</v>
      </c>
      <c r="I561" s="38"/>
      <c r="J561" s="29"/>
      <c r="K561" s="31">
        <f>IF(base!I561&lt;&gt;"",VLOOKUP(I561,de_para!$A$1:$B$31,2,0)*base!J561,0)</f>
        <v>0</v>
      </c>
      <c r="L561" s="38"/>
      <c r="M561" s="29"/>
      <c r="N561" s="31">
        <f>IF(base!L561&lt;&gt;"",VLOOKUP(L561,de_para!$A$1:$B$31,2,0)*base!M561,0)</f>
        <v>0</v>
      </c>
      <c r="O561" s="38"/>
      <c r="P561" s="29"/>
      <c r="Q561" s="31">
        <f>IF(base!O561&lt;&gt;"",VLOOKUP(O561,de_para!$A$1:$B$31,2,0)*base!P561,0)</f>
        <v>0</v>
      </c>
      <c r="R561" s="38"/>
      <c r="S561" s="29"/>
      <c r="T561" s="31">
        <f>IF(base!R561&lt;&gt;"",VLOOKUP(R561,de_para!$A$1:$B$31,2,0)*base!S561,0)</f>
        <v>0</v>
      </c>
      <c r="U561" s="30">
        <f t="shared" si="9"/>
        <v>0</v>
      </c>
    </row>
    <row r="562" spans="1:21" x14ac:dyDescent="0.35">
      <c r="A562" s="29"/>
      <c r="B562" s="29"/>
      <c r="C562" s="29"/>
      <c r="D562" s="29"/>
      <c r="E562" s="29"/>
      <c r="F562" s="29"/>
      <c r="G562" s="29"/>
      <c r="H562" s="31">
        <f>IF(base!F562&lt;&gt;"",VLOOKUP(F562,de_para!$A$1:$B$31,2,0)*base!G562,0)</f>
        <v>0</v>
      </c>
      <c r="I562" s="38"/>
      <c r="J562" s="29"/>
      <c r="K562" s="31">
        <f>IF(base!I562&lt;&gt;"",VLOOKUP(I562,de_para!$A$1:$B$31,2,0)*base!J562,0)</f>
        <v>0</v>
      </c>
      <c r="L562" s="38"/>
      <c r="M562" s="29"/>
      <c r="N562" s="31">
        <f>IF(base!L562&lt;&gt;"",VLOOKUP(L562,de_para!$A$1:$B$31,2,0)*base!M562,0)</f>
        <v>0</v>
      </c>
      <c r="O562" s="38"/>
      <c r="P562" s="29"/>
      <c r="Q562" s="31">
        <f>IF(base!O562&lt;&gt;"",VLOOKUP(O562,de_para!$A$1:$B$31,2,0)*base!P562,0)</f>
        <v>0</v>
      </c>
      <c r="R562" s="38"/>
      <c r="S562" s="29"/>
      <c r="T562" s="31">
        <f>IF(base!R562&lt;&gt;"",VLOOKUP(R562,de_para!$A$1:$B$31,2,0)*base!S562,0)</f>
        <v>0</v>
      </c>
      <c r="U562" s="30">
        <f t="shared" si="9"/>
        <v>0</v>
      </c>
    </row>
    <row r="563" spans="1:21" x14ac:dyDescent="0.35">
      <c r="A563" s="29"/>
      <c r="B563" s="29"/>
      <c r="C563" s="29"/>
      <c r="D563" s="29"/>
      <c r="E563" s="29"/>
      <c r="F563" s="29"/>
      <c r="G563" s="29"/>
      <c r="H563" s="31">
        <f>IF(base!F563&lt;&gt;"",VLOOKUP(F563,de_para!$A$1:$B$31,2,0)*base!G563,0)</f>
        <v>0</v>
      </c>
      <c r="I563" s="38"/>
      <c r="J563" s="29"/>
      <c r="K563" s="31">
        <f>IF(base!I563&lt;&gt;"",VLOOKUP(I563,de_para!$A$1:$B$31,2,0)*base!J563,0)</f>
        <v>0</v>
      </c>
      <c r="L563" s="38"/>
      <c r="M563" s="29"/>
      <c r="N563" s="31">
        <f>IF(base!L563&lt;&gt;"",VLOOKUP(L563,de_para!$A$1:$B$31,2,0)*base!M563,0)</f>
        <v>0</v>
      </c>
      <c r="O563" s="38"/>
      <c r="P563" s="29"/>
      <c r="Q563" s="31">
        <f>IF(base!O563&lt;&gt;"",VLOOKUP(O563,de_para!$A$1:$B$31,2,0)*base!P563,0)</f>
        <v>0</v>
      </c>
      <c r="R563" s="38"/>
      <c r="S563" s="29"/>
      <c r="T563" s="31">
        <f>IF(base!R563&lt;&gt;"",VLOOKUP(R563,de_para!$A$1:$B$31,2,0)*base!S563,0)</f>
        <v>0</v>
      </c>
      <c r="U563" s="30">
        <f t="shared" si="9"/>
        <v>0</v>
      </c>
    </row>
    <row r="564" spans="1:21" x14ac:dyDescent="0.35">
      <c r="A564" s="29"/>
      <c r="B564" s="29"/>
      <c r="C564" s="29"/>
      <c r="D564" s="29"/>
      <c r="E564" s="29"/>
      <c r="F564" s="29"/>
      <c r="G564" s="29"/>
      <c r="H564" s="31">
        <f>IF(base!F564&lt;&gt;"",VLOOKUP(F564,de_para!$A$1:$B$31,2,0)*base!G564,0)</f>
        <v>0</v>
      </c>
      <c r="I564" s="38"/>
      <c r="J564" s="29"/>
      <c r="K564" s="31">
        <f>IF(base!I564&lt;&gt;"",VLOOKUP(I564,de_para!$A$1:$B$31,2,0)*base!J564,0)</f>
        <v>0</v>
      </c>
      <c r="L564" s="38"/>
      <c r="M564" s="29"/>
      <c r="N564" s="31">
        <f>IF(base!L564&lt;&gt;"",VLOOKUP(L564,de_para!$A$1:$B$31,2,0)*base!M564,0)</f>
        <v>0</v>
      </c>
      <c r="O564" s="38"/>
      <c r="P564" s="29"/>
      <c r="Q564" s="31">
        <f>IF(base!O564&lt;&gt;"",VLOOKUP(O564,de_para!$A$1:$B$31,2,0)*base!P564,0)</f>
        <v>0</v>
      </c>
      <c r="R564" s="38"/>
      <c r="S564" s="29"/>
      <c r="T564" s="31">
        <f>IF(base!R564&lt;&gt;"",VLOOKUP(R564,de_para!$A$1:$B$31,2,0)*base!S564,0)</f>
        <v>0</v>
      </c>
      <c r="U564" s="30">
        <f t="shared" si="9"/>
        <v>0</v>
      </c>
    </row>
    <row r="565" spans="1:21" x14ac:dyDescent="0.35">
      <c r="A565" s="29"/>
      <c r="B565" s="29"/>
      <c r="C565" s="29"/>
      <c r="D565" s="29"/>
      <c r="E565" s="29"/>
      <c r="F565" s="29"/>
      <c r="G565" s="29"/>
      <c r="H565" s="31">
        <f>IF(base!F565&lt;&gt;"",VLOOKUP(F565,de_para!$A$1:$B$31,2,0)*base!G565,0)</f>
        <v>0</v>
      </c>
      <c r="I565" s="38"/>
      <c r="J565" s="29"/>
      <c r="K565" s="31">
        <f>IF(base!I565&lt;&gt;"",VLOOKUP(I565,de_para!$A$1:$B$31,2,0)*base!J565,0)</f>
        <v>0</v>
      </c>
      <c r="L565" s="38"/>
      <c r="M565" s="29"/>
      <c r="N565" s="31">
        <f>IF(base!L565&lt;&gt;"",VLOOKUP(L565,de_para!$A$1:$B$31,2,0)*base!M565,0)</f>
        <v>0</v>
      </c>
      <c r="O565" s="38"/>
      <c r="P565" s="29"/>
      <c r="Q565" s="31">
        <f>IF(base!O565&lt;&gt;"",VLOOKUP(O565,de_para!$A$1:$B$31,2,0)*base!P565,0)</f>
        <v>0</v>
      </c>
      <c r="R565" s="38"/>
      <c r="S565" s="29"/>
      <c r="T565" s="31">
        <f>IF(base!R565&lt;&gt;"",VLOOKUP(R565,de_para!$A$1:$B$31,2,0)*base!S565,0)</f>
        <v>0</v>
      </c>
      <c r="U565" s="30">
        <f t="shared" si="9"/>
        <v>0</v>
      </c>
    </row>
    <row r="566" spans="1:21" x14ac:dyDescent="0.35">
      <c r="A566" s="29"/>
      <c r="B566" s="29"/>
      <c r="C566" s="29"/>
      <c r="D566" s="29"/>
      <c r="E566" s="29"/>
      <c r="F566" s="29"/>
      <c r="G566" s="29"/>
      <c r="H566" s="31">
        <f>IF(base!F566&lt;&gt;"",VLOOKUP(F566,de_para!$A$1:$B$31,2,0)*base!G566,0)</f>
        <v>0</v>
      </c>
      <c r="I566" s="38"/>
      <c r="J566" s="29"/>
      <c r="K566" s="31">
        <f>IF(base!I566&lt;&gt;"",VLOOKUP(I566,de_para!$A$1:$B$31,2,0)*base!J566,0)</f>
        <v>0</v>
      </c>
      <c r="L566" s="38"/>
      <c r="M566" s="29"/>
      <c r="N566" s="31">
        <f>IF(base!L566&lt;&gt;"",VLOOKUP(L566,de_para!$A$1:$B$31,2,0)*base!M566,0)</f>
        <v>0</v>
      </c>
      <c r="O566" s="38"/>
      <c r="P566" s="29"/>
      <c r="Q566" s="31">
        <f>IF(base!O566&lt;&gt;"",VLOOKUP(O566,de_para!$A$1:$B$31,2,0)*base!P566,0)</f>
        <v>0</v>
      </c>
      <c r="R566" s="38"/>
      <c r="S566" s="29"/>
      <c r="T566" s="31">
        <f>IF(base!R566&lt;&gt;"",VLOOKUP(R566,de_para!$A$1:$B$31,2,0)*base!S566,0)</f>
        <v>0</v>
      </c>
      <c r="U566" s="30">
        <f t="shared" si="9"/>
        <v>0</v>
      </c>
    </row>
    <row r="567" spans="1:21" x14ac:dyDescent="0.35">
      <c r="A567" s="29"/>
      <c r="B567" s="29"/>
      <c r="C567" s="29"/>
      <c r="D567" s="29"/>
      <c r="E567" s="29"/>
      <c r="F567" s="29"/>
      <c r="G567" s="29"/>
      <c r="H567" s="31">
        <f>IF(base!F567&lt;&gt;"",VLOOKUP(F567,de_para!$A$1:$B$31,2,0)*base!G567,0)</f>
        <v>0</v>
      </c>
      <c r="I567" s="38"/>
      <c r="J567" s="29"/>
      <c r="K567" s="31">
        <f>IF(base!I567&lt;&gt;"",VLOOKUP(I567,de_para!$A$1:$B$31,2,0)*base!J567,0)</f>
        <v>0</v>
      </c>
      <c r="L567" s="38"/>
      <c r="M567" s="29"/>
      <c r="N567" s="31">
        <f>IF(base!L567&lt;&gt;"",VLOOKUP(L567,de_para!$A$1:$B$31,2,0)*base!M567,0)</f>
        <v>0</v>
      </c>
      <c r="O567" s="38"/>
      <c r="P567" s="29"/>
      <c r="Q567" s="31">
        <f>IF(base!O567&lt;&gt;"",VLOOKUP(O567,de_para!$A$1:$B$31,2,0)*base!P567,0)</f>
        <v>0</v>
      </c>
      <c r="R567" s="38"/>
      <c r="S567" s="29"/>
      <c r="T567" s="31">
        <f>IF(base!R567&lt;&gt;"",VLOOKUP(R567,de_para!$A$1:$B$31,2,0)*base!S567,0)</f>
        <v>0</v>
      </c>
      <c r="U567" s="30">
        <f t="shared" ref="U567:U630" si="10">H567+K567+N567+Q567+T567</f>
        <v>0</v>
      </c>
    </row>
    <row r="568" spans="1:21" x14ac:dyDescent="0.35">
      <c r="A568" s="29"/>
      <c r="B568" s="29"/>
      <c r="C568" s="29"/>
      <c r="D568" s="29"/>
      <c r="E568" s="29"/>
      <c r="F568" s="29"/>
      <c r="G568" s="29"/>
      <c r="H568" s="31">
        <f>IF(base!F568&lt;&gt;"",VLOOKUP(F568,de_para!$A$1:$B$31,2,0)*base!G568,0)</f>
        <v>0</v>
      </c>
      <c r="I568" s="38"/>
      <c r="J568" s="29"/>
      <c r="K568" s="31">
        <f>IF(base!I568&lt;&gt;"",VLOOKUP(I568,de_para!$A$1:$B$31,2,0)*base!J568,0)</f>
        <v>0</v>
      </c>
      <c r="L568" s="38"/>
      <c r="M568" s="29"/>
      <c r="N568" s="31">
        <f>IF(base!L568&lt;&gt;"",VLOOKUP(L568,de_para!$A$1:$B$31,2,0)*base!M568,0)</f>
        <v>0</v>
      </c>
      <c r="O568" s="38"/>
      <c r="P568" s="29"/>
      <c r="Q568" s="31">
        <f>IF(base!O568&lt;&gt;"",VLOOKUP(O568,de_para!$A$1:$B$31,2,0)*base!P568,0)</f>
        <v>0</v>
      </c>
      <c r="R568" s="38"/>
      <c r="S568" s="29"/>
      <c r="T568" s="31">
        <f>IF(base!R568&lt;&gt;"",VLOOKUP(R568,de_para!$A$1:$B$31,2,0)*base!S568,0)</f>
        <v>0</v>
      </c>
      <c r="U568" s="30">
        <f t="shared" si="10"/>
        <v>0</v>
      </c>
    </row>
    <row r="569" spans="1:21" x14ac:dyDescent="0.35">
      <c r="A569" s="29"/>
      <c r="B569" s="29"/>
      <c r="C569" s="29"/>
      <c r="D569" s="29"/>
      <c r="E569" s="29"/>
      <c r="F569" s="29"/>
      <c r="G569" s="29"/>
      <c r="H569" s="31">
        <f>IF(base!F569&lt;&gt;"",VLOOKUP(F569,de_para!$A$1:$B$31,2,0)*base!G569,0)</f>
        <v>0</v>
      </c>
      <c r="I569" s="38"/>
      <c r="J569" s="29"/>
      <c r="K569" s="31">
        <f>IF(base!I569&lt;&gt;"",VLOOKUP(I569,de_para!$A$1:$B$31,2,0)*base!J569,0)</f>
        <v>0</v>
      </c>
      <c r="L569" s="38"/>
      <c r="M569" s="29"/>
      <c r="N569" s="31">
        <f>IF(base!L569&lt;&gt;"",VLOOKUP(L569,de_para!$A$1:$B$31,2,0)*base!M569,0)</f>
        <v>0</v>
      </c>
      <c r="O569" s="38"/>
      <c r="P569" s="29"/>
      <c r="Q569" s="31">
        <f>IF(base!O569&lt;&gt;"",VLOOKUP(O569,de_para!$A$1:$B$31,2,0)*base!P569,0)</f>
        <v>0</v>
      </c>
      <c r="R569" s="38"/>
      <c r="S569" s="29"/>
      <c r="T569" s="31">
        <f>IF(base!R569&lt;&gt;"",VLOOKUP(R569,de_para!$A$1:$B$31,2,0)*base!S569,0)</f>
        <v>0</v>
      </c>
      <c r="U569" s="30">
        <f t="shared" si="10"/>
        <v>0</v>
      </c>
    </row>
    <row r="570" spans="1:21" x14ac:dyDescent="0.35">
      <c r="A570" s="29"/>
      <c r="B570" s="29"/>
      <c r="C570" s="29"/>
      <c r="D570" s="29"/>
      <c r="E570" s="29"/>
      <c r="F570" s="29"/>
      <c r="G570" s="29"/>
      <c r="H570" s="31">
        <f>IF(base!F570&lt;&gt;"",VLOOKUP(F570,de_para!$A$1:$B$31,2,0)*base!G570,0)</f>
        <v>0</v>
      </c>
      <c r="I570" s="38"/>
      <c r="J570" s="29"/>
      <c r="K570" s="31">
        <f>IF(base!I570&lt;&gt;"",VLOOKUP(I570,de_para!$A$1:$B$31,2,0)*base!J570,0)</f>
        <v>0</v>
      </c>
      <c r="L570" s="38"/>
      <c r="M570" s="29"/>
      <c r="N570" s="31">
        <f>IF(base!L570&lt;&gt;"",VLOOKUP(L570,de_para!$A$1:$B$31,2,0)*base!M570,0)</f>
        <v>0</v>
      </c>
      <c r="O570" s="38"/>
      <c r="P570" s="29"/>
      <c r="Q570" s="31">
        <f>IF(base!O570&lt;&gt;"",VLOOKUP(O570,de_para!$A$1:$B$31,2,0)*base!P570,0)</f>
        <v>0</v>
      </c>
      <c r="R570" s="38"/>
      <c r="S570" s="29"/>
      <c r="T570" s="31">
        <f>IF(base!R570&lt;&gt;"",VLOOKUP(R570,de_para!$A$1:$B$31,2,0)*base!S570,0)</f>
        <v>0</v>
      </c>
      <c r="U570" s="30">
        <f t="shared" si="10"/>
        <v>0</v>
      </c>
    </row>
    <row r="571" spans="1:21" x14ac:dyDescent="0.35">
      <c r="A571" s="29"/>
      <c r="B571" s="29"/>
      <c r="C571" s="29"/>
      <c r="D571" s="29"/>
      <c r="E571" s="29"/>
      <c r="F571" s="29"/>
      <c r="G571" s="29"/>
      <c r="H571" s="31">
        <f>IF(base!F571&lt;&gt;"",VLOOKUP(F571,de_para!$A$1:$B$31,2,0)*base!G571,0)</f>
        <v>0</v>
      </c>
      <c r="I571" s="38"/>
      <c r="J571" s="29"/>
      <c r="K571" s="31">
        <f>IF(base!I571&lt;&gt;"",VLOOKUP(I571,de_para!$A$1:$B$31,2,0)*base!J571,0)</f>
        <v>0</v>
      </c>
      <c r="L571" s="38"/>
      <c r="M571" s="29"/>
      <c r="N571" s="31">
        <f>IF(base!L571&lt;&gt;"",VLOOKUP(L571,de_para!$A$1:$B$31,2,0)*base!M571,0)</f>
        <v>0</v>
      </c>
      <c r="O571" s="38"/>
      <c r="P571" s="29"/>
      <c r="Q571" s="31">
        <f>IF(base!O571&lt;&gt;"",VLOOKUP(O571,de_para!$A$1:$B$31,2,0)*base!P571,0)</f>
        <v>0</v>
      </c>
      <c r="R571" s="38"/>
      <c r="S571" s="29"/>
      <c r="T571" s="31">
        <f>IF(base!R571&lt;&gt;"",VLOOKUP(R571,de_para!$A$1:$B$31,2,0)*base!S571,0)</f>
        <v>0</v>
      </c>
      <c r="U571" s="30">
        <f t="shared" si="10"/>
        <v>0</v>
      </c>
    </row>
    <row r="572" spans="1:21" x14ac:dyDescent="0.35">
      <c r="A572" s="29"/>
      <c r="B572" s="29"/>
      <c r="C572" s="29"/>
      <c r="D572" s="29"/>
      <c r="E572" s="29"/>
      <c r="F572" s="29"/>
      <c r="G572" s="29"/>
      <c r="H572" s="31">
        <f>IF(base!F572&lt;&gt;"",VLOOKUP(F572,de_para!$A$1:$B$31,2,0)*base!G572,0)</f>
        <v>0</v>
      </c>
      <c r="I572" s="38"/>
      <c r="J572" s="29"/>
      <c r="K572" s="31">
        <f>IF(base!I572&lt;&gt;"",VLOOKUP(I572,de_para!$A$1:$B$31,2,0)*base!J572,0)</f>
        <v>0</v>
      </c>
      <c r="L572" s="38"/>
      <c r="M572" s="29"/>
      <c r="N572" s="31">
        <f>IF(base!L572&lt;&gt;"",VLOOKUP(L572,de_para!$A$1:$B$31,2,0)*base!M572,0)</f>
        <v>0</v>
      </c>
      <c r="O572" s="38"/>
      <c r="P572" s="29"/>
      <c r="Q572" s="31">
        <f>IF(base!O572&lt;&gt;"",VLOOKUP(O572,de_para!$A$1:$B$31,2,0)*base!P572,0)</f>
        <v>0</v>
      </c>
      <c r="R572" s="38"/>
      <c r="S572" s="29"/>
      <c r="T572" s="31">
        <f>IF(base!R572&lt;&gt;"",VLOOKUP(R572,de_para!$A$1:$B$31,2,0)*base!S572,0)</f>
        <v>0</v>
      </c>
      <c r="U572" s="30">
        <f t="shared" si="10"/>
        <v>0</v>
      </c>
    </row>
    <row r="573" spans="1:21" x14ac:dyDescent="0.35">
      <c r="A573" s="29"/>
      <c r="B573" s="29"/>
      <c r="C573" s="29"/>
      <c r="D573" s="29"/>
      <c r="E573" s="29"/>
      <c r="F573" s="29"/>
      <c r="G573" s="29"/>
      <c r="H573" s="31">
        <f>IF(base!F573&lt;&gt;"",VLOOKUP(F573,de_para!$A$1:$B$31,2,0)*base!G573,0)</f>
        <v>0</v>
      </c>
      <c r="I573" s="38"/>
      <c r="J573" s="29"/>
      <c r="K573" s="31">
        <f>IF(base!I573&lt;&gt;"",VLOOKUP(I573,de_para!$A$1:$B$31,2,0)*base!J573,0)</f>
        <v>0</v>
      </c>
      <c r="L573" s="38"/>
      <c r="M573" s="29"/>
      <c r="N573" s="31">
        <f>IF(base!L573&lt;&gt;"",VLOOKUP(L573,de_para!$A$1:$B$31,2,0)*base!M573,0)</f>
        <v>0</v>
      </c>
      <c r="O573" s="38"/>
      <c r="P573" s="29"/>
      <c r="Q573" s="31">
        <f>IF(base!O573&lt;&gt;"",VLOOKUP(O573,de_para!$A$1:$B$31,2,0)*base!P573,0)</f>
        <v>0</v>
      </c>
      <c r="R573" s="38"/>
      <c r="S573" s="29"/>
      <c r="T573" s="31">
        <f>IF(base!R573&lt;&gt;"",VLOOKUP(R573,de_para!$A$1:$B$31,2,0)*base!S573,0)</f>
        <v>0</v>
      </c>
      <c r="U573" s="30">
        <f t="shared" si="10"/>
        <v>0</v>
      </c>
    </row>
    <row r="574" spans="1:21" x14ac:dyDescent="0.35">
      <c r="A574" s="29"/>
      <c r="B574" s="29"/>
      <c r="C574" s="29"/>
      <c r="D574" s="29"/>
      <c r="E574" s="29"/>
      <c r="F574" s="29"/>
      <c r="G574" s="29"/>
      <c r="H574" s="31">
        <f>IF(base!F574&lt;&gt;"",VLOOKUP(F574,de_para!$A$1:$B$31,2,0)*base!G574,0)</f>
        <v>0</v>
      </c>
      <c r="I574" s="38"/>
      <c r="J574" s="29"/>
      <c r="K574" s="31">
        <f>IF(base!I574&lt;&gt;"",VLOOKUP(I574,de_para!$A$1:$B$31,2,0)*base!J574,0)</f>
        <v>0</v>
      </c>
      <c r="L574" s="38"/>
      <c r="M574" s="29"/>
      <c r="N574" s="31">
        <f>IF(base!L574&lt;&gt;"",VLOOKUP(L574,de_para!$A$1:$B$31,2,0)*base!M574,0)</f>
        <v>0</v>
      </c>
      <c r="O574" s="38"/>
      <c r="P574" s="29"/>
      <c r="Q574" s="31">
        <f>IF(base!O574&lt;&gt;"",VLOOKUP(O574,de_para!$A$1:$B$31,2,0)*base!P574,0)</f>
        <v>0</v>
      </c>
      <c r="R574" s="38"/>
      <c r="S574" s="29"/>
      <c r="T574" s="31">
        <f>IF(base!R574&lt;&gt;"",VLOOKUP(R574,de_para!$A$1:$B$31,2,0)*base!S574,0)</f>
        <v>0</v>
      </c>
      <c r="U574" s="30">
        <f t="shared" si="10"/>
        <v>0</v>
      </c>
    </row>
    <row r="575" spans="1:21" x14ac:dyDescent="0.35">
      <c r="A575" s="29"/>
      <c r="B575" s="29"/>
      <c r="C575" s="29"/>
      <c r="D575" s="29"/>
      <c r="E575" s="29"/>
      <c r="F575" s="29"/>
      <c r="G575" s="29"/>
      <c r="H575" s="31">
        <f>IF(base!F575&lt;&gt;"",VLOOKUP(F575,de_para!$A$1:$B$31,2,0)*base!G575,0)</f>
        <v>0</v>
      </c>
      <c r="I575" s="38"/>
      <c r="J575" s="29"/>
      <c r="K575" s="31">
        <f>IF(base!I575&lt;&gt;"",VLOOKUP(I575,de_para!$A$1:$B$31,2,0)*base!J575,0)</f>
        <v>0</v>
      </c>
      <c r="L575" s="38"/>
      <c r="M575" s="29"/>
      <c r="N575" s="31">
        <f>IF(base!L575&lt;&gt;"",VLOOKUP(L575,de_para!$A$1:$B$31,2,0)*base!M575,0)</f>
        <v>0</v>
      </c>
      <c r="O575" s="38"/>
      <c r="P575" s="29"/>
      <c r="Q575" s="31">
        <f>IF(base!O575&lt;&gt;"",VLOOKUP(O575,de_para!$A$1:$B$31,2,0)*base!P575,0)</f>
        <v>0</v>
      </c>
      <c r="R575" s="38"/>
      <c r="S575" s="29"/>
      <c r="T575" s="31">
        <f>IF(base!R575&lt;&gt;"",VLOOKUP(R575,de_para!$A$1:$B$31,2,0)*base!S575,0)</f>
        <v>0</v>
      </c>
      <c r="U575" s="30">
        <f t="shared" si="10"/>
        <v>0</v>
      </c>
    </row>
    <row r="576" spans="1:21" x14ac:dyDescent="0.35">
      <c r="A576" s="29"/>
      <c r="B576" s="29"/>
      <c r="C576" s="29"/>
      <c r="D576" s="29"/>
      <c r="E576" s="29"/>
      <c r="F576" s="29"/>
      <c r="G576" s="29"/>
      <c r="H576" s="31">
        <f>IF(base!F576&lt;&gt;"",VLOOKUP(F576,de_para!$A$1:$B$31,2,0)*base!G576,0)</f>
        <v>0</v>
      </c>
      <c r="I576" s="38"/>
      <c r="J576" s="29"/>
      <c r="K576" s="31">
        <f>IF(base!I576&lt;&gt;"",VLOOKUP(I576,de_para!$A$1:$B$31,2,0)*base!J576,0)</f>
        <v>0</v>
      </c>
      <c r="L576" s="38"/>
      <c r="M576" s="29"/>
      <c r="N576" s="31">
        <f>IF(base!L576&lt;&gt;"",VLOOKUP(L576,de_para!$A$1:$B$31,2,0)*base!M576,0)</f>
        <v>0</v>
      </c>
      <c r="O576" s="38"/>
      <c r="P576" s="29"/>
      <c r="Q576" s="31">
        <f>IF(base!O576&lt;&gt;"",VLOOKUP(O576,de_para!$A$1:$B$31,2,0)*base!P576,0)</f>
        <v>0</v>
      </c>
      <c r="R576" s="38"/>
      <c r="S576" s="29"/>
      <c r="T576" s="31">
        <f>IF(base!R576&lt;&gt;"",VLOOKUP(R576,de_para!$A$1:$B$31,2,0)*base!S576,0)</f>
        <v>0</v>
      </c>
      <c r="U576" s="30">
        <f t="shared" si="10"/>
        <v>0</v>
      </c>
    </row>
    <row r="577" spans="1:21" x14ac:dyDescent="0.35">
      <c r="A577" s="29"/>
      <c r="B577" s="29"/>
      <c r="C577" s="29"/>
      <c r="D577" s="29"/>
      <c r="E577" s="29"/>
      <c r="F577" s="29"/>
      <c r="G577" s="29"/>
      <c r="H577" s="31">
        <f>IF(base!F577&lt;&gt;"",VLOOKUP(F577,de_para!$A$1:$B$31,2,0)*base!G577,0)</f>
        <v>0</v>
      </c>
      <c r="I577" s="38"/>
      <c r="J577" s="29"/>
      <c r="K577" s="31">
        <f>IF(base!I577&lt;&gt;"",VLOOKUP(I577,de_para!$A$1:$B$31,2,0)*base!J577,0)</f>
        <v>0</v>
      </c>
      <c r="L577" s="38"/>
      <c r="M577" s="29"/>
      <c r="N577" s="31">
        <f>IF(base!L577&lt;&gt;"",VLOOKUP(L577,de_para!$A$1:$B$31,2,0)*base!M577,0)</f>
        <v>0</v>
      </c>
      <c r="O577" s="38"/>
      <c r="P577" s="29"/>
      <c r="Q577" s="31">
        <f>IF(base!O577&lt;&gt;"",VLOOKUP(O577,de_para!$A$1:$B$31,2,0)*base!P577,0)</f>
        <v>0</v>
      </c>
      <c r="R577" s="38"/>
      <c r="S577" s="29"/>
      <c r="T577" s="31">
        <f>IF(base!R577&lt;&gt;"",VLOOKUP(R577,de_para!$A$1:$B$31,2,0)*base!S577,0)</f>
        <v>0</v>
      </c>
      <c r="U577" s="30">
        <f t="shared" si="10"/>
        <v>0</v>
      </c>
    </row>
    <row r="578" spans="1:21" x14ac:dyDescent="0.35">
      <c r="A578" s="29"/>
      <c r="B578" s="29"/>
      <c r="C578" s="29"/>
      <c r="D578" s="29"/>
      <c r="E578" s="29"/>
      <c r="F578" s="29"/>
      <c r="G578" s="29"/>
      <c r="H578" s="31">
        <f>IF(base!F578&lt;&gt;"",VLOOKUP(F578,de_para!$A$1:$B$31,2,0)*base!G578,0)</f>
        <v>0</v>
      </c>
      <c r="I578" s="38"/>
      <c r="J578" s="29"/>
      <c r="K578" s="31">
        <f>IF(base!I578&lt;&gt;"",VLOOKUP(I578,de_para!$A$1:$B$31,2,0)*base!J578,0)</f>
        <v>0</v>
      </c>
      <c r="L578" s="38"/>
      <c r="M578" s="29"/>
      <c r="N578" s="31">
        <f>IF(base!L578&lt;&gt;"",VLOOKUP(L578,de_para!$A$1:$B$31,2,0)*base!M578,0)</f>
        <v>0</v>
      </c>
      <c r="O578" s="38"/>
      <c r="P578" s="29"/>
      <c r="Q578" s="31">
        <f>IF(base!O578&lt;&gt;"",VLOOKUP(O578,de_para!$A$1:$B$31,2,0)*base!P578,0)</f>
        <v>0</v>
      </c>
      <c r="R578" s="38"/>
      <c r="S578" s="29"/>
      <c r="T578" s="31">
        <f>IF(base!R578&lt;&gt;"",VLOOKUP(R578,de_para!$A$1:$B$31,2,0)*base!S578,0)</f>
        <v>0</v>
      </c>
      <c r="U578" s="30">
        <f t="shared" si="10"/>
        <v>0</v>
      </c>
    </row>
    <row r="579" spans="1:21" x14ac:dyDescent="0.35">
      <c r="A579" s="29"/>
      <c r="B579" s="29"/>
      <c r="C579" s="29"/>
      <c r="D579" s="29"/>
      <c r="E579" s="29"/>
      <c r="F579" s="29"/>
      <c r="G579" s="29"/>
      <c r="H579" s="31">
        <f>IF(base!F579&lt;&gt;"",VLOOKUP(F579,de_para!$A$1:$B$31,2,0)*base!G579,0)</f>
        <v>0</v>
      </c>
      <c r="I579" s="38"/>
      <c r="J579" s="29"/>
      <c r="K579" s="31">
        <f>IF(base!I579&lt;&gt;"",VLOOKUP(I579,de_para!$A$1:$B$31,2,0)*base!J579,0)</f>
        <v>0</v>
      </c>
      <c r="L579" s="38"/>
      <c r="M579" s="29"/>
      <c r="N579" s="31">
        <f>IF(base!L579&lt;&gt;"",VLOOKUP(L579,de_para!$A$1:$B$31,2,0)*base!M579,0)</f>
        <v>0</v>
      </c>
      <c r="O579" s="38"/>
      <c r="P579" s="29"/>
      <c r="Q579" s="31">
        <f>IF(base!O579&lt;&gt;"",VLOOKUP(O579,de_para!$A$1:$B$31,2,0)*base!P579,0)</f>
        <v>0</v>
      </c>
      <c r="R579" s="38"/>
      <c r="S579" s="29"/>
      <c r="T579" s="31">
        <f>IF(base!R579&lt;&gt;"",VLOOKUP(R579,de_para!$A$1:$B$31,2,0)*base!S579,0)</f>
        <v>0</v>
      </c>
      <c r="U579" s="30">
        <f t="shared" si="10"/>
        <v>0</v>
      </c>
    </row>
    <row r="580" spans="1:21" x14ac:dyDescent="0.35">
      <c r="A580" s="29"/>
      <c r="B580" s="29"/>
      <c r="C580" s="29"/>
      <c r="D580" s="29"/>
      <c r="E580" s="29"/>
      <c r="F580" s="29"/>
      <c r="G580" s="29"/>
      <c r="H580" s="31">
        <f>IF(base!F580&lt;&gt;"",VLOOKUP(F580,de_para!$A$1:$B$31,2,0)*base!G580,0)</f>
        <v>0</v>
      </c>
      <c r="I580" s="38"/>
      <c r="J580" s="29"/>
      <c r="K580" s="31">
        <f>IF(base!I580&lt;&gt;"",VLOOKUP(I580,de_para!$A$1:$B$31,2,0)*base!J580,0)</f>
        <v>0</v>
      </c>
      <c r="L580" s="38"/>
      <c r="M580" s="29"/>
      <c r="N580" s="31">
        <f>IF(base!L580&lt;&gt;"",VLOOKUP(L580,de_para!$A$1:$B$31,2,0)*base!M580,0)</f>
        <v>0</v>
      </c>
      <c r="O580" s="38"/>
      <c r="P580" s="29"/>
      <c r="Q580" s="31">
        <f>IF(base!O580&lt;&gt;"",VLOOKUP(O580,de_para!$A$1:$B$31,2,0)*base!P580,0)</f>
        <v>0</v>
      </c>
      <c r="R580" s="38"/>
      <c r="S580" s="29"/>
      <c r="T580" s="31">
        <f>IF(base!R580&lt;&gt;"",VLOOKUP(R580,de_para!$A$1:$B$31,2,0)*base!S580,0)</f>
        <v>0</v>
      </c>
      <c r="U580" s="30">
        <f t="shared" si="10"/>
        <v>0</v>
      </c>
    </row>
    <row r="581" spans="1:21" x14ac:dyDescent="0.35">
      <c r="A581" s="29"/>
      <c r="B581" s="29"/>
      <c r="C581" s="29"/>
      <c r="D581" s="29"/>
      <c r="E581" s="29"/>
      <c r="F581" s="29"/>
      <c r="G581" s="29"/>
      <c r="H581" s="31">
        <f>IF(base!F581&lt;&gt;"",VLOOKUP(F581,de_para!$A$1:$B$31,2,0)*base!G581,0)</f>
        <v>0</v>
      </c>
      <c r="I581" s="38"/>
      <c r="J581" s="29"/>
      <c r="K581" s="31">
        <f>IF(base!I581&lt;&gt;"",VLOOKUP(I581,de_para!$A$1:$B$31,2,0)*base!J581,0)</f>
        <v>0</v>
      </c>
      <c r="L581" s="38"/>
      <c r="M581" s="29"/>
      <c r="N581" s="31">
        <f>IF(base!L581&lt;&gt;"",VLOOKUP(L581,de_para!$A$1:$B$31,2,0)*base!M581,0)</f>
        <v>0</v>
      </c>
      <c r="O581" s="38"/>
      <c r="P581" s="29"/>
      <c r="Q581" s="31">
        <f>IF(base!O581&lt;&gt;"",VLOOKUP(O581,de_para!$A$1:$B$31,2,0)*base!P581,0)</f>
        <v>0</v>
      </c>
      <c r="R581" s="38"/>
      <c r="S581" s="29"/>
      <c r="T581" s="31">
        <f>IF(base!R581&lt;&gt;"",VLOOKUP(R581,de_para!$A$1:$B$31,2,0)*base!S581,0)</f>
        <v>0</v>
      </c>
      <c r="U581" s="30">
        <f t="shared" si="10"/>
        <v>0</v>
      </c>
    </row>
    <row r="582" spans="1:21" x14ac:dyDescent="0.35">
      <c r="A582" s="29"/>
      <c r="B582" s="29"/>
      <c r="C582" s="29"/>
      <c r="D582" s="29"/>
      <c r="E582" s="29"/>
      <c r="F582" s="29"/>
      <c r="G582" s="29"/>
      <c r="H582" s="31">
        <f>IF(base!F582&lt;&gt;"",VLOOKUP(F582,de_para!$A$1:$B$31,2,0)*base!G582,0)</f>
        <v>0</v>
      </c>
      <c r="I582" s="38"/>
      <c r="J582" s="29"/>
      <c r="K582" s="31">
        <f>IF(base!I582&lt;&gt;"",VLOOKUP(I582,de_para!$A$1:$B$31,2,0)*base!J582,0)</f>
        <v>0</v>
      </c>
      <c r="L582" s="38"/>
      <c r="M582" s="29"/>
      <c r="N582" s="31">
        <f>IF(base!L582&lt;&gt;"",VLOOKUP(L582,de_para!$A$1:$B$31,2,0)*base!M582,0)</f>
        <v>0</v>
      </c>
      <c r="O582" s="38"/>
      <c r="P582" s="29"/>
      <c r="Q582" s="31">
        <f>IF(base!O582&lt;&gt;"",VLOOKUP(O582,de_para!$A$1:$B$31,2,0)*base!P582,0)</f>
        <v>0</v>
      </c>
      <c r="R582" s="38"/>
      <c r="S582" s="29"/>
      <c r="T582" s="31">
        <f>IF(base!R582&lt;&gt;"",VLOOKUP(R582,de_para!$A$1:$B$31,2,0)*base!S582,0)</f>
        <v>0</v>
      </c>
      <c r="U582" s="30">
        <f t="shared" si="10"/>
        <v>0</v>
      </c>
    </row>
    <row r="583" spans="1:21" x14ac:dyDescent="0.35">
      <c r="A583" s="29"/>
      <c r="B583" s="29"/>
      <c r="C583" s="29"/>
      <c r="D583" s="29"/>
      <c r="E583" s="29"/>
      <c r="F583" s="29"/>
      <c r="G583" s="29"/>
      <c r="H583" s="31">
        <f>IF(base!F583&lt;&gt;"",VLOOKUP(F583,de_para!$A$1:$B$31,2,0)*base!G583,0)</f>
        <v>0</v>
      </c>
      <c r="I583" s="38"/>
      <c r="J583" s="29"/>
      <c r="K583" s="31">
        <f>IF(base!I583&lt;&gt;"",VLOOKUP(I583,de_para!$A$1:$B$31,2,0)*base!J583,0)</f>
        <v>0</v>
      </c>
      <c r="L583" s="38"/>
      <c r="M583" s="29"/>
      <c r="N583" s="31">
        <f>IF(base!L583&lt;&gt;"",VLOOKUP(L583,de_para!$A$1:$B$31,2,0)*base!M583,0)</f>
        <v>0</v>
      </c>
      <c r="O583" s="38"/>
      <c r="P583" s="29"/>
      <c r="Q583" s="31">
        <f>IF(base!O583&lt;&gt;"",VLOOKUP(O583,de_para!$A$1:$B$31,2,0)*base!P583,0)</f>
        <v>0</v>
      </c>
      <c r="R583" s="38"/>
      <c r="S583" s="29"/>
      <c r="T583" s="31">
        <f>IF(base!R583&lt;&gt;"",VLOOKUP(R583,de_para!$A$1:$B$31,2,0)*base!S583,0)</f>
        <v>0</v>
      </c>
      <c r="U583" s="30">
        <f t="shared" si="10"/>
        <v>0</v>
      </c>
    </row>
    <row r="584" spans="1:21" x14ac:dyDescent="0.35">
      <c r="A584" s="29"/>
      <c r="B584" s="29"/>
      <c r="C584" s="29"/>
      <c r="D584" s="29"/>
      <c r="E584" s="29"/>
      <c r="F584" s="29"/>
      <c r="G584" s="29"/>
      <c r="H584" s="31">
        <f>IF(base!F584&lt;&gt;"",VLOOKUP(F584,de_para!$A$1:$B$31,2,0)*base!G584,0)</f>
        <v>0</v>
      </c>
      <c r="I584" s="38"/>
      <c r="J584" s="29"/>
      <c r="K584" s="31">
        <f>IF(base!I584&lt;&gt;"",VLOOKUP(I584,de_para!$A$1:$B$31,2,0)*base!J584,0)</f>
        <v>0</v>
      </c>
      <c r="L584" s="38"/>
      <c r="M584" s="29"/>
      <c r="N584" s="31">
        <f>IF(base!L584&lt;&gt;"",VLOOKUP(L584,de_para!$A$1:$B$31,2,0)*base!M584,0)</f>
        <v>0</v>
      </c>
      <c r="O584" s="38"/>
      <c r="P584" s="29"/>
      <c r="Q584" s="31">
        <f>IF(base!O584&lt;&gt;"",VLOOKUP(O584,de_para!$A$1:$B$31,2,0)*base!P584,0)</f>
        <v>0</v>
      </c>
      <c r="R584" s="38"/>
      <c r="S584" s="29"/>
      <c r="T584" s="31">
        <f>IF(base!R584&lt;&gt;"",VLOOKUP(R584,de_para!$A$1:$B$31,2,0)*base!S584,0)</f>
        <v>0</v>
      </c>
      <c r="U584" s="30">
        <f t="shared" si="10"/>
        <v>0</v>
      </c>
    </row>
    <row r="585" spans="1:21" x14ac:dyDescent="0.35">
      <c r="A585" s="29"/>
      <c r="B585" s="29"/>
      <c r="C585" s="29"/>
      <c r="D585" s="29"/>
      <c r="E585" s="29"/>
      <c r="F585" s="29"/>
      <c r="G585" s="29"/>
      <c r="H585" s="31">
        <f>IF(base!F585&lt;&gt;"",VLOOKUP(F585,de_para!$A$1:$B$31,2,0)*base!G585,0)</f>
        <v>0</v>
      </c>
      <c r="I585" s="38"/>
      <c r="J585" s="29"/>
      <c r="K585" s="31">
        <f>IF(base!I585&lt;&gt;"",VLOOKUP(I585,de_para!$A$1:$B$31,2,0)*base!J585,0)</f>
        <v>0</v>
      </c>
      <c r="L585" s="38"/>
      <c r="M585" s="29"/>
      <c r="N585" s="31">
        <f>IF(base!L585&lt;&gt;"",VLOOKUP(L585,de_para!$A$1:$B$31,2,0)*base!M585,0)</f>
        <v>0</v>
      </c>
      <c r="O585" s="38"/>
      <c r="P585" s="29"/>
      <c r="Q585" s="31">
        <f>IF(base!O585&lt;&gt;"",VLOOKUP(O585,de_para!$A$1:$B$31,2,0)*base!P585,0)</f>
        <v>0</v>
      </c>
      <c r="R585" s="38"/>
      <c r="S585" s="29"/>
      <c r="T585" s="31">
        <f>IF(base!R585&lt;&gt;"",VLOOKUP(R585,de_para!$A$1:$B$31,2,0)*base!S585,0)</f>
        <v>0</v>
      </c>
      <c r="U585" s="30">
        <f t="shared" si="10"/>
        <v>0</v>
      </c>
    </row>
    <row r="586" spans="1:21" x14ac:dyDescent="0.35">
      <c r="A586" s="29"/>
      <c r="B586" s="29"/>
      <c r="C586" s="29"/>
      <c r="D586" s="29"/>
      <c r="E586" s="29"/>
      <c r="F586" s="29"/>
      <c r="G586" s="29"/>
      <c r="H586" s="31">
        <f>IF(base!F586&lt;&gt;"",VLOOKUP(F586,de_para!$A$1:$B$31,2,0)*base!G586,0)</f>
        <v>0</v>
      </c>
      <c r="I586" s="38"/>
      <c r="J586" s="29"/>
      <c r="K586" s="31">
        <f>IF(base!I586&lt;&gt;"",VLOOKUP(I586,de_para!$A$1:$B$31,2,0)*base!J586,0)</f>
        <v>0</v>
      </c>
      <c r="L586" s="38"/>
      <c r="M586" s="29"/>
      <c r="N586" s="31">
        <f>IF(base!L586&lt;&gt;"",VLOOKUP(L586,de_para!$A$1:$B$31,2,0)*base!M586,0)</f>
        <v>0</v>
      </c>
      <c r="O586" s="38"/>
      <c r="P586" s="29"/>
      <c r="Q586" s="31">
        <f>IF(base!O586&lt;&gt;"",VLOOKUP(O586,de_para!$A$1:$B$31,2,0)*base!P586,0)</f>
        <v>0</v>
      </c>
      <c r="R586" s="38"/>
      <c r="S586" s="29"/>
      <c r="T586" s="31">
        <f>IF(base!R586&lt;&gt;"",VLOOKUP(R586,de_para!$A$1:$B$31,2,0)*base!S586,0)</f>
        <v>0</v>
      </c>
      <c r="U586" s="30">
        <f t="shared" si="10"/>
        <v>0</v>
      </c>
    </row>
    <row r="587" spans="1:21" x14ac:dyDescent="0.35">
      <c r="A587" s="29"/>
      <c r="B587" s="29"/>
      <c r="C587" s="29"/>
      <c r="D587" s="29"/>
      <c r="E587" s="29"/>
      <c r="F587" s="29"/>
      <c r="G587" s="29"/>
      <c r="H587" s="31">
        <f>IF(base!F587&lt;&gt;"",VLOOKUP(F587,de_para!$A$1:$B$31,2,0)*base!G587,0)</f>
        <v>0</v>
      </c>
      <c r="I587" s="38"/>
      <c r="J587" s="29"/>
      <c r="K587" s="31">
        <f>IF(base!I587&lt;&gt;"",VLOOKUP(I587,de_para!$A$1:$B$31,2,0)*base!J587,0)</f>
        <v>0</v>
      </c>
      <c r="L587" s="38"/>
      <c r="M587" s="29"/>
      <c r="N587" s="31">
        <f>IF(base!L587&lt;&gt;"",VLOOKUP(L587,de_para!$A$1:$B$31,2,0)*base!M587,0)</f>
        <v>0</v>
      </c>
      <c r="O587" s="38"/>
      <c r="P587" s="29"/>
      <c r="Q587" s="31">
        <f>IF(base!O587&lt;&gt;"",VLOOKUP(O587,de_para!$A$1:$B$31,2,0)*base!P587,0)</f>
        <v>0</v>
      </c>
      <c r="R587" s="38"/>
      <c r="S587" s="29"/>
      <c r="T587" s="31">
        <f>IF(base!R587&lt;&gt;"",VLOOKUP(R587,de_para!$A$1:$B$31,2,0)*base!S587,0)</f>
        <v>0</v>
      </c>
      <c r="U587" s="30">
        <f t="shared" si="10"/>
        <v>0</v>
      </c>
    </row>
    <row r="588" spans="1:21" x14ac:dyDescent="0.35">
      <c r="A588" s="29"/>
      <c r="B588" s="29"/>
      <c r="C588" s="29"/>
      <c r="D588" s="29"/>
      <c r="E588" s="29"/>
      <c r="F588" s="29"/>
      <c r="G588" s="29"/>
      <c r="H588" s="31">
        <f>IF(base!F588&lt;&gt;"",VLOOKUP(F588,de_para!$A$1:$B$31,2,0)*base!G588,0)</f>
        <v>0</v>
      </c>
      <c r="I588" s="38"/>
      <c r="J588" s="29"/>
      <c r="K588" s="31">
        <f>IF(base!I588&lt;&gt;"",VLOOKUP(I588,de_para!$A$1:$B$31,2,0)*base!J588,0)</f>
        <v>0</v>
      </c>
      <c r="L588" s="38"/>
      <c r="M588" s="29"/>
      <c r="N588" s="31">
        <f>IF(base!L588&lt;&gt;"",VLOOKUP(L588,de_para!$A$1:$B$31,2,0)*base!M588,0)</f>
        <v>0</v>
      </c>
      <c r="O588" s="38"/>
      <c r="P588" s="29"/>
      <c r="Q588" s="31">
        <f>IF(base!O588&lt;&gt;"",VLOOKUP(O588,de_para!$A$1:$B$31,2,0)*base!P588,0)</f>
        <v>0</v>
      </c>
      <c r="R588" s="38"/>
      <c r="S588" s="29"/>
      <c r="T588" s="31">
        <f>IF(base!R588&lt;&gt;"",VLOOKUP(R588,de_para!$A$1:$B$31,2,0)*base!S588,0)</f>
        <v>0</v>
      </c>
      <c r="U588" s="30">
        <f t="shared" si="10"/>
        <v>0</v>
      </c>
    </row>
    <row r="589" spans="1:21" x14ac:dyDescent="0.35">
      <c r="A589" s="29"/>
      <c r="B589" s="29"/>
      <c r="C589" s="29"/>
      <c r="D589" s="29"/>
      <c r="E589" s="29"/>
      <c r="F589" s="29"/>
      <c r="G589" s="29"/>
      <c r="H589" s="31">
        <f>IF(base!F589&lt;&gt;"",VLOOKUP(F589,de_para!$A$1:$B$31,2,0)*base!G589,0)</f>
        <v>0</v>
      </c>
      <c r="I589" s="38"/>
      <c r="J589" s="29"/>
      <c r="K589" s="31">
        <f>IF(base!I589&lt;&gt;"",VLOOKUP(I589,de_para!$A$1:$B$31,2,0)*base!J589,0)</f>
        <v>0</v>
      </c>
      <c r="L589" s="38"/>
      <c r="M589" s="29"/>
      <c r="N589" s="31">
        <f>IF(base!L589&lt;&gt;"",VLOOKUP(L589,de_para!$A$1:$B$31,2,0)*base!M589,0)</f>
        <v>0</v>
      </c>
      <c r="O589" s="38"/>
      <c r="P589" s="29"/>
      <c r="Q589" s="31">
        <f>IF(base!O589&lt;&gt;"",VLOOKUP(O589,de_para!$A$1:$B$31,2,0)*base!P589,0)</f>
        <v>0</v>
      </c>
      <c r="R589" s="38"/>
      <c r="S589" s="29"/>
      <c r="T589" s="31">
        <f>IF(base!R589&lt;&gt;"",VLOOKUP(R589,de_para!$A$1:$B$31,2,0)*base!S589,0)</f>
        <v>0</v>
      </c>
      <c r="U589" s="30">
        <f t="shared" si="10"/>
        <v>0</v>
      </c>
    </row>
    <row r="590" spans="1:21" x14ac:dyDescent="0.35">
      <c r="A590" s="29"/>
      <c r="B590" s="29"/>
      <c r="C590" s="29"/>
      <c r="D590" s="29"/>
      <c r="E590" s="29"/>
      <c r="F590" s="29"/>
      <c r="G590" s="29"/>
      <c r="H590" s="31">
        <f>IF(base!F590&lt;&gt;"",VLOOKUP(F590,de_para!$A$1:$B$31,2,0)*base!G590,0)</f>
        <v>0</v>
      </c>
      <c r="I590" s="38"/>
      <c r="J590" s="29"/>
      <c r="K590" s="31">
        <f>IF(base!I590&lt;&gt;"",VLOOKUP(I590,de_para!$A$1:$B$31,2,0)*base!J590,0)</f>
        <v>0</v>
      </c>
      <c r="L590" s="38"/>
      <c r="M590" s="29"/>
      <c r="N590" s="31">
        <f>IF(base!L590&lt;&gt;"",VLOOKUP(L590,de_para!$A$1:$B$31,2,0)*base!M590,0)</f>
        <v>0</v>
      </c>
      <c r="O590" s="38"/>
      <c r="P590" s="29"/>
      <c r="Q590" s="31">
        <f>IF(base!O590&lt;&gt;"",VLOOKUP(O590,de_para!$A$1:$B$31,2,0)*base!P590,0)</f>
        <v>0</v>
      </c>
      <c r="R590" s="38"/>
      <c r="S590" s="29"/>
      <c r="T590" s="31">
        <f>IF(base!R590&lt;&gt;"",VLOOKUP(R590,de_para!$A$1:$B$31,2,0)*base!S590,0)</f>
        <v>0</v>
      </c>
      <c r="U590" s="30">
        <f t="shared" si="10"/>
        <v>0</v>
      </c>
    </row>
    <row r="591" spans="1:21" x14ac:dyDescent="0.35">
      <c r="A591" s="29"/>
      <c r="B591" s="29"/>
      <c r="C591" s="29"/>
      <c r="D591" s="29"/>
      <c r="E591" s="29"/>
      <c r="F591" s="29"/>
      <c r="G591" s="29"/>
      <c r="H591" s="31">
        <f>IF(base!F591&lt;&gt;"",VLOOKUP(F591,de_para!$A$1:$B$31,2,0)*base!G591,0)</f>
        <v>0</v>
      </c>
      <c r="I591" s="38"/>
      <c r="J591" s="29"/>
      <c r="K591" s="31">
        <f>IF(base!I591&lt;&gt;"",VLOOKUP(I591,de_para!$A$1:$B$31,2,0)*base!J591,0)</f>
        <v>0</v>
      </c>
      <c r="L591" s="38"/>
      <c r="M591" s="29"/>
      <c r="N591" s="31">
        <f>IF(base!L591&lt;&gt;"",VLOOKUP(L591,de_para!$A$1:$B$31,2,0)*base!M591,0)</f>
        <v>0</v>
      </c>
      <c r="O591" s="38"/>
      <c r="P591" s="29"/>
      <c r="Q591" s="31">
        <f>IF(base!O591&lt;&gt;"",VLOOKUP(O591,de_para!$A$1:$B$31,2,0)*base!P591,0)</f>
        <v>0</v>
      </c>
      <c r="R591" s="38"/>
      <c r="S591" s="29"/>
      <c r="T591" s="31">
        <f>IF(base!R591&lt;&gt;"",VLOOKUP(R591,de_para!$A$1:$B$31,2,0)*base!S591,0)</f>
        <v>0</v>
      </c>
      <c r="U591" s="30">
        <f t="shared" si="10"/>
        <v>0</v>
      </c>
    </row>
    <row r="592" spans="1:21" x14ac:dyDescent="0.35">
      <c r="A592" s="29"/>
      <c r="B592" s="29"/>
      <c r="C592" s="29"/>
      <c r="D592" s="29"/>
      <c r="E592" s="29"/>
      <c r="F592" s="29"/>
      <c r="G592" s="29"/>
      <c r="H592" s="31">
        <f>IF(base!F592&lt;&gt;"",VLOOKUP(F592,de_para!$A$1:$B$31,2,0)*base!G592,0)</f>
        <v>0</v>
      </c>
      <c r="I592" s="38"/>
      <c r="J592" s="29"/>
      <c r="K592" s="31">
        <f>IF(base!I592&lt;&gt;"",VLOOKUP(I592,de_para!$A$1:$B$31,2,0)*base!J592,0)</f>
        <v>0</v>
      </c>
      <c r="L592" s="38"/>
      <c r="M592" s="29"/>
      <c r="N592" s="31">
        <f>IF(base!L592&lt;&gt;"",VLOOKUP(L592,de_para!$A$1:$B$31,2,0)*base!M592,0)</f>
        <v>0</v>
      </c>
      <c r="O592" s="38"/>
      <c r="P592" s="29"/>
      <c r="Q592" s="31">
        <f>IF(base!O592&lt;&gt;"",VLOOKUP(O592,de_para!$A$1:$B$31,2,0)*base!P592,0)</f>
        <v>0</v>
      </c>
      <c r="R592" s="38"/>
      <c r="S592" s="29"/>
      <c r="T592" s="31">
        <f>IF(base!R592&lt;&gt;"",VLOOKUP(R592,de_para!$A$1:$B$31,2,0)*base!S592,0)</f>
        <v>0</v>
      </c>
      <c r="U592" s="30">
        <f t="shared" si="10"/>
        <v>0</v>
      </c>
    </row>
    <row r="593" spans="1:21" x14ac:dyDescent="0.35">
      <c r="A593" s="29"/>
      <c r="B593" s="29"/>
      <c r="C593" s="29"/>
      <c r="D593" s="29"/>
      <c r="E593" s="29"/>
      <c r="F593" s="29"/>
      <c r="G593" s="29"/>
      <c r="H593" s="31">
        <f>IF(base!F593&lt;&gt;"",VLOOKUP(F593,de_para!$A$1:$B$31,2,0)*base!G593,0)</f>
        <v>0</v>
      </c>
      <c r="I593" s="38"/>
      <c r="J593" s="29"/>
      <c r="K593" s="31">
        <f>IF(base!I593&lt;&gt;"",VLOOKUP(I593,de_para!$A$1:$B$31,2,0)*base!J593,0)</f>
        <v>0</v>
      </c>
      <c r="L593" s="38"/>
      <c r="M593" s="29"/>
      <c r="N593" s="31">
        <f>IF(base!L593&lt;&gt;"",VLOOKUP(L593,de_para!$A$1:$B$31,2,0)*base!M593,0)</f>
        <v>0</v>
      </c>
      <c r="O593" s="38"/>
      <c r="P593" s="29"/>
      <c r="Q593" s="31">
        <f>IF(base!O593&lt;&gt;"",VLOOKUP(O593,de_para!$A$1:$B$31,2,0)*base!P593,0)</f>
        <v>0</v>
      </c>
      <c r="R593" s="38"/>
      <c r="S593" s="29"/>
      <c r="T593" s="31">
        <f>IF(base!R593&lt;&gt;"",VLOOKUP(R593,de_para!$A$1:$B$31,2,0)*base!S593,0)</f>
        <v>0</v>
      </c>
      <c r="U593" s="30">
        <f t="shared" si="10"/>
        <v>0</v>
      </c>
    </row>
    <row r="594" spans="1:21" x14ac:dyDescent="0.35">
      <c r="A594" s="29"/>
      <c r="B594" s="29"/>
      <c r="C594" s="29"/>
      <c r="D594" s="29"/>
      <c r="E594" s="29"/>
      <c r="F594" s="29"/>
      <c r="G594" s="29"/>
      <c r="H594" s="31">
        <f>IF(base!F594&lt;&gt;"",VLOOKUP(F594,de_para!$A$1:$B$31,2,0)*base!G594,0)</f>
        <v>0</v>
      </c>
      <c r="I594" s="38"/>
      <c r="J594" s="29"/>
      <c r="K594" s="31">
        <f>IF(base!I594&lt;&gt;"",VLOOKUP(I594,de_para!$A$1:$B$31,2,0)*base!J594,0)</f>
        <v>0</v>
      </c>
      <c r="L594" s="38"/>
      <c r="M594" s="29"/>
      <c r="N594" s="31">
        <f>IF(base!L594&lt;&gt;"",VLOOKUP(L594,de_para!$A$1:$B$31,2,0)*base!M594,0)</f>
        <v>0</v>
      </c>
      <c r="O594" s="38"/>
      <c r="P594" s="29"/>
      <c r="Q594" s="31">
        <f>IF(base!O594&lt;&gt;"",VLOOKUP(O594,de_para!$A$1:$B$31,2,0)*base!P594,0)</f>
        <v>0</v>
      </c>
      <c r="R594" s="38"/>
      <c r="S594" s="29"/>
      <c r="T594" s="31">
        <f>IF(base!R594&lt;&gt;"",VLOOKUP(R594,de_para!$A$1:$B$31,2,0)*base!S594,0)</f>
        <v>0</v>
      </c>
      <c r="U594" s="30">
        <f t="shared" si="10"/>
        <v>0</v>
      </c>
    </row>
    <row r="595" spans="1:21" x14ac:dyDescent="0.35">
      <c r="A595" s="29"/>
      <c r="B595" s="29"/>
      <c r="C595" s="29"/>
      <c r="D595" s="29"/>
      <c r="E595" s="29"/>
      <c r="F595" s="29"/>
      <c r="G595" s="29"/>
      <c r="H595" s="31">
        <f>IF(base!F595&lt;&gt;"",VLOOKUP(F595,de_para!$A$1:$B$31,2,0)*base!G595,0)</f>
        <v>0</v>
      </c>
      <c r="I595" s="38"/>
      <c r="J595" s="29"/>
      <c r="K595" s="31">
        <f>IF(base!I595&lt;&gt;"",VLOOKUP(I595,de_para!$A$1:$B$31,2,0)*base!J595,0)</f>
        <v>0</v>
      </c>
      <c r="L595" s="38"/>
      <c r="M595" s="29"/>
      <c r="N595" s="31">
        <f>IF(base!L595&lt;&gt;"",VLOOKUP(L595,de_para!$A$1:$B$31,2,0)*base!M595,0)</f>
        <v>0</v>
      </c>
      <c r="O595" s="38"/>
      <c r="P595" s="29"/>
      <c r="Q595" s="31">
        <f>IF(base!O595&lt;&gt;"",VLOOKUP(O595,de_para!$A$1:$B$31,2,0)*base!P595,0)</f>
        <v>0</v>
      </c>
      <c r="R595" s="38"/>
      <c r="S595" s="29"/>
      <c r="T595" s="31">
        <f>IF(base!R595&lt;&gt;"",VLOOKUP(R595,de_para!$A$1:$B$31,2,0)*base!S595,0)</f>
        <v>0</v>
      </c>
      <c r="U595" s="30">
        <f t="shared" si="10"/>
        <v>0</v>
      </c>
    </row>
    <row r="596" spans="1:21" x14ac:dyDescent="0.35">
      <c r="A596" s="29"/>
      <c r="B596" s="29"/>
      <c r="C596" s="29"/>
      <c r="D596" s="29"/>
      <c r="E596" s="29"/>
      <c r="F596" s="29"/>
      <c r="G596" s="29"/>
      <c r="H596" s="31">
        <f>IF(base!F596&lt;&gt;"",VLOOKUP(F596,de_para!$A$1:$B$31,2,0)*base!G596,0)</f>
        <v>0</v>
      </c>
      <c r="I596" s="38"/>
      <c r="J596" s="29"/>
      <c r="K596" s="31">
        <f>IF(base!I596&lt;&gt;"",VLOOKUP(I596,de_para!$A$1:$B$31,2,0)*base!J596,0)</f>
        <v>0</v>
      </c>
      <c r="L596" s="38"/>
      <c r="M596" s="29"/>
      <c r="N596" s="31">
        <f>IF(base!L596&lt;&gt;"",VLOOKUP(L596,de_para!$A$1:$B$31,2,0)*base!M596,0)</f>
        <v>0</v>
      </c>
      <c r="O596" s="38"/>
      <c r="P596" s="29"/>
      <c r="Q596" s="31">
        <f>IF(base!O596&lt;&gt;"",VLOOKUP(O596,de_para!$A$1:$B$31,2,0)*base!P596,0)</f>
        <v>0</v>
      </c>
      <c r="R596" s="38"/>
      <c r="S596" s="29"/>
      <c r="T596" s="31">
        <f>IF(base!R596&lt;&gt;"",VLOOKUP(R596,de_para!$A$1:$B$31,2,0)*base!S596,0)</f>
        <v>0</v>
      </c>
      <c r="U596" s="30">
        <f t="shared" si="10"/>
        <v>0</v>
      </c>
    </row>
    <row r="597" spans="1:21" x14ac:dyDescent="0.35">
      <c r="A597" s="29"/>
      <c r="B597" s="29"/>
      <c r="C597" s="29"/>
      <c r="D597" s="29"/>
      <c r="E597" s="29"/>
      <c r="F597" s="29"/>
      <c r="G597" s="29"/>
      <c r="H597" s="31">
        <f>IF(base!F597&lt;&gt;"",VLOOKUP(F597,de_para!$A$1:$B$31,2,0)*base!G597,0)</f>
        <v>0</v>
      </c>
      <c r="I597" s="38"/>
      <c r="J597" s="29"/>
      <c r="K597" s="31">
        <f>IF(base!I597&lt;&gt;"",VLOOKUP(I597,de_para!$A$1:$B$31,2,0)*base!J597,0)</f>
        <v>0</v>
      </c>
      <c r="L597" s="38"/>
      <c r="M597" s="29"/>
      <c r="N597" s="31">
        <f>IF(base!L597&lt;&gt;"",VLOOKUP(L597,de_para!$A$1:$B$31,2,0)*base!M597,0)</f>
        <v>0</v>
      </c>
      <c r="O597" s="38"/>
      <c r="P597" s="29"/>
      <c r="Q597" s="31">
        <f>IF(base!O597&lt;&gt;"",VLOOKUP(O597,de_para!$A$1:$B$31,2,0)*base!P597,0)</f>
        <v>0</v>
      </c>
      <c r="R597" s="38"/>
      <c r="S597" s="29"/>
      <c r="T597" s="31">
        <f>IF(base!R597&lt;&gt;"",VLOOKUP(R597,de_para!$A$1:$B$31,2,0)*base!S597,0)</f>
        <v>0</v>
      </c>
      <c r="U597" s="30">
        <f t="shared" si="10"/>
        <v>0</v>
      </c>
    </row>
    <row r="598" spans="1:21" x14ac:dyDescent="0.35">
      <c r="A598" s="29"/>
      <c r="B598" s="29"/>
      <c r="C598" s="29"/>
      <c r="D598" s="29"/>
      <c r="E598" s="29"/>
      <c r="F598" s="29"/>
      <c r="G598" s="29"/>
      <c r="H598" s="31">
        <f>IF(base!F598&lt;&gt;"",VLOOKUP(F598,de_para!$A$1:$B$31,2,0)*base!G598,0)</f>
        <v>0</v>
      </c>
      <c r="I598" s="38"/>
      <c r="J598" s="29"/>
      <c r="K598" s="31">
        <f>IF(base!I598&lt;&gt;"",VLOOKUP(I598,de_para!$A$1:$B$31,2,0)*base!J598,0)</f>
        <v>0</v>
      </c>
      <c r="L598" s="38"/>
      <c r="M598" s="29"/>
      <c r="N598" s="31">
        <f>IF(base!L598&lt;&gt;"",VLOOKUP(L598,de_para!$A$1:$B$31,2,0)*base!M598,0)</f>
        <v>0</v>
      </c>
      <c r="O598" s="38"/>
      <c r="P598" s="29"/>
      <c r="Q598" s="31">
        <f>IF(base!O598&lt;&gt;"",VLOOKUP(O598,de_para!$A$1:$B$31,2,0)*base!P598,0)</f>
        <v>0</v>
      </c>
      <c r="R598" s="38"/>
      <c r="S598" s="29"/>
      <c r="T598" s="31">
        <f>IF(base!R598&lt;&gt;"",VLOOKUP(R598,de_para!$A$1:$B$31,2,0)*base!S598,0)</f>
        <v>0</v>
      </c>
      <c r="U598" s="30">
        <f t="shared" si="10"/>
        <v>0</v>
      </c>
    </row>
    <row r="599" spans="1:21" x14ac:dyDescent="0.35">
      <c r="A599" s="29"/>
      <c r="B599" s="29"/>
      <c r="C599" s="29"/>
      <c r="D599" s="29"/>
      <c r="E599" s="29"/>
      <c r="F599" s="29"/>
      <c r="G599" s="29"/>
      <c r="H599" s="31">
        <f>IF(base!F599&lt;&gt;"",VLOOKUP(F599,de_para!$A$1:$B$31,2,0)*base!G599,0)</f>
        <v>0</v>
      </c>
      <c r="I599" s="38"/>
      <c r="J599" s="29"/>
      <c r="K599" s="31">
        <f>IF(base!I599&lt;&gt;"",VLOOKUP(I599,de_para!$A$1:$B$31,2,0)*base!J599,0)</f>
        <v>0</v>
      </c>
      <c r="L599" s="38"/>
      <c r="M599" s="29"/>
      <c r="N599" s="31">
        <f>IF(base!L599&lt;&gt;"",VLOOKUP(L599,de_para!$A$1:$B$31,2,0)*base!M599,0)</f>
        <v>0</v>
      </c>
      <c r="O599" s="38"/>
      <c r="P599" s="29"/>
      <c r="Q599" s="31">
        <f>IF(base!O599&lt;&gt;"",VLOOKUP(O599,de_para!$A$1:$B$31,2,0)*base!P599,0)</f>
        <v>0</v>
      </c>
      <c r="R599" s="38"/>
      <c r="S599" s="29"/>
      <c r="T599" s="31">
        <f>IF(base!R599&lt;&gt;"",VLOOKUP(R599,de_para!$A$1:$B$31,2,0)*base!S599,0)</f>
        <v>0</v>
      </c>
      <c r="U599" s="30">
        <f t="shared" si="10"/>
        <v>0</v>
      </c>
    </row>
    <row r="600" spans="1:21" x14ac:dyDescent="0.35">
      <c r="A600" s="29"/>
      <c r="B600" s="29"/>
      <c r="C600" s="29"/>
      <c r="D600" s="29"/>
      <c r="E600" s="29"/>
      <c r="F600" s="29"/>
      <c r="G600" s="29"/>
      <c r="H600" s="31">
        <f>IF(base!F600&lt;&gt;"",VLOOKUP(F600,de_para!$A$1:$B$31,2,0)*base!G600,0)</f>
        <v>0</v>
      </c>
      <c r="I600" s="38"/>
      <c r="J600" s="29"/>
      <c r="K600" s="31">
        <f>IF(base!I600&lt;&gt;"",VLOOKUP(I600,de_para!$A$1:$B$31,2,0)*base!J600,0)</f>
        <v>0</v>
      </c>
      <c r="L600" s="38"/>
      <c r="M600" s="29"/>
      <c r="N600" s="31">
        <f>IF(base!L600&lt;&gt;"",VLOOKUP(L600,de_para!$A$1:$B$31,2,0)*base!M600,0)</f>
        <v>0</v>
      </c>
      <c r="O600" s="38"/>
      <c r="P600" s="29"/>
      <c r="Q600" s="31">
        <f>IF(base!O600&lt;&gt;"",VLOOKUP(O600,de_para!$A$1:$B$31,2,0)*base!P600,0)</f>
        <v>0</v>
      </c>
      <c r="R600" s="38"/>
      <c r="S600" s="29"/>
      <c r="T600" s="31">
        <f>IF(base!R600&lt;&gt;"",VLOOKUP(R600,de_para!$A$1:$B$31,2,0)*base!S600,0)</f>
        <v>0</v>
      </c>
      <c r="U600" s="30">
        <f t="shared" si="10"/>
        <v>0</v>
      </c>
    </row>
    <row r="601" spans="1:21" x14ac:dyDescent="0.35">
      <c r="A601" s="29"/>
      <c r="B601" s="29"/>
      <c r="C601" s="29"/>
      <c r="D601" s="29"/>
      <c r="E601" s="29"/>
      <c r="F601" s="29"/>
      <c r="G601" s="29"/>
      <c r="H601" s="31">
        <f>IF(base!F601&lt;&gt;"",VLOOKUP(F601,de_para!$A$1:$B$31,2,0)*base!G601,0)</f>
        <v>0</v>
      </c>
      <c r="I601" s="38"/>
      <c r="J601" s="29"/>
      <c r="K601" s="31">
        <f>IF(base!I601&lt;&gt;"",VLOOKUP(I601,de_para!$A$1:$B$31,2,0)*base!J601,0)</f>
        <v>0</v>
      </c>
      <c r="L601" s="38"/>
      <c r="M601" s="29"/>
      <c r="N601" s="31">
        <f>IF(base!L601&lt;&gt;"",VLOOKUP(L601,de_para!$A$1:$B$31,2,0)*base!M601,0)</f>
        <v>0</v>
      </c>
      <c r="O601" s="38"/>
      <c r="P601" s="29"/>
      <c r="Q601" s="31">
        <f>IF(base!O601&lt;&gt;"",VLOOKUP(O601,de_para!$A$1:$B$31,2,0)*base!P601,0)</f>
        <v>0</v>
      </c>
      <c r="R601" s="38"/>
      <c r="S601" s="29"/>
      <c r="T601" s="31">
        <f>IF(base!R601&lt;&gt;"",VLOOKUP(R601,de_para!$A$1:$B$31,2,0)*base!S601,0)</f>
        <v>0</v>
      </c>
      <c r="U601" s="30">
        <f t="shared" si="10"/>
        <v>0</v>
      </c>
    </row>
    <row r="602" spans="1:21" x14ac:dyDescent="0.35">
      <c r="A602" s="29"/>
      <c r="B602" s="29"/>
      <c r="C602" s="29"/>
      <c r="D602" s="29"/>
      <c r="E602" s="29"/>
      <c r="F602" s="29"/>
      <c r="G602" s="29"/>
      <c r="H602" s="31">
        <f>IF(base!F602&lt;&gt;"",VLOOKUP(F602,de_para!$A$1:$B$31,2,0)*base!G602,0)</f>
        <v>0</v>
      </c>
      <c r="I602" s="38"/>
      <c r="J602" s="29"/>
      <c r="K602" s="31">
        <f>IF(base!I602&lt;&gt;"",VLOOKUP(I602,de_para!$A$1:$B$31,2,0)*base!J602,0)</f>
        <v>0</v>
      </c>
      <c r="L602" s="38"/>
      <c r="M602" s="29"/>
      <c r="N602" s="31">
        <f>IF(base!L602&lt;&gt;"",VLOOKUP(L602,de_para!$A$1:$B$31,2,0)*base!M602,0)</f>
        <v>0</v>
      </c>
      <c r="O602" s="38"/>
      <c r="P602" s="29"/>
      <c r="Q602" s="31">
        <f>IF(base!O602&lt;&gt;"",VLOOKUP(O602,de_para!$A$1:$B$31,2,0)*base!P602,0)</f>
        <v>0</v>
      </c>
      <c r="R602" s="38"/>
      <c r="S602" s="29"/>
      <c r="T602" s="31">
        <f>IF(base!R602&lt;&gt;"",VLOOKUP(R602,de_para!$A$1:$B$31,2,0)*base!S602,0)</f>
        <v>0</v>
      </c>
      <c r="U602" s="30">
        <f t="shared" si="10"/>
        <v>0</v>
      </c>
    </row>
    <row r="603" spans="1:21" x14ac:dyDescent="0.35">
      <c r="A603" s="29"/>
      <c r="B603" s="29"/>
      <c r="C603" s="29"/>
      <c r="D603" s="29"/>
      <c r="E603" s="29"/>
      <c r="F603" s="29"/>
      <c r="G603" s="29"/>
      <c r="H603" s="31">
        <f>IF(base!F603&lt;&gt;"",VLOOKUP(F603,de_para!$A$1:$B$31,2,0)*base!G603,0)</f>
        <v>0</v>
      </c>
      <c r="I603" s="38"/>
      <c r="J603" s="29"/>
      <c r="K603" s="31">
        <f>IF(base!I603&lt;&gt;"",VLOOKUP(I603,de_para!$A$1:$B$31,2,0)*base!J603,0)</f>
        <v>0</v>
      </c>
      <c r="L603" s="38"/>
      <c r="M603" s="29"/>
      <c r="N603" s="31">
        <f>IF(base!L603&lt;&gt;"",VLOOKUP(L603,de_para!$A$1:$B$31,2,0)*base!M603,0)</f>
        <v>0</v>
      </c>
      <c r="O603" s="38"/>
      <c r="P603" s="29"/>
      <c r="Q603" s="31">
        <f>IF(base!O603&lt;&gt;"",VLOOKUP(O603,de_para!$A$1:$B$31,2,0)*base!P603,0)</f>
        <v>0</v>
      </c>
      <c r="R603" s="38"/>
      <c r="S603" s="29"/>
      <c r="T603" s="31">
        <f>IF(base!R603&lt;&gt;"",VLOOKUP(R603,de_para!$A$1:$B$31,2,0)*base!S603,0)</f>
        <v>0</v>
      </c>
      <c r="U603" s="30">
        <f t="shared" si="10"/>
        <v>0</v>
      </c>
    </row>
    <row r="604" spans="1:21" x14ac:dyDescent="0.35">
      <c r="A604" s="29"/>
      <c r="B604" s="29"/>
      <c r="C604" s="29"/>
      <c r="D604" s="29"/>
      <c r="E604" s="29"/>
      <c r="F604" s="29"/>
      <c r="G604" s="29"/>
      <c r="H604" s="31">
        <f>IF(base!F604&lt;&gt;"",VLOOKUP(F604,de_para!$A$1:$B$31,2,0)*base!G604,0)</f>
        <v>0</v>
      </c>
      <c r="I604" s="38"/>
      <c r="J604" s="29"/>
      <c r="K604" s="31">
        <f>IF(base!I604&lt;&gt;"",VLOOKUP(I604,de_para!$A$1:$B$31,2,0)*base!J604,0)</f>
        <v>0</v>
      </c>
      <c r="L604" s="38"/>
      <c r="M604" s="29"/>
      <c r="N604" s="31">
        <f>IF(base!L604&lt;&gt;"",VLOOKUP(L604,de_para!$A$1:$B$31,2,0)*base!M604,0)</f>
        <v>0</v>
      </c>
      <c r="O604" s="38"/>
      <c r="P604" s="29"/>
      <c r="Q604" s="31">
        <f>IF(base!O604&lt;&gt;"",VLOOKUP(O604,de_para!$A$1:$B$31,2,0)*base!P604,0)</f>
        <v>0</v>
      </c>
      <c r="R604" s="38"/>
      <c r="S604" s="29"/>
      <c r="T604" s="31">
        <f>IF(base!R604&lt;&gt;"",VLOOKUP(R604,de_para!$A$1:$B$31,2,0)*base!S604,0)</f>
        <v>0</v>
      </c>
      <c r="U604" s="30">
        <f t="shared" si="10"/>
        <v>0</v>
      </c>
    </row>
    <row r="605" spans="1:21" x14ac:dyDescent="0.35">
      <c r="A605" s="29"/>
      <c r="B605" s="29"/>
      <c r="C605" s="29"/>
      <c r="D605" s="29"/>
      <c r="E605" s="29"/>
      <c r="F605" s="29"/>
      <c r="G605" s="29"/>
      <c r="H605" s="31">
        <f>IF(base!F605&lt;&gt;"",VLOOKUP(F605,de_para!$A$1:$B$31,2,0)*base!G605,0)</f>
        <v>0</v>
      </c>
      <c r="I605" s="38"/>
      <c r="J605" s="29"/>
      <c r="K605" s="31">
        <f>IF(base!I605&lt;&gt;"",VLOOKUP(I605,de_para!$A$1:$B$31,2,0)*base!J605,0)</f>
        <v>0</v>
      </c>
      <c r="L605" s="38"/>
      <c r="M605" s="29"/>
      <c r="N605" s="31">
        <f>IF(base!L605&lt;&gt;"",VLOOKUP(L605,de_para!$A$1:$B$31,2,0)*base!M605,0)</f>
        <v>0</v>
      </c>
      <c r="O605" s="38"/>
      <c r="P605" s="29"/>
      <c r="Q605" s="31">
        <f>IF(base!O605&lt;&gt;"",VLOOKUP(O605,de_para!$A$1:$B$31,2,0)*base!P605,0)</f>
        <v>0</v>
      </c>
      <c r="R605" s="38"/>
      <c r="S605" s="29"/>
      <c r="T605" s="31">
        <f>IF(base!R605&lt;&gt;"",VLOOKUP(R605,de_para!$A$1:$B$31,2,0)*base!S605,0)</f>
        <v>0</v>
      </c>
      <c r="U605" s="30">
        <f t="shared" si="10"/>
        <v>0</v>
      </c>
    </row>
    <row r="606" spans="1:21" x14ac:dyDescent="0.35">
      <c r="A606" s="29"/>
      <c r="B606" s="29"/>
      <c r="C606" s="29"/>
      <c r="D606" s="29"/>
      <c r="E606" s="29"/>
      <c r="F606" s="29"/>
      <c r="G606" s="29"/>
      <c r="H606" s="31">
        <f>IF(base!F606&lt;&gt;"",VLOOKUP(F606,de_para!$A$1:$B$31,2,0)*base!G606,0)</f>
        <v>0</v>
      </c>
      <c r="I606" s="38"/>
      <c r="J606" s="29"/>
      <c r="K606" s="31">
        <f>IF(base!I606&lt;&gt;"",VLOOKUP(I606,de_para!$A$1:$B$31,2,0)*base!J606,0)</f>
        <v>0</v>
      </c>
      <c r="L606" s="38"/>
      <c r="M606" s="29"/>
      <c r="N606" s="31">
        <f>IF(base!L606&lt;&gt;"",VLOOKUP(L606,de_para!$A$1:$B$31,2,0)*base!M606,0)</f>
        <v>0</v>
      </c>
      <c r="O606" s="38"/>
      <c r="P606" s="29"/>
      <c r="Q606" s="31">
        <f>IF(base!O606&lt;&gt;"",VLOOKUP(O606,de_para!$A$1:$B$31,2,0)*base!P606,0)</f>
        <v>0</v>
      </c>
      <c r="R606" s="38"/>
      <c r="S606" s="29"/>
      <c r="T606" s="31">
        <f>IF(base!R606&lt;&gt;"",VLOOKUP(R606,de_para!$A$1:$B$31,2,0)*base!S606,0)</f>
        <v>0</v>
      </c>
      <c r="U606" s="30">
        <f t="shared" si="10"/>
        <v>0</v>
      </c>
    </row>
    <row r="607" spans="1:21" x14ac:dyDescent="0.35">
      <c r="A607" s="29"/>
      <c r="B607" s="29"/>
      <c r="C607" s="29"/>
      <c r="D607" s="29"/>
      <c r="E607" s="29"/>
      <c r="F607" s="29"/>
      <c r="G607" s="29"/>
      <c r="H607" s="31">
        <f>IF(base!F607&lt;&gt;"",VLOOKUP(F607,de_para!$A$1:$B$31,2,0)*base!G607,0)</f>
        <v>0</v>
      </c>
      <c r="I607" s="38"/>
      <c r="J607" s="29"/>
      <c r="K607" s="31">
        <f>IF(base!I607&lt;&gt;"",VLOOKUP(I607,de_para!$A$1:$B$31,2,0)*base!J607,0)</f>
        <v>0</v>
      </c>
      <c r="L607" s="38"/>
      <c r="M607" s="29"/>
      <c r="N607" s="31">
        <f>IF(base!L607&lt;&gt;"",VLOOKUP(L607,de_para!$A$1:$B$31,2,0)*base!M607,0)</f>
        <v>0</v>
      </c>
      <c r="O607" s="38"/>
      <c r="P607" s="29"/>
      <c r="Q607" s="31">
        <f>IF(base!O607&lt;&gt;"",VLOOKUP(O607,de_para!$A$1:$B$31,2,0)*base!P607,0)</f>
        <v>0</v>
      </c>
      <c r="R607" s="38"/>
      <c r="S607" s="29"/>
      <c r="T607" s="31">
        <f>IF(base!R607&lt;&gt;"",VLOOKUP(R607,de_para!$A$1:$B$31,2,0)*base!S607,0)</f>
        <v>0</v>
      </c>
      <c r="U607" s="30">
        <f t="shared" si="10"/>
        <v>0</v>
      </c>
    </row>
    <row r="608" spans="1:21" x14ac:dyDescent="0.35">
      <c r="A608" s="29"/>
      <c r="B608" s="29"/>
      <c r="C608" s="29"/>
      <c r="D608" s="29"/>
      <c r="E608" s="29"/>
      <c r="F608" s="29"/>
      <c r="G608" s="29"/>
      <c r="H608" s="31">
        <f>IF(base!F608&lt;&gt;"",VLOOKUP(F608,de_para!$A$1:$B$31,2,0)*base!G608,0)</f>
        <v>0</v>
      </c>
      <c r="I608" s="38"/>
      <c r="J608" s="29"/>
      <c r="K608" s="31">
        <f>IF(base!I608&lt;&gt;"",VLOOKUP(I608,de_para!$A$1:$B$31,2,0)*base!J608,0)</f>
        <v>0</v>
      </c>
      <c r="L608" s="38"/>
      <c r="M608" s="29"/>
      <c r="N608" s="31">
        <f>IF(base!L608&lt;&gt;"",VLOOKUP(L608,de_para!$A$1:$B$31,2,0)*base!M608,0)</f>
        <v>0</v>
      </c>
      <c r="O608" s="38"/>
      <c r="P608" s="29"/>
      <c r="Q608" s="31">
        <f>IF(base!O608&lt;&gt;"",VLOOKUP(O608,de_para!$A$1:$B$31,2,0)*base!P608,0)</f>
        <v>0</v>
      </c>
      <c r="R608" s="38"/>
      <c r="S608" s="29"/>
      <c r="T608" s="31">
        <f>IF(base!R608&lt;&gt;"",VLOOKUP(R608,de_para!$A$1:$B$31,2,0)*base!S608,0)</f>
        <v>0</v>
      </c>
      <c r="U608" s="30">
        <f t="shared" si="10"/>
        <v>0</v>
      </c>
    </row>
    <row r="609" spans="1:21" x14ac:dyDescent="0.35">
      <c r="A609" s="29"/>
      <c r="B609" s="29"/>
      <c r="C609" s="29"/>
      <c r="D609" s="29"/>
      <c r="E609" s="29"/>
      <c r="F609" s="29"/>
      <c r="G609" s="29"/>
      <c r="H609" s="31">
        <f>IF(base!F609&lt;&gt;"",VLOOKUP(F609,de_para!$A$1:$B$31,2,0)*base!G609,0)</f>
        <v>0</v>
      </c>
      <c r="I609" s="38"/>
      <c r="J609" s="29"/>
      <c r="K609" s="31">
        <f>IF(base!I609&lt;&gt;"",VLOOKUP(I609,de_para!$A$1:$B$31,2,0)*base!J609,0)</f>
        <v>0</v>
      </c>
      <c r="L609" s="38"/>
      <c r="M609" s="29"/>
      <c r="N609" s="31">
        <f>IF(base!L609&lt;&gt;"",VLOOKUP(L609,de_para!$A$1:$B$31,2,0)*base!M609,0)</f>
        <v>0</v>
      </c>
      <c r="O609" s="38"/>
      <c r="P609" s="29"/>
      <c r="Q609" s="31">
        <f>IF(base!O609&lt;&gt;"",VLOOKUP(O609,de_para!$A$1:$B$31,2,0)*base!P609,0)</f>
        <v>0</v>
      </c>
      <c r="R609" s="38"/>
      <c r="S609" s="29"/>
      <c r="T609" s="31">
        <f>IF(base!R609&lt;&gt;"",VLOOKUP(R609,de_para!$A$1:$B$31,2,0)*base!S609,0)</f>
        <v>0</v>
      </c>
      <c r="U609" s="30">
        <f t="shared" si="10"/>
        <v>0</v>
      </c>
    </row>
    <row r="610" spans="1:21" x14ac:dyDescent="0.35">
      <c r="A610" s="29"/>
      <c r="B610" s="29"/>
      <c r="C610" s="29"/>
      <c r="D610" s="29"/>
      <c r="E610" s="29"/>
      <c r="F610" s="29"/>
      <c r="G610" s="29"/>
      <c r="H610" s="31">
        <f>IF(base!F610&lt;&gt;"",VLOOKUP(F610,de_para!$A$1:$B$31,2,0)*base!G610,0)</f>
        <v>0</v>
      </c>
      <c r="I610" s="38"/>
      <c r="J610" s="29"/>
      <c r="K610" s="31">
        <f>IF(base!I610&lt;&gt;"",VLOOKUP(I610,de_para!$A$1:$B$31,2,0)*base!J610,0)</f>
        <v>0</v>
      </c>
      <c r="L610" s="38"/>
      <c r="M610" s="29"/>
      <c r="N610" s="31">
        <f>IF(base!L610&lt;&gt;"",VLOOKUP(L610,de_para!$A$1:$B$31,2,0)*base!M610,0)</f>
        <v>0</v>
      </c>
      <c r="O610" s="38"/>
      <c r="P610" s="29"/>
      <c r="Q610" s="31">
        <f>IF(base!O610&lt;&gt;"",VLOOKUP(O610,de_para!$A$1:$B$31,2,0)*base!P610,0)</f>
        <v>0</v>
      </c>
      <c r="R610" s="38"/>
      <c r="S610" s="29"/>
      <c r="T610" s="31">
        <f>IF(base!R610&lt;&gt;"",VLOOKUP(R610,de_para!$A$1:$B$31,2,0)*base!S610,0)</f>
        <v>0</v>
      </c>
      <c r="U610" s="30">
        <f t="shared" si="10"/>
        <v>0</v>
      </c>
    </row>
    <row r="611" spans="1:21" x14ac:dyDescent="0.35">
      <c r="A611" s="29"/>
      <c r="B611" s="29"/>
      <c r="C611" s="29"/>
      <c r="D611" s="29"/>
      <c r="E611" s="29"/>
      <c r="F611" s="29"/>
      <c r="G611" s="29"/>
      <c r="H611" s="31">
        <f>IF(base!F611&lt;&gt;"",VLOOKUP(F611,de_para!$A$1:$B$31,2,0)*base!G611,0)</f>
        <v>0</v>
      </c>
      <c r="I611" s="38"/>
      <c r="J611" s="29"/>
      <c r="K611" s="31">
        <f>IF(base!I611&lt;&gt;"",VLOOKUP(I611,de_para!$A$1:$B$31,2,0)*base!J611,0)</f>
        <v>0</v>
      </c>
      <c r="L611" s="38"/>
      <c r="M611" s="29"/>
      <c r="N611" s="31">
        <f>IF(base!L611&lt;&gt;"",VLOOKUP(L611,de_para!$A$1:$B$31,2,0)*base!M611,0)</f>
        <v>0</v>
      </c>
      <c r="O611" s="38"/>
      <c r="P611" s="29"/>
      <c r="Q611" s="31">
        <f>IF(base!O611&lt;&gt;"",VLOOKUP(O611,de_para!$A$1:$B$31,2,0)*base!P611,0)</f>
        <v>0</v>
      </c>
      <c r="R611" s="38"/>
      <c r="S611" s="29"/>
      <c r="T611" s="31">
        <f>IF(base!R611&lt;&gt;"",VLOOKUP(R611,de_para!$A$1:$B$31,2,0)*base!S611,0)</f>
        <v>0</v>
      </c>
      <c r="U611" s="30">
        <f t="shared" si="10"/>
        <v>0</v>
      </c>
    </row>
    <row r="612" spans="1:21" x14ac:dyDescent="0.35">
      <c r="A612" s="29"/>
      <c r="B612" s="29"/>
      <c r="C612" s="29"/>
      <c r="D612" s="29"/>
      <c r="E612" s="29"/>
      <c r="F612" s="29"/>
      <c r="G612" s="29"/>
      <c r="H612" s="31">
        <f>IF(base!F612&lt;&gt;"",VLOOKUP(F612,de_para!$A$1:$B$31,2,0)*base!G612,0)</f>
        <v>0</v>
      </c>
      <c r="I612" s="38"/>
      <c r="J612" s="29"/>
      <c r="K612" s="31">
        <f>IF(base!I612&lt;&gt;"",VLOOKUP(I612,de_para!$A$1:$B$31,2,0)*base!J612,0)</f>
        <v>0</v>
      </c>
      <c r="L612" s="38"/>
      <c r="M612" s="29"/>
      <c r="N612" s="31">
        <f>IF(base!L612&lt;&gt;"",VLOOKUP(L612,de_para!$A$1:$B$31,2,0)*base!M612,0)</f>
        <v>0</v>
      </c>
      <c r="O612" s="38"/>
      <c r="P612" s="29"/>
      <c r="Q612" s="31">
        <f>IF(base!O612&lt;&gt;"",VLOOKUP(O612,de_para!$A$1:$B$31,2,0)*base!P612,0)</f>
        <v>0</v>
      </c>
      <c r="R612" s="38"/>
      <c r="S612" s="29"/>
      <c r="T612" s="31">
        <f>IF(base!R612&lt;&gt;"",VLOOKUP(R612,de_para!$A$1:$B$31,2,0)*base!S612,0)</f>
        <v>0</v>
      </c>
      <c r="U612" s="30">
        <f t="shared" si="10"/>
        <v>0</v>
      </c>
    </row>
    <row r="613" spans="1:21" x14ac:dyDescent="0.35">
      <c r="A613" s="29"/>
      <c r="B613" s="29"/>
      <c r="C613" s="29"/>
      <c r="D613" s="29"/>
      <c r="E613" s="29"/>
      <c r="F613" s="29"/>
      <c r="G613" s="29"/>
      <c r="H613" s="31">
        <f>IF(base!F613&lt;&gt;"",VLOOKUP(F613,de_para!$A$1:$B$31,2,0)*base!G613,0)</f>
        <v>0</v>
      </c>
      <c r="I613" s="38"/>
      <c r="J613" s="29"/>
      <c r="K613" s="31">
        <f>IF(base!I613&lt;&gt;"",VLOOKUP(I613,de_para!$A$1:$B$31,2,0)*base!J613,0)</f>
        <v>0</v>
      </c>
      <c r="L613" s="38"/>
      <c r="M613" s="29"/>
      <c r="N613" s="31">
        <f>IF(base!L613&lt;&gt;"",VLOOKUP(L613,de_para!$A$1:$B$31,2,0)*base!M613,0)</f>
        <v>0</v>
      </c>
      <c r="O613" s="38"/>
      <c r="P613" s="29"/>
      <c r="Q613" s="31">
        <f>IF(base!O613&lt;&gt;"",VLOOKUP(O613,de_para!$A$1:$B$31,2,0)*base!P613,0)</f>
        <v>0</v>
      </c>
      <c r="R613" s="38"/>
      <c r="S613" s="29"/>
      <c r="T613" s="31">
        <f>IF(base!R613&lt;&gt;"",VLOOKUP(R613,de_para!$A$1:$B$31,2,0)*base!S613,0)</f>
        <v>0</v>
      </c>
      <c r="U613" s="30">
        <f t="shared" si="10"/>
        <v>0</v>
      </c>
    </row>
    <row r="614" spans="1:21" x14ac:dyDescent="0.35">
      <c r="A614" s="29"/>
      <c r="B614" s="29"/>
      <c r="C614" s="29"/>
      <c r="D614" s="29"/>
      <c r="E614" s="29"/>
      <c r="F614" s="29"/>
      <c r="G614" s="29"/>
      <c r="H614" s="31">
        <f>IF(base!F614&lt;&gt;"",VLOOKUP(F614,de_para!$A$1:$B$31,2,0)*base!G614,0)</f>
        <v>0</v>
      </c>
      <c r="I614" s="38"/>
      <c r="J614" s="29"/>
      <c r="K614" s="31">
        <f>IF(base!I614&lt;&gt;"",VLOOKUP(I614,de_para!$A$1:$B$31,2,0)*base!J614,0)</f>
        <v>0</v>
      </c>
      <c r="L614" s="38"/>
      <c r="M614" s="29"/>
      <c r="N614" s="31">
        <f>IF(base!L614&lt;&gt;"",VLOOKUP(L614,de_para!$A$1:$B$31,2,0)*base!M614,0)</f>
        <v>0</v>
      </c>
      <c r="O614" s="38"/>
      <c r="P614" s="29"/>
      <c r="Q614" s="31">
        <f>IF(base!O614&lt;&gt;"",VLOOKUP(O614,de_para!$A$1:$B$31,2,0)*base!P614,0)</f>
        <v>0</v>
      </c>
      <c r="R614" s="38"/>
      <c r="S614" s="29"/>
      <c r="T614" s="31">
        <f>IF(base!R614&lt;&gt;"",VLOOKUP(R614,de_para!$A$1:$B$31,2,0)*base!S614,0)</f>
        <v>0</v>
      </c>
      <c r="U614" s="30">
        <f t="shared" si="10"/>
        <v>0</v>
      </c>
    </row>
    <row r="615" spans="1:21" x14ac:dyDescent="0.35">
      <c r="A615" s="29"/>
      <c r="B615" s="29"/>
      <c r="C615" s="29"/>
      <c r="D615" s="29"/>
      <c r="E615" s="29"/>
      <c r="F615" s="29"/>
      <c r="G615" s="29"/>
      <c r="H615" s="31">
        <f>IF(base!F615&lt;&gt;"",VLOOKUP(F615,de_para!$A$1:$B$31,2,0)*base!G615,0)</f>
        <v>0</v>
      </c>
      <c r="I615" s="38"/>
      <c r="J615" s="29"/>
      <c r="K615" s="31">
        <f>IF(base!I615&lt;&gt;"",VLOOKUP(I615,de_para!$A$1:$B$31,2,0)*base!J615,0)</f>
        <v>0</v>
      </c>
      <c r="L615" s="38"/>
      <c r="M615" s="29"/>
      <c r="N615" s="31">
        <f>IF(base!L615&lt;&gt;"",VLOOKUP(L615,de_para!$A$1:$B$31,2,0)*base!M615,0)</f>
        <v>0</v>
      </c>
      <c r="O615" s="38"/>
      <c r="P615" s="29"/>
      <c r="Q615" s="31">
        <f>IF(base!O615&lt;&gt;"",VLOOKUP(O615,de_para!$A$1:$B$31,2,0)*base!P615,0)</f>
        <v>0</v>
      </c>
      <c r="R615" s="38"/>
      <c r="S615" s="29"/>
      <c r="T615" s="31">
        <f>IF(base!R615&lt;&gt;"",VLOOKUP(R615,de_para!$A$1:$B$31,2,0)*base!S615,0)</f>
        <v>0</v>
      </c>
      <c r="U615" s="30">
        <f t="shared" si="10"/>
        <v>0</v>
      </c>
    </row>
    <row r="616" spans="1:21" x14ac:dyDescent="0.35">
      <c r="A616" s="29"/>
      <c r="B616" s="29"/>
      <c r="C616" s="29"/>
      <c r="D616" s="29"/>
      <c r="E616" s="29"/>
      <c r="F616" s="29"/>
      <c r="G616" s="29"/>
      <c r="H616" s="31">
        <f>IF(base!F616&lt;&gt;"",VLOOKUP(F616,de_para!$A$1:$B$31,2,0)*base!G616,0)</f>
        <v>0</v>
      </c>
      <c r="I616" s="38"/>
      <c r="J616" s="29"/>
      <c r="K616" s="31">
        <f>IF(base!I616&lt;&gt;"",VLOOKUP(I616,de_para!$A$1:$B$31,2,0)*base!J616,0)</f>
        <v>0</v>
      </c>
      <c r="L616" s="38"/>
      <c r="M616" s="29"/>
      <c r="N616" s="31">
        <f>IF(base!L616&lt;&gt;"",VLOOKUP(L616,de_para!$A$1:$B$31,2,0)*base!M616,0)</f>
        <v>0</v>
      </c>
      <c r="O616" s="38"/>
      <c r="P616" s="29"/>
      <c r="Q616" s="31">
        <f>IF(base!O616&lt;&gt;"",VLOOKUP(O616,de_para!$A$1:$B$31,2,0)*base!P616,0)</f>
        <v>0</v>
      </c>
      <c r="R616" s="38"/>
      <c r="S616" s="29"/>
      <c r="T616" s="31">
        <f>IF(base!R616&lt;&gt;"",VLOOKUP(R616,de_para!$A$1:$B$31,2,0)*base!S616,0)</f>
        <v>0</v>
      </c>
      <c r="U616" s="30">
        <f t="shared" si="10"/>
        <v>0</v>
      </c>
    </row>
    <row r="617" spans="1:21" x14ac:dyDescent="0.35">
      <c r="A617" s="29"/>
      <c r="B617" s="29"/>
      <c r="C617" s="29"/>
      <c r="D617" s="29"/>
      <c r="E617" s="29"/>
      <c r="F617" s="29"/>
      <c r="G617" s="29"/>
      <c r="H617" s="31">
        <f>IF(base!F617&lt;&gt;"",VLOOKUP(F617,de_para!$A$1:$B$31,2,0)*base!G617,0)</f>
        <v>0</v>
      </c>
      <c r="I617" s="38"/>
      <c r="J617" s="29"/>
      <c r="K617" s="31">
        <f>IF(base!I617&lt;&gt;"",VLOOKUP(I617,de_para!$A$1:$B$31,2,0)*base!J617,0)</f>
        <v>0</v>
      </c>
      <c r="L617" s="38"/>
      <c r="M617" s="29"/>
      <c r="N617" s="31">
        <f>IF(base!L617&lt;&gt;"",VLOOKUP(L617,de_para!$A$1:$B$31,2,0)*base!M617,0)</f>
        <v>0</v>
      </c>
      <c r="O617" s="38"/>
      <c r="P617" s="29"/>
      <c r="Q617" s="31">
        <f>IF(base!O617&lt;&gt;"",VLOOKUP(O617,de_para!$A$1:$B$31,2,0)*base!P617,0)</f>
        <v>0</v>
      </c>
      <c r="R617" s="38"/>
      <c r="S617" s="29"/>
      <c r="T617" s="31">
        <f>IF(base!R617&lt;&gt;"",VLOOKUP(R617,de_para!$A$1:$B$31,2,0)*base!S617,0)</f>
        <v>0</v>
      </c>
      <c r="U617" s="30">
        <f t="shared" si="10"/>
        <v>0</v>
      </c>
    </row>
    <row r="618" spans="1:21" x14ac:dyDescent="0.35">
      <c r="A618" s="29"/>
      <c r="B618" s="29"/>
      <c r="C618" s="29"/>
      <c r="D618" s="29"/>
      <c r="E618" s="29"/>
      <c r="F618" s="29"/>
      <c r="G618" s="29"/>
      <c r="H618" s="31">
        <f>IF(base!F618&lt;&gt;"",VLOOKUP(F618,de_para!$A$1:$B$31,2,0)*base!G618,0)</f>
        <v>0</v>
      </c>
      <c r="I618" s="38"/>
      <c r="J618" s="29"/>
      <c r="K618" s="31">
        <f>IF(base!I618&lt;&gt;"",VLOOKUP(I618,de_para!$A$1:$B$31,2,0)*base!J618,0)</f>
        <v>0</v>
      </c>
      <c r="L618" s="38"/>
      <c r="M618" s="29"/>
      <c r="N618" s="31">
        <f>IF(base!L618&lt;&gt;"",VLOOKUP(L618,de_para!$A$1:$B$31,2,0)*base!M618,0)</f>
        <v>0</v>
      </c>
      <c r="O618" s="38"/>
      <c r="P618" s="29"/>
      <c r="Q618" s="31">
        <f>IF(base!O618&lt;&gt;"",VLOOKUP(O618,de_para!$A$1:$B$31,2,0)*base!P618,0)</f>
        <v>0</v>
      </c>
      <c r="R618" s="38"/>
      <c r="S618" s="29"/>
      <c r="T618" s="31">
        <f>IF(base!R618&lt;&gt;"",VLOOKUP(R618,de_para!$A$1:$B$31,2,0)*base!S618,0)</f>
        <v>0</v>
      </c>
      <c r="U618" s="30">
        <f t="shared" si="10"/>
        <v>0</v>
      </c>
    </row>
    <row r="619" spans="1:21" x14ac:dyDescent="0.35">
      <c r="A619" s="29"/>
      <c r="B619" s="29"/>
      <c r="C619" s="29"/>
      <c r="D619" s="29"/>
      <c r="E619" s="29"/>
      <c r="F619" s="29"/>
      <c r="G619" s="29"/>
      <c r="H619" s="31">
        <f>IF(base!F619&lt;&gt;"",VLOOKUP(F619,de_para!$A$1:$B$31,2,0)*base!G619,0)</f>
        <v>0</v>
      </c>
      <c r="I619" s="38"/>
      <c r="J619" s="29"/>
      <c r="K619" s="31">
        <f>IF(base!I619&lt;&gt;"",VLOOKUP(I619,de_para!$A$1:$B$31,2,0)*base!J619,0)</f>
        <v>0</v>
      </c>
      <c r="L619" s="38"/>
      <c r="M619" s="29"/>
      <c r="N619" s="31">
        <f>IF(base!L619&lt;&gt;"",VLOOKUP(L619,de_para!$A$1:$B$31,2,0)*base!M619,0)</f>
        <v>0</v>
      </c>
      <c r="O619" s="38"/>
      <c r="P619" s="29"/>
      <c r="Q619" s="31">
        <f>IF(base!O619&lt;&gt;"",VLOOKUP(O619,de_para!$A$1:$B$31,2,0)*base!P619,0)</f>
        <v>0</v>
      </c>
      <c r="R619" s="38"/>
      <c r="S619" s="29"/>
      <c r="T619" s="31">
        <f>IF(base!R619&lt;&gt;"",VLOOKUP(R619,de_para!$A$1:$B$31,2,0)*base!S619,0)</f>
        <v>0</v>
      </c>
      <c r="U619" s="30">
        <f t="shared" si="10"/>
        <v>0</v>
      </c>
    </row>
    <row r="620" spans="1:21" x14ac:dyDescent="0.35">
      <c r="A620" s="29"/>
      <c r="B620" s="29"/>
      <c r="C620" s="29"/>
      <c r="D620" s="29"/>
      <c r="E620" s="29"/>
      <c r="F620" s="29"/>
      <c r="G620" s="29"/>
      <c r="H620" s="31">
        <f>IF(base!F620&lt;&gt;"",VLOOKUP(F620,de_para!$A$1:$B$31,2,0)*base!G620,0)</f>
        <v>0</v>
      </c>
      <c r="I620" s="38"/>
      <c r="J620" s="29"/>
      <c r="K620" s="31">
        <f>IF(base!I620&lt;&gt;"",VLOOKUP(I620,de_para!$A$1:$B$31,2,0)*base!J620,0)</f>
        <v>0</v>
      </c>
      <c r="L620" s="38"/>
      <c r="M620" s="29"/>
      <c r="N620" s="31">
        <f>IF(base!L620&lt;&gt;"",VLOOKUP(L620,de_para!$A$1:$B$31,2,0)*base!M620,0)</f>
        <v>0</v>
      </c>
      <c r="O620" s="38"/>
      <c r="P620" s="29"/>
      <c r="Q620" s="31">
        <f>IF(base!O620&lt;&gt;"",VLOOKUP(O620,de_para!$A$1:$B$31,2,0)*base!P620,0)</f>
        <v>0</v>
      </c>
      <c r="R620" s="38"/>
      <c r="S620" s="29"/>
      <c r="T620" s="31">
        <f>IF(base!R620&lt;&gt;"",VLOOKUP(R620,de_para!$A$1:$B$31,2,0)*base!S620,0)</f>
        <v>0</v>
      </c>
      <c r="U620" s="30">
        <f t="shared" si="10"/>
        <v>0</v>
      </c>
    </row>
    <row r="621" spans="1:21" x14ac:dyDescent="0.35">
      <c r="A621" s="29"/>
      <c r="B621" s="29"/>
      <c r="C621" s="29"/>
      <c r="D621" s="29"/>
      <c r="E621" s="29"/>
      <c r="F621" s="29"/>
      <c r="G621" s="29"/>
      <c r="H621" s="31">
        <f>IF(base!F621&lt;&gt;"",VLOOKUP(F621,de_para!$A$1:$B$31,2,0)*base!G621,0)</f>
        <v>0</v>
      </c>
      <c r="I621" s="38"/>
      <c r="J621" s="29"/>
      <c r="K621" s="31">
        <f>IF(base!I621&lt;&gt;"",VLOOKUP(I621,de_para!$A$1:$B$31,2,0)*base!J621,0)</f>
        <v>0</v>
      </c>
      <c r="L621" s="38"/>
      <c r="M621" s="29"/>
      <c r="N621" s="31">
        <f>IF(base!L621&lt;&gt;"",VLOOKUP(L621,de_para!$A$1:$B$31,2,0)*base!M621,0)</f>
        <v>0</v>
      </c>
      <c r="O621" s="38"/>
      <c r="P621" s="29"/>
      <c r="Q621" s="31">
        <f>IF(base!O621&lt;&gt;"",VLOOKUP(O621,de_para!$A$1:$B$31,2,0)*base!P621,0)</f>
        <v>0</v>
      </c>
      <c r="R621" s="38"/>
      <c r="S621" s="29"/>
      <c r="T621" s="31">
        <f>IF(base!R621&lt;&gt;"",VLOOKUP(R621,de_para!$A$1:$B$31,2,0)*base!S621,0)</f>
        <v>0</v>
      </c>
      <c r="U621" s="30">
        <f t="shared" si="10"/>
        <v>0</v>
      </c>
    </row>
    <row r="622" spans="1:21" x14ac:dyDescent="0.35">
      <c r="A622" s="29"/>
      <c r="B622" s="29"/>
      <c r="C622" s="29"/>
      <c r="D622" s="29"/>
      <c r="E622" s="29"/>
      <c r="F622" s="29"/>
      <c r="G622" s="29"/>
      <c r="H622" s="31">
        <f>IF(base!F622&lt;&gt;"",VLOOKUP(F622,de_para!$A$1:$B$31,2,0)*base!G622,0)</f>
        <v>0</v>
      </c>
      <c r="I622" s="38"/>
      <c r="J622" s="29"/>
      <c r="K622" s="31">
        <f>IF(base!I622&lt;&gt;"",VLOOKUP(I622,de_para!$A$1:$B$31,2,0)*base!J622,0)</f>
        <v>0</v>
      </c>
      <c r="L622" s="38"/>
      <c r="M622" s="29"/>
      <c r="N622" s="31">
        <f>IF(base!L622&lt;&gt;"",VLOOKUP(L622,de_para!$A$1:$B$31,2,0)*base!M622,0)</f>
        <v>0</v>
      </c>
      <c r="O622" s="38"/>
      <c r="P622" s="29"/>
      <c r="Q622" s="31">
        <f>IF(base!O622&lt;&gt;"",VLOOKUP(O622,de_para!$A$1:$B$31,2,0)*base!P622,0)</f>
        <v>0</v>
      </c>
      <c r="R622" s="38"/>
      <c r="S622" s="29"/>
      <c r="T622" s="31">
        <f>IF(base!R622&lt;&gt;"",VLOOKUP(R622,de_para!$A$1:$B$31,2,0)*base!S622,0)</f>
        <v>0</v>
      </c>
      <c r="U622" s="30">
        <f t="shared" si="10"/>
        <v>0</v>
      </c>
    </row>
    <row r="623" spans="1:21" x14ac:dyDescent="0.35">
      <c r="A623" s="29"/>
      <c r="B623" s="29"/>
      <c r="C623" s="29"/>
      <c r="D623" s="29"/>
      <c r="E623" s="29"/>
      <c r="F623" s="29"/>
      <c r="G623" s="29"/>
      <c r="H623" s="31">
        <f>IF(base!F623&lt;&gt;"",VLOOKUP(F623,de_para!$A$1:$B$31,2,0)*base!G623,0)</f>
        <v>0</v>
      </c>
      <c r="I623" s="38"/>
      <c r="J623" s="29"/>
      <c r="K623" s="31">
        <f>IF(base!I623&lt;&gt;"",VLOOKUP(I623,de_para!$A$1:$B$31,2,0)*base!J623,0)</f>
        <v>0</v>
      </c>
      <c r="L623" s="38"/>
      <c r="M623" s="29"/>
      <c r="N623" s="31">
        <f>IF(base!L623&lt;&gt;"",VLOOKUP(L623,de_para!$A$1:$B$31,2,0)*base!M623,0)</f>
        <v>0</v>
      </c>
      <c r="O623" s="38"/>
      <c r="P623" s="29"/>
      <c r="Q623" s="31">
        <f>IF(base!O623&lt;&gt;"",VLOOKUP(O623,de_para!$A$1:$B$31,2,0)*base!P623,0)</f>
        <v>0</v>
      </c>
      <c r="R623" s="38"/>
      <c r="S623" s="29"/>
      <c r="T623" s="31">
        <f>IF(base!R623&lt;&gt;"",VLOOKUP(R623,de_para!$A$1:$B$31,2,0)*base!S623,0)</f>
        <v>0</v>
      </c>
      <c r="U623" s="30">
        <f t="shared" si="10"/>
        <v>0</v>
      </c>
    </row>
    <row r="624" spans="1:21" x14ac:dyDescent="0.35">
      <c r="A624" s="29"/>
      <c r="B624" s="29"/>
      <c r="C624" s="29"/>
      <c r="D624" s="29"/>
      <c r="E624" s="29"/>
      <c r="F624" s="29"/>
      <c r="G624" s="29"/>
      <c r="H624" s="31">
        <f>IF(base!F624&lt;&gt;"",VLOOKUP(F624,de_para!$A$1:$B$31,2,0)*base!G624,0)</f>
        <v>0</v>
      </c>
      <c r="I624" s="38"/>
      <c r="J624" s="29"/>
      <c r="K624" s="31">
        <f>IF(base!I624&lt;&gt;"",VLOOKUP(I624,de_para!$A$1:$B$31,2,0)*base!J624,0)</f>
        <v>0</v>
      </c>
      <c r="L624" s="38"/>
      <c r="M624" s="29"/>
      <c r="N624" s="31">
        <f>IF(base!L624&lt;&gt;"",VLOOKUP(L624,de_para!$A$1:$B$31,2,0)*base!M624,0)</f>
        <v>0</v>
      </c>
      <c r="O624" s="38"/>
      <c r="P624" s="29"/>
      <c r="Q624" s="31">
        <f>IF(base!O624&lt;&gt;"",VLOOKUP(O624,de_para!$A$1:$B$31,2,0)*base!P624,0)</f>
        <v>0</v>
      </c>
      <c r="R624" s="38"/>
      <c r="S624" s="29"/>
      <c r="T624" s="31">
        <f>IF(base!R624&lt;&gt;"",VLOOKUP(R624,de_para!$A$1:$B$31,2,0)*base!S624,0)</f>
        <v>0</v>
      </c>
      <c r="U624" s="30">
        <f t="shared" si="10"/>
        <v>0</v>
      </c>
    </row>
    <row r="625" spans="1:21" x14ac:dyDescent="0.35">
      <c r="A625" s="29"/>
      <c r="B625" s="29"/>
      <c r="C625" s="29"/>
      <c r="D625" s="29"/>
      <c r="E625" s="29"/>
      <c r="F625" s="29"/>
      <c r="G625" s="29"/>
      <c r="H625" s="31">
        <f>IF(base!F625&lt;&gt;"",VLOOKUP(F625,de_para!$A$1:$B$31,2,0)*base!G625,0)</f>
        <v>0</v>
      </c>
      <c r="I625" s="38"/>
      <c r="J625" s="29"/>
      <c r="K625" s="31">
        <f>IF(base!I625&lt;&gt;"",VLOOKUP(I625,de_para!$A$1:$B$31,2,0)*base!J625,0)</f>
        <v>0</v>
      </c>
      <c r="L625" s="38"/>
      <c r="M625" s="29"/>
      <c r="N625" s="31">
        <f>IF(base!L625&lt;&gt;"",VLOOKUP(L625,de_para!$A$1:$B$31,2,0)*base!M625,0)</f>
        <v>0</v>
      </c>
      <c r="O625" s="38"/>
      <c r="P625" s="29"/>
      <c r="Q625" s="31">
        <f>IF(base!O625&lt;&gt;"",VLOOKUP(O625,de_para!$A$1:$B$31,2,0)*base!P625,0)</f>
        <v>0</v>
      </c>
      <c r="R625" s="38"/>
      <c r="S625" s="29"/>
      <c r="T625" s="31">
        <f>IF(base!R625&lt;&gt;"",VLOOKUP(R625,de_para!$A$1:$B$31,2,0)*base!S625,0)</f>
        <v>0</v>
      </c>
      <c r="U625" s="30">
        <f t="shared" si="10"/>
        <v>0</v>
      </c>
    </row>
    <row r="626" spans="1:21" x14ac:dyDescent="0.35">
      <c r="A626" s="29"/>
      <c r="B626" s="29"/>
      <c r="C626" s="29"/>
      <c r="D626" s="29"/>
      <c r="E626" s="29"/>
      <c r="F626" s="29"/>
      <c r="G626" s="29"/>
      <c r="H626" s="31">
        <f>IF(base!F626&lt;&gt;"",VLOOKUP(F626,de_para!$A$1:$B$31,2,0)*base!G626,0)</f>
        <v>0</v>
      </c>
      <c r="I626" s="38"/>
      <c r="J626" s="29"/>
      <c r="K626" s="31">
        <f>IF(base!I626&lt;&gt;"",VLOOKUP(I626,de_para!$A$1:$B$31,2,0)*base!J626,0)</f>
        <v>0</v>
      </c>
      <c r="L626" s="38"/>
      <c r="M626" s="29"/>
      <c r="N626" s="31">
        <f>IF(base!L626&lt;&gt;"",VLOOKUP(L626,de_para!$A$1:$B$31,2,0)*base!M626,0)</f>
        <v>0</v>
      </c>
      <c r="O626" s="38"/>
      <c r="P626" s="29"/>
      <c r="Q626" s="31">
        <f>IF(base!O626&lt;&gt;"",VLOOKUP(O626,de_para!$A$1:$B$31,2,0)*base!P626,0)</f>
        <v>0</v>
      </c>
      <c r="R626" s="38"/>
      <c r="S626" s="29"/>
      <c r="T626" s="31">
        <f>IF(base!R626&lt;&gt;"",VLOOKUP(R626,de_para!$A$1:$B$31,2,0)*base!S626,0)</f>
        <v>0</v>
      </c>
      <c r="U626" s="30">
        <f t="shared" si="10"/>
        <v>0</v>
      </c>
    </row>
    <row r="627" spans="1:21" x14ac:dyDescent="0.35">
      <c r="A627" s="29"/>
      <c r="B627" s="29"/>
      <c r="C627" s="29"/>
      <c r="D627" s="29"/>
      <c r="E627" s="29"/>
      <c r="F627" s="29"/>
      <c r="G627" s="29"/>
      <c r="H627" s="31">
        <f>IF(base!F627&lt;&gt;"",VLOOKUP(F627,de_para!$A$1:$B$31,2,0)*base!G627,0)</f>
        <v>0</v>
      </c>
      <c r="I627" s="38"/>
      <c r="J627" s="29"/>
      <c r="K627" s="31">
        <f>IF(base!I627&lt;&gt;"",VLOOKUP(I627,de_para!$A$1:$B$31,2,0)*base!J627,0)</f>
        <v>0</v>
      </c>
      <c r="L627" s="38"/>
      <c r="M627" s="29"/>
      <c r="N627" s="31">
        <f>IF(base!L627&lt;&gt;"",VLOOKUP(L627,de_para!$A$1:$B$31,2,0)*base!M627,0)</f>
        <v>0</v>
      </c>
      <c r="O627" s="38"/>
      <c r="P627" s="29"/>
      <c r="Q627" s="31">
        <f>IF(base!O627&lt;&gt;"",VLOOKUP(O627,de_para!$A$1:$B$31,2,0)*base!P627,0)</f>
        <v>0</v>
      </c>
      <c r="R627" s="38"/>
      <c r="S627" s="29"/>
      <c r="T627" s="31">
        <f>IF(base!R627&lt;&gt;"",VLOOKUP(R627,de_para!$A$1:$B$31,2,0)*base!S627,0)</f>
        <v>0</v>
      </c>
      <c r="U627" s="30">
        <f t="shared" si="10"/>
        <v>0</v>
      </c>
    </row>
    <row r="628" spans="1:21" x14ac:dyDescent="0.35">
      <c r="A628" s="29"/>
      <c r="B628" s="29"/>
      <c r="C628" s="29"/>
      <c r="D628" s="29"/>
      <c r="E628" s="29"/>
      <c r="F628" s="29"/>
      <c r="G628" s="29"/>
      <c r="H628" s="31">
        <f>IF(base!F628&lt;&gt;"",VLOOKUP(F628,de_para!$A$1:$B$31,2,0)*base!G628,0)</f>
        <v>0</v>
      </c>
      <c r="I628" s="38"/>
      <c r="J628" s="29"/>
      <c r="K628" s="31">
        <f>IF(base!I628&lt;&gt;"",VLOOKUP(I628,de_para!$A$1:$B$31,2,0)*base!J628,0)</f>
        <v>0</v>
      </c>
      <c r="L628" s="38"/>
      <c r="M628" s="29"/>
      <c r="N628" s="31">
        <f>IF(base!L628&lt;&gt;"",VLOOKUP(L628,de_para!$A$1:$B$31,2,0)*base!M628,0)</f>
        <v>0</v>
      </c>
      <c r="O628" s="38"/>
      <c r="P628" s="29"/>
      <c r="Q628" s="31">
        <f>IF(base!O628&lt;&gt;"",VLOOKUP(O628,de_para!$A$1:$B$31,2,0)*base!P628,0)</f>
        <v>0</v>
      </c>
      <c r="R628" s="38"/>
      <c r="S628" s="29"/>
      <c r="T628" s="31">
        <f>IF(base!R628&lt;&gt;"",VLOOKUP(R628,de_para!$A$1:$B$31,2,0)*base!S628,0)</f>
        <v>0</v>
      </c>
      <c r="U628" s="30">
        <f t="shared" si="10"/>
        <v>0</v>
      </c>
    </row>
    <row r="629" spans="1:21" x14ac:dyDescent="0.35">
      <c r="A629" s="29"/>
      <c r="B629" s="29"/>
      <c r="C629" s="29"/>
      <c r="D629" s="29"/>
      <c r="E629" s="29"/>
      <c r="F629" s="29"/>
      <c r="G629" s="29"/>
      <c r="H629" s="31">
        <f>IF(base!F629&lt;&gt;"",VLOOKUP(F629,de_para!$A$1:$B$31,2,0)*base!G629,0)</f>
        <v>0</v>
      </c>
      <c r="I629" s="38"/>
      <c r="J629" s="29"/>
      <c r="K629" s="31">
        <f>IF(base!I629&lt;&gt;"",VLOOKUP(I629,de_para!$A$1:$B$31,2,0)*base!J629,0)</f>
        <v>0</v>
      </c>
      <c r="L629" s="38"/>
      <c r="M629" s="29"/>
      <c r="N629" s="31">
        <f>IF(base!L629&lt;&gt;"",VLOOKUP(L629,de_para!$A$1:$B$31,2,0)*base!M629,0)</f>
        <v>0</v>
      </c>
      <c r="O629" s="38"/>
      <c r="P629" s="29"/>
      <c r="Q629" s="31">
        <f>IF(base!O629&lt;&gt;"",VLOOKUP(O629,de_para!$A$1:$B$31,2,0)*base!P629,0)</f>
        <v>0</v>
      </c>
      <c r="R629" s="38"/>
      <c r="S629" s="29"/>
      <c r="T629" s="31">
        <f>IF(base!R629&lt;&gt;"",VLOOKUP(R629,de_para!$A$1:$B$31,2,0)*base!S629,0)</f>
        <v>0</v>
      </c>
      <c r="U629" s="30">
        <f t="shared" si="10"/>
        <v>0</v>
      </c>
    </row>
    <row r="630" spans="1:21" x14ac:dyDescent="0.35">
      <c r="A630" s="29"/>
      <c r="B630" s="29"/>
      <c r="C630" s="29"/>
      <c r="D630" s="29"/>
      <c r="E630" s="29"/>
      <c r="F630" s="29"/>
      <c r="G630" s="29"/>
      <c r="H630" s="31">
        <f>IF(base!F630&lt;&gt;"",VLOOKUP(F630,de_para!$A$1:$B$31,2,0)*base!G630,0)</f>
        <v>0</v>
      </c>
      <c r="I630" s="38"/>
      <c r="J630" s="29"/>
      <c r="K630" s="31">
        <f>IF(base!I630&lt;&gt;"",VLOOKUP(I630,de_para!$A$1:$B$31,2,0)*base!J630,0)</f>
        <v>0</v>
      </c>
      <c r="L630" s="38"/>
      <c r="M630" s="29"/>
      <c r="N630" s="31">
        <f>IF(base!L630&lt;&gt;"",VLOOKUP(L630,de_para!$A$1:$B$31,2,0)*base!M630,0)</f>
        <v>0</v>
      </c>
      <c r="O630" s="38"/>
      <c r="P630" s="29"/>
      <c r="Q630" s="31">
        <f>IF(base!O630&lt;&gt;"",VLOOKUP(O630,de_para!$A$1:$B$31,2,0)*base!P630,0)</f>
        <v>0</v>
      </c>
      <c r="R630" s="38"/>
      <c r="S630" s="29"/>
      <c r="T630" s="31">
        <f>IF(base!R630&lt;&gt;"",VLOOKUP(R630,de_para!$A$1:$B$31,2,0)*base!S630,0)</f>
        <v>0</v>
      </c>
      <c r="U630" s="30">
        <f t="shared" si="10"/>
        <v>0</v>
      </c>
    </row>
    <row r="631" spans="1:21" x14ac:dyDescent="0.35">
      <c r="A631" s="29"/>
      <c r="B631" s="29"/>
      <c r="C631" s="29"/>
      <c r="D631" s="29"/>
      <c r="E631" s="29"/>
      <c r="F631" s="29"/>
      <c r="G631" s="29"/>
      <c r="H631" s="31">
        <f>IF(base!F631&lt;&gt;"",VLOOKUP(F631,de_para!$A$1:$B$31,2,0)*base!G631,0)</f>
        <v>0</v>
      </c>
      <c r="I631" s="38"/>
      <c r="J631" s="29"/>
      <c r="K631" s="31">
        <f>IF(base!I631&lt;&gt;"",VLOOKUP(I631,de_para!$A$1:$B$31,2,0)*base!J631,0)</f>
        <v>0</v>
      </c>
      <c r="L631" s="38"/>
      <c r="M631" s="29"/>
      <c r="N631" s="31">
        <f>IF(base!L631&lt;&gt;"",VLOOKUP(L631,de_para!$A$1:$B$31,2,0)*base!M631,0)</f>
        <v>0</v>
      </c>
      <c r="O631" s="38"/>
      <c r="P631" s="29"/>
      <c r="Q631" s="31">
        <f>IF(base!O631&lt;&gt;"",VLOOKUP(O631,de_para!$A$1:$B$31,2,0)*base!P631,0)</f>
        <v>0</v>
      </c>
      <c r="R631" s="38"/>
      <c r="S631" s="29"/>
      <c r="T631" s="31">
        <f>IF(base!R631&lt;&gt;"",VLOOKUP(R631,de_para!$A$1:$B$31,2,0)*base!S631,0)</f>
        <v>0</v>
      </c>
      <c r="U631" s="30">
        <f t="shared" ref="U631:U694" si="11">H631+K631+N631+Q631+T631</f>
        <v>0</v>
      </c>
    </row>
    <row r="632" spans="1:21" x14ac:dyDescent="0.35">
      <c r="A632" s="29"/>
      <c r="B632" s="29"/>
      <c r="C632" s="29"/>
      <c r="D632" s="29"/>
      <c r="E632" s="29"/>
      <c r="F632" s="29"/>
      <c r="G632" s="29"/>
      <c r="H632" s="31">
        <f>IF(base!F632&lt;&gt;"",VLOOKUP(F632,de_para!$A$1:$B$31,2,0)*base!G632,0)</f>
        <v>0</v>
      </c>
      <c r="I632" s="38"/>
      <c r="J632" s="29"/>
      <c r="K632" s="31">
        <f>IF(base!I632&lt;&gt;"",VLOOKUP(I632,de_para!$A$1:$B$31,2,0)*base!J632,0)</f>
        <v>0</v>
      </c>
      <c r="L632" s="38"/>
      <c r="M632" s="29"/>
      <c r="N632" s="31">
        <f>IF(base!L632&lt;&gt;"",VLOOKUP(L632,de_para!$A$1:$B$31,2,0)*base!M632,0)</f>
        <v>0</v>
      </c>
      <c r="O632" s="38"/>
      <c r="P632" s="29"/>
      <c r="Q632" s="31">
        <f>IF(base!O632&lt;&gt;"",VLOOKUP(O632,de_para!$A$1:$B$31,2,0)*base!P632,0)</f>
        <v>0</v>
      </c>
      <c r="R632" s="38"/>
      <c r="S632" s="29"/>
      <c r="T632" s="31">
        <f>IF(base!R632&lt;&gt;"",VLOOKUP(R632,de_para!$A$1:$B$31,2,0)*base!S632,0)</f>
        <v>0</v>
      </c>
      <c r="U632" s="30">
        <f t="shared" si="11"/>
        <v>0</v>
      </c>
    </row>
    <row r="633" spans="1:21" x14ac:dyDescent="0.35">
      <c r="A633" s="29"/>
      <c r="B633" s="29"/>
      <c r="C633" s="29"/>
      <c r="D633" s="29"/>
      <c r="E633" s="29"/>
      <c r="F633" s="29"/>
      <c r="G633" s="29"/>
      <c r="H633" s="31">
        <f>IF(base!F633&lt;&gt;"",VLOOKUP(F633,de_para!$A$1:$B$31,2,0)*base!G633,0)</f>
        <v>0</v>
      </c>
      <c r="I633" s="38"/>
      <c r="J633" s="29"/>
      <c r="K633" s="31">
        <f>IF(base!I633&lt;&gt;"",VLOOKUP(I633,de_para!$A$1:$B$31,2,0)*base!J633,0)</f>
        <v>0</v>
      </c>
      <c r="L633" s="38"/>
      <c r="M633" s="29"/>
      <c r="N633" s="31">
        <f>IF(base!L633&lt;&gt;"",VLOOKUP(L633,de_para!$A$1:$B$31,2,0)*base!M633,0)</f>
        <v>0</v>
      </c>
      <c r="O633" s="38"/>
      <c r="P633" s="29"/>
      <c r="Q633" s="31">
        <f>IF(base!O633&lt;&gt;"",VLOOKUP(O633,de_para!$A$1:$B$31,2,0)*base!P633,0)</f>
        <v>0</v>
      </c>
      <c r="R633" s="38"/>
      <c r="S633" s="29"/>
      <c r="T633" s="31">
        <f>IF(base!R633&lt;&gt;"",VLOOKUP(R633,de_para!$A$1:$B$31,2,0)*base!S633,0)</f>
        <v>0</v>
      </c>
      <c r="U633" s="30">
        <f t="shared" si="11"/>
        <v>0</v>
      </c>
    </row>
    <row r="634" spans="1:21" x14ac:dyDescent="0.35">
      <c r="A634" s="29"/>
      <c r="B634" s="29"/>
      <c r="C634" s="29"/>
      <c r="D634" s="29"/>
      <c r="E634" s="29"/>
      <c r="F634" s="29"/>
      <c r="G634" s="29"/>
      <c r="H634" s="31">
        <f>IF(base!F634&lt;&gt;"",VLOOKUP(F634,de_para!$A$1:$B$31,2,0)*base!G634,0)</f>
        <v>0</v>
      </c>
      <c r="I634" s="38"/>
      <c r="J634" s="29"/>
      <c r="K634" s="31">
        <f>IF(base!I634&lt;&gt;"",VLOOKUP(I634,de_para!$A$1:$B$31,2,0)*base!J634,0)</f>
        <v>0</v>
      </c>
      <c r="L634" s="38"/>
      <c r="M634" s="29"/>
      <c r="N634" s="31">
        <f>IF(base!L634&lt;&gt;"",VLOOKUP(L634,de_para!$A$1:$B$31,2,0)*base!M634,0)</f>
        <v>0</v>
      </c>
      <c r="O634" s="38"/>
      <c r="P634" s="29"/>
      <c r="Q634" s="31">
        <f>IF(base!O634&lt;&gt;"",VLOOKUP(O634,de_para!$A$1:$B$31,2,0)*base!P634,0)</f>
        <v>0</v>
      </c>
      <c r="R634" s="38"/>
      <c r="S634" s="29"/>
      <c r="T634" s="31">
        <f>IF(base!R634&lt;&gt;"",VLOOKUP(R634,de_para!$A$1:$B$31,2,0)*base!S634,0)</f>
        <v>0</v>
      </c>
      <c r="U634" s="30">
        <f t="shared" si="11"/>
        <v>0</v>
      </c>
    </row>
    <row r="635" spans="1:21" x14ac:dyDescent="0.35">
      <c r="A635" s="29"/>
      <c r="B635" s="29"/>
      <c r="C635" s="29"/>
      <c r="D635" s="29"/>
      <c r="E635" s="29"/>
      <c r="F635" s="29"/>
      <c r="G635" s="29"/>
      <c r="H635" s="31">
        <f>IF(base!F635&lt;&gt;"",VLOOKUP(F635,de_para!$A$1:$B$31,2,0)*base!G635,0)</f>
        <v>0</v>
      </c>
      <c r="I635" s="38"/>
      <c r="J635" s="29"/>
      <c r="K635" s="31">
        <f>IF(base!I635&lt;&gt;"",VLOOKUP(I635,de_para!$A$1:$B$31,2,0)*base!J635,0)</f>
        <v>0</v>
      </c>
      <c r="L635" s="38"/>
      <c r="M635" s="29"/>
      <c r="N635" s="31">
        <f>IF(base!L635&lt;&gt;"",VLOOKUP(L635,de_para!$A$1:$B$31,2,0)*base!M635,0)</f>
        <v>0</v>
      </c>
      <c r="O635" s="38"/>
      <c r="P635" s="29"/>
      <c r="Q635" s="31">
        <f>IF(base!O635&lt;&gt;"",VLOOKUP(O635,de_para!$A$1:$B$31,2,0)*base!P635,0)</f>
        <v>0</v>
      </c>
      <c r="R635" s="38"/>
      <c r="S635" s="29"/>
      <c r="T635" s="31">
        <f>IF(base!R635&lt;&gt;"",VLOOKUP(R635,de_para!$A$1:$B$31,2,0)*base!S635,0)</f>
        <v>0</v>
      </c>
      <c r="U635" s="30">
        <f t="shared" si="11"/>
        <v>0</v>
      </c>
    </row>
    <row r="636" spans="1:21" x14ac:dyDescent="0.35">
      <c r="A636" s="29"/>
      <c r="B636" s="29"/>
      <c r="C636" s="29"/>
      <c r="D636" s="29"/>
      <c r="E636" s="29"/>
      <c r="F636" s="29"/>
      <c r="G636" s="29"/>
      <c r="H636" s="31">
        <f>IF(base!F636&lt;&gt;"",VLOOKUP(F636,de_para!$A$1:$B$31,2,0)*base!G636,0)</f>
        <v>0</v>
      </c>
      <c r="I636" s="38"/>
      <c r="J636" s="29"/>
      <c r="K636" s="31">
        <f>IF(base!I636&lt;&gt;"",VLOOKUP(I636,de_para!$A$1:$B$31,2,0)*base!J636,0)</f>
        <v>0</v>
      </c>
      <c r="L636" s="38"/>
      <c r="M636" s="29"/>
      <c r="N636" s="31">
        <f>IF(base!L636&lt;&gt;"",VLOOKUP(L636,de_para!$A$1:$B$31,2,0)*base!M636,0)</f>
        <v>0</v>
      </c>
      <c r="O636" s="38"/>
      <c r="P636" s="29"/>
      <c r="Q636" s="31">
        <f>IF(base!O636&lt;&gt;"",VLOOKUP(O636,de_para!$A$1:$B$31,2,0)*base!P636,0)</f>
        <v>0</v>
      </c>
      <c r="R636" s="38"/>
      <c r="S636" s="29"/>
      <c r="T636" s="31">
        <f>IF(base!R636&lt;&gt;"",VLOOKUP(R636,de_para!$A$1:$B$31,2,0)*base!S636,0)</f>
        <v>0</v>
      </c>
      <c r="U636" s="30">
        <f t="shared" si="11"/>
        <v>0</v>
      </c>
    </row>
    <row r="637" spans="1:21" x14ac:dyDescent="0.35">
      <c r="A637" s="29"/>
      <c r="B637" s="29"/>
      <c r="C637" s="29"/>
      <c r="D637" s="29"/>
      <c r="E637" s="29"/>
      <c r="F637" s="29"/>
      <c r="G637" s="29"/>
      <c r="H637" s="31">
        <f>IF(base!F637&lt;&gt;"",VLOOKUP(F637,de_para!$A$1:$B$31,2,0)*base!G637,0)</f>
        <v>0</v>
      </c>
      <c r="I637" s="38"/>
      <c r="J637" s="29"/>
      <c r="K637" s="31">
        <f>IF(base!I637&lt;&gt;"",VLOOKUP(I637,de_para!$A$1:$B$31,2,0)*base!J637,0)</f>
        <v>0</v>
      </c>
      <c r="L637" s="38"/>
      <c r="M637" s="29"/>
      <c r="N637" s="31">
        <f>IF(base!L637&lt;&gt;"",VLOOKUP(L637,de_para!$A$1:$B$31,2,0)*base!M637,0)</f>
        <v>0</v>
      </c>
      <c r="O637" s="38"/>
      <c r="P637" s="29"/>
      <c r="Q637" s="31">
        <f>IF(base!O637&lt;&gt;"",VLOOKUP(O637,de_para!$A$1:$B$31,2,0)*base!P637,0)</f>
        <v>0</v>
      </c>
      <c r="R637" s="38"/>
      <c r="S637" s="29"/>
      <c r="T637" s="31">
        <f>IF(base!R637&lt;&gt;"",VLOOKUP(R637,de_para!$A$1:$B$31,2,0)*base!S637,0)</f>
        <v>0</v>
      </c>
      <c r="U637" s="30">
        <f t="shared" si="11"/>
        <v>0</v>
      </c>
    </row>
    <row r="638" spans="1:21" x14ac:dyDescent="0.35">
      <c r="A638" s="29"/>
      <c r="B638" s="29"/>
      <c r="C638" s="29"/>
      <c r="D638" s="29"/>
      <c r="E638" s="29"/>
      <c r="F638" s="29"/>
      <c r="G638" s="29"/>
      <c r="H638" s="31">
        <f>IF(base!F638&lt;&gt;"",VLOOKUP(F638,de_para!$A$1:$B$31,2,0)*base!G638,0)</f>
        <v>0</v>
      </c>
      <c r="I638" s="38"/>
      <c r="J638" s="29"/>
      <c r="K638" s="31">
        <f>IF(base!I638&lt;&gt;"",VLOOKUP(I638,de_para!$A$1:$B$31,2,0)*base!J638,0)</f>
        <v>0</v>
      </c>
      <c r="L638" s="38"/>
      <c r="M638" s="29"/>
      <c r="N638" s="31">
        <f>IF(base!L638&lt;&gt;"",VLOOKUP(L638,de_para!$A$1:$B$31,2,0)*base!M638,0)</f>
        <v>0</v>
      </c>
      <c r="O638" s="38"/>
      <c r="P638" s="29"/>
      <c r="Q638" s="31">
        <f>IF(base!O638&lt;&gt;"",VLOOKUP(O638,de_para!$A$1:$B$31,2,0)*base!P638,0)</f>
        <v>0</v>
      </c>
      <c r="R638" s="38"/>
      <c r="S638" s="29"/>
      <c r="T638" s="31">
        <f>IF(base!R638&lt;&gt;"",VLOOKUP(R638,de_para!$A$1:$B$31,2,0)*base!S638,0)</f>
        <v>0</v>
      </c>
      <c r="U638" s="30">
        <f t="shared" si="11"/>
        <v>0</v>
      </c>
    </row>
    <row r="639" spans="1:21" x14ac:dyDescent="0.35">
      <c r="A639" s="29"/>
      <c r="B639" s="29"/>
      <c r="C639" s="29"/>
      <c r="D639" s="29"/>
      <c r="E639" s="29"/>
      <c r="F639" s="29"/>
      <c r="G639" s="29"/>
      <c r="H639" s="31">
        <f>IF(base!F639&lt;&gt;"",VLOOKUP(F639,de_para!$A$1:$B$31,2,0)*base!G639,0)</f>
        <v>0</v>
      </c>
      <c r="I639" s="38"/>
      <c r="J639" s="29"/>
      <c r="K639" s="31">
        <f>IF(base!I639&lt;&gt;"",VLOOKUP(I639,de_para!$A$1:$B$31,2,0)*base!J639,0)</f>
        <v>0</v>
      </c>
      <c r="L639" s="38"/>
      <c r="M639" s="29"/>
      <c r="N639" s="31">
        <f>IF(base!L639&lt;&gt;"",VLOOKUP(L639,de_para!$A$1:$B$31,2,0)*base!M639,0)</f>
        <v>0</v>
      </c>
      <c r="O639" s="38"/>
      <c r="P639" s="29"/>
      <c r="Q639" s="31">
        <f>IF(base!O639&lt;&gt;"",VLOOKUP(O639,de_para!$A$1:$B$31,2,0)*base!P639,0)</f>
        <v>0</v>
      </c>
      <c r="R639" s="38"/>
      <c r="S639" s="29"/>
      <c r="T639" s="31">
        <f>IF(base!R639&lt;&gt;"",VLOOKUP(R639,de_para!$A$1:$B$31,2,0)*base!S639,0)</f>
        <v>0</v>
      </c>
      <c r="U639" s="30">
        <f t="shared" si="11"/>
        <v>0</v>
      </c>
    </row>
    <row r="640" spans="1:21" x14ac:dyDescent="0.35">
      <c r="A640" s="29"/>
      <c r="B640" s="29"/>
      <c r="C640" s="29"/>
      <c r="D640" s="29"/>
      <c r="E640" s="29"/>
      <c r="F640" s="29"/>
      <c r="G640" s="29"/>
      <c r="H640" s="31">
        <f>IF(base!F640&lt;&gt;"",VLOOKUP(F640,de_para!$A$1:$B$31,2,0)*base!G640,0)</f>
        <v>0</v>
      </c>
      <c r="I640" s="38"/>
      <c r="J640" s="29"/>
      <c r="K640" s="31">
        <f>IF(base!I640&lt;&gt;"",VLOOKUP(I640,de_para!$A$1:$B$31,2,0)*base!J640,0)</f>
        <v>0</v>
      </c>
      <c r="L640" s="38"/>
      <c r="M640" s="29"/>
      <c r="N640" s="31">
        <f>IF(base!L640&lt;&gt;"",VLOOKUP(L640,de_para!$A$1:$B$31,2,0)*base!M640,0)</f>
        <v>0</v>
      </c>
      <c r="O640" s="38"/>
      <c r="P640" s="29"/>
      <c r="Q640" s="31">
        <f>IF(base!O640&lt;&gt;"",VLOOKUP(O640,de_para!$A$1:$B$31,2,0)*base!P640,0)</f>
        <v>0</v>
      </c>
      <c r="R640" s="38"/>
      <c r="S640" s="29"/>
      <c r="T640" s="31">
        <f>IF(base!R640&lt;&gt;"",VLOOKUP(R640,de_para!$A$1:$B$31,2,0)*base!S640,0)</f>
        <v>0</v>
      </c>
      <c r="U640" s="30">
        <f t="shared" si="11"/>
        <v>0</v>
      </c>
    </row>
    <row r="641" spans="1:21" x14ac:dyDescent="0.35">
      <c r="A641" s="29"/>
      <c r="B641" s="29"/>
      <c r="C641" s="29"/>
      <c r="D641" s="29"/>
      <c r="E641" s="29"/>
      <c r="F641" s="29"/>
      <c r="G641" s="29"/>
      <c r="H641" s="31">
        <f>IF(base!F641&lt;&gt;"",VLOOKUP(F641,de_para!$A$1:$B$31,2,0)*base!G641,0)</f>
        <v>0</v>
      </c>
      <c r="I641" s="38"/>
      <c r="J641" s="29"/>
      <c r="K641" s="31">
        <f>IF(base!I641&lt;&gt;"",VLOOKUP(I641,de_para!$A$1:$B$31,2,0)*base!J641,0)</f>
        <v>0</v>
      </c>
      <c r="L641" s="38"/>
      <c r="M641" s="29"/>
      <c r="N641" s="31">
        <f>IF(base!L641&lt;&gt;"",VLOOKUP(L641,de_para!$A$1:$B$31,2,0)*base!M641,0)</f>
        <v>0</v>
      </c>
      <c r="O641" s="38"/>
      <c r="P641" s="29"/>
      <c r="Q641" s="31">
        <f>IF(base!O641&lt;&gt;"",VLOOKUP(O641,de_para!$A$1:$B$31,2,0)*base!P641,0)</f>
        <v>0</v>
      </c>
      <c r="R641" s="38"/>
      <c r="S641" s="29"/>
      <c r="T641" s="31">
        <f>IF(base!R641&lt;&gt;"",VLOOKUP(R641,de_para!$A$1:$B$31,2,0)*base!S641,0)</f>
        <v>0</v>
      </c>
      <c r="U641" s="30">
        <f t="shared" si="11"/>
        <v>0</v>
      </c>
    </row>
    <row r="642" spans="1:21" x14ac:dyDescent="0.35">
      <c r="A642" s="29"/>
      <c r="B642" s="29"/>
      <c r="C642" s="29"/>
      <c r="D642" s="29"/>
      <c r="E642" s="29"/>
      <c r="F642" s="29"/>
      <c r="G642" s="29"/>
      <c r="H642" s="31">
        <f>IF(base!F642&lt;&gt;"",VLOOKUP(F642,de_para!$A$1:$B$31,2,0)*base!G642,0)</f>
        <v>0</v>
      </c>
      <c r="I642" s="38"/>
      <c r="J642" s="29"/>
      <c r="K642" s="31">
        <f>IF(base!I642&lt;&gt;"",VLOOKUP(I642,de_para!$A$1:$B$31,2,0)*base!J642,0)</f>
        <v>0</v>
      </c>
      <c r="L642" s="38"/>
      <c r="M642" s="29"/>
      <c r="N642" s="31">
        <f>IF(base!L642&lt;&gt;"",VLOOKUP(L642,de_para!$A$1:$B$31,2,0)*base!M642,0)</f>
        <v>0</v>
      </c>
      <c r="O642" s="38"/>
      <c r="P642" s="29"/>
      <c r="Q642" s="31">
        <f>IF(base!O642&lt;&gt;"",VLOOKUP(O642,de_para!$A$1:$B$31,2,0)*base!P642,0)</f>
        <v>0</v>
      </c>
      <c r="R642" s="38"/>
      <c r="S642" s="29"/>
      <c r="T642" s="31">
        <f>IF(base!R642&lt;&gt;"",VLOOKUP(R642,de_para!$A$1:$B$31,2,0)*base!S642,0)</f>
        <v>0</v>
      </c>
      <c r="U642" s="30">
        <f t="shared" si="11"/>
        <v>0</v>
      </c>
    </row>
    <row r="643" spans="1:21" x14ac:dyDescent="0.35">
      <c r="A643" s="29"/>
      <c r="B643" s="29"/>
      <c r="C643" s="29"/>
      <c r="D643" s="29"/>
      <c r="E643" s="29"/>
      <c r="F643" s="29"/>
      <c r="G643" s="29"/>
      <c r="H643" s="31">
        <f>IF(base!F643&lt;&gt;"",VLOOKUP(F643,de_para!$A$1:$B$31,2,0)*base!G643,0)</f>
        <v>0</v>
      </c>
      <c r="I643" s="38"/>
      <c r="J643" s="29"/>
      <c r="K643" s="31">
        <f>IF(base!I643&lt;&gt;"",VLOOKUP(I643,de_para!$A$1:$B$31,2,0)*base!J643,0)</f>
        <v>0</v>
      </c>
      <c r="L643" s="38"/>
      <c r="M643" s="29"/>
      <c r="N643" s="31">
        <f>IF(base!L643&lt;&gt;"",VLOOKUP(L643,de_para!$A$1:$B$31,2,0)*base!M643,0)</f>
        <v>0</v>
      </c>
      <c r="O643" s="38"/>
      <c r="P643" s="29"/>
      <c r="Q643" s="31">
        <f>IF(base!O643&lt;&gt;"",VLOOKUP(O643,de_para!$A$1:$B$31,2,0)*base!P643,0)</f>
        <v>0</v>
      </c>
      <c r="R643" s="38"/>
      <c r="S643" s="29"/>
      <c r="T643" s="31">
        <f>IF(base!R643&lt;&gt;"",VLOOKUP(R643,de_para!$A$1:$B$31,2,0)*base!S643,0)</f>
        <v>0</v>
      </c>
      <c r="U643" s="30">
        <f t="shared" si="11"/>
        <v>0</v>
      </c>
    </row>
    <row r="644" spans="1:21" x14ac:dyDescent="0.35">
      <c r="A644" s="29"/>
      <c r="B644" s="29"/>
      <c r="C644" s="29"/>
      <c r="D644" s="29"/>
      <c r="E644" s="29"/>
      <c r="F644" s="29"/>
      <c r="G644" s="29"/>
      <c r="H644" s="31">
        <f>IF(base!F644&lt;&gt;"",VLOOKUP(F644,de_para!$A$1:$B$31,2,0)*base!G644,0)</f>
        <v>0</v>
      </c>
      <c r="I644" s="38"/>
      <c r="J644" s="29"/>
      <c r="K644" s="31">
        <f>IF(base!I644&lt;&gt;"",VLOOKUP(I644,de_para!$A$1:$B$31,2,0)*base!J644,0)</f>
        <v>0</v>
      </c>
      <c r="L644" s="38"/>
      <c r="M644" s="29"/>
      <c r="N644" s="31">
        <f>IF(base!L644&lt;&gt;"",VLOOKUP(L644,de_para!$A$1:$B$31,2,0)*base!M644,0)</f>
        <v>0</v>
      </c>
      <c r="O644" s="38"/>
      <c r="P644" s="29"/>
      <c r="Q644" s="31">
        <f>IF(base!O644&lt;&gt;"",VLOOKUP(O644,de_para!$A$1:$B$31,2,0)*base!P644,0)</f>
        <v>0</v>
      </c>
      <c r="R644" s="38"/>
      <c r="S644" s="29"/>
      <c r="T644" s="31">
        <f>IF(base!R644&lt;&gt;"",VLOOKUP(R644,de_para!$A$1:$B$31,2,0)*base!S644,0)</f>
        <v>0</v>
      </c>
      <c r="U644" s="30">
        <f t="shared" si="11"/>
        <v>0</v>
      </c>
    </row>
    <row r="645" spans="1:21" x14ac:dyDescent="0.35">
      <c r="A645" s="29"/>
      <c r="B645" s="29"/>
      <c r="C645" s="29"/>
      <c r="D645" s="29"/>
      <c r="E645" s="29"/>
      <c r="F645" s="29"/>
      <c r="G645" s="29"/>
      <c r="H645" s="31">
        <f>IF(base!F645&lt;&gt;"",VLOOKUP(F645,de_para!$A$1:$B$31,2,0)*base!G645,0)</f>
        <v>0</v>
      </c>
      <c r="I645" s="38"/>
      <c r="J645" s="29"/>
      <c r="K645" s="31">
        <f>IF(base!I645&lt;&gt;"",VLOOKUP(I645,de_para!$A$1:$B$31,2,0)*base!J645,0)</f>
        <v>0</v>
      </c>
      <c r="L645" s="38"/>
      <c r="M645" s="29"/>
      <c r="N645" s="31">
        <f>IF(base!L645&lt;&gt;"",VLOOKUP(L645,de_para!$A$1:$B$31,2,0)*base!M645,0)</f>
        <v>0</v>
      </c>
      <c r="O645" s="38"/>
      <c r="P645" s="29"/>
      <c r="Q645" s="31">
        <f>IF(base!O645&lt;&gt;"",VLOOKUP(O645,de_para!$A$1:$B$31,2,0)*base!P645,0)</f>
        <v>0</v>
      </c>
      <c r="R645" s="38"/>
      <c r="S645" s="29"/>
      <c r="T645" s="31">
        <f>IF(base!R645&lt;&gt;"",VLOOKUP(R645,de_para!$A$1:$B$31,2,0)*base!S645,0)</f>
        <v>0</v>
      </c>
      <c r="U645" s="30">
        <f t="shared" si="11"/>
        <v>0</v>
      </c>
    </row>
    <row r="646" spans="1:21" x14ac:dyDescent="0.35">
      <c r="A646" s="29"/>
      <c r="B646" s="29"/>
      <c r="C646" s="29"/>
      <c r="D646" s="29"/>
      <c r="E646" s="29"/>
      <c r="F646" s="29"/>
      <c r="G646" s="29"/>
      <c r="H646" s="31">
        <f>IF(base!F646&lt;&gt;"",VLOOKUP(F646,de_para!$A$1:$B$31,2,0)*base!G646,0)</f>
        <v>0</v>
      </c>
      <c r="I646" s="38"/>
      <c r="J646" s="29"/>
      <c r="K646" s="31">
        <f>IF(base!I646&lt;&gt;"",VLOOKUP(I646,de_para!$A$1:$B$31,2,0)*base!J646,0)</f>
        <v>0</v>
      </c>
      <c r="L646" s="38"/>
      <c r="M646" s="29"/>
      <c r="N646" s="31">
        <f>IF(base!L646&lt;&gt;"",VLOOKUP(L646,de_para!$A$1:$B$31,2,0)*base!M646,0)</f>
        <v>0</v>
      </c>
      <c r="O646" s="38"/>
      <c r="P646" s="29"/>
      <c r="Q646" s="31">
        <f>IF(base!O646&lt;&gt;"",VLOOKUP(O646,de_para!$A$1:$B$31,2,0)*base!P646,0)</f>
        <v>0</v>
      </c>
      <c r="R646" s="38"/>
      <c r="S646" s="29"/>
      <c r="T646" s="31">
        <f>IF(base!R646&lt;&gt;"",VLOOKUP(R646,de_para!$A$1:$B$31,2,0)*base!S646,0)</f>
        <v>0</v>
      </c>
      <c r="U646" s="30">
        <f t="shared" si="11"/>
        <v>0</v>
      </c>
    </row>
    <row r="647" spans="1:21" x14ac:dyDescent="0.35">
      <c r="A647" s="29"/>
      <c r="B647" s="29"/>
      <c r="C647" s="29"/>
      <c r="D647" s="29"/>
      <c r="E647" s="29"/>
      <c r="F647" s="29"/>
      <c r="G647" s="29"/>
      <c r="H647" s="31">
        <f>IF(base!F647&lt;&gt;"",VLOOKUP(F647,de_para!$A$1:$B$31,2,0)*base!G647,0)</f>
        <v>0</v>
      </c>
      <c r="I647" s="38"/>
      <c r="J647" s="29"/>
      <c r="K647" s="31">
        <f>IF(base!I647&lt;&gt;"",VLOOKUP(I647,de_para!$A$1:$B$31,2,0)*base!J647,0)</f>
        <v>0</v>
      </c>
      <c r="L647" s="38"/>
      <c r="M647" s="29"/>
      <c r="N647" s="31">
        <f>IF(base!L647&lt;&gt;"",VLOOKUP(L647,de_para!$A$1:$B$31,2,0)*base!M647,0)</f>
        <v>0</v>
      </c>
      <c r="O647" s="38"/>
      <c r="P647" s="29"/>
      <c r="Q647" s="31">
        <f>IF(base!O647&lt;&gt;"",VLOOKUP(O647,de_para!$A$1:$B$31,2,0)*base!P647,0)</f>
        <v>0</v>
      </c>
      <c r="R647" s="38"/>
      <c r="S647" s="29"/>
      <c r="T647" s="31">
        <f>IF(base!R647&lt;&gt;"",VLOOKUP(R647,de_para!$A$1:$B$31,2,0)*base!S647,0)</f>
        <v>0</v>
      </c>
      <c r="U647" s="30">
        <f t="shared" si="11"/>
        <v>0</v>
      </c>
    </row>
    <row r="648" spans="1:21" x14ac:dyDescent="0.35">
      <c r="A648" s="29"/>
      <c r="B648" s="29"/>
      <c r="C648" s="29"/>
      <c r="D648" s="29"/>
      <c r="E648" s="29"/>
      <c r="F648" s="29"/>
      <c r="G648" s="29"/>
      <c r="H648" s="31">
        <f>IF(base!F648&lt;&gt;"",VLOOKUP(F648,de_para!$A$1:$B$31,2,0)*base!G648,0)</f>
        <v>0</v>
      </c>
      <c r="I648" s="38"/>
      <c r="J648" s="29"/>
      <c r="K648" s="31">
        <f>IF(base!I648&lt;&gt;"",VLOOKUP(I648,de_para!$A$1:$B$31,2,0)*base!J648,0)</f>
        <v>0</v>
      </c>
      <c r="L648" s="38"/>
      <c r="M648" s="29"/>
      <c r="N648" s="31">
        <f>IF(base!L648&lt;&gt;"",VLOOKUP(L648,de_para!$A$1:$B$31,2,0)*base!M648,0)</f>
        <v>0</v>
      </c>
      <c r="O648" s="38"/>
      <c r="P648" s="29"/>
      <c r="Q648" s="31">
        <f>IF(base!O648&lt;&gt;"",VLOOKUP(O648,de_para!$A$1:$B$31,2,0)*base!P648,0)</f>
        <v>0</v>
      </c>
      <c r="R648" s="38"/>
      <c r="S648" s="29"/>
      <c r="T648" s="31">
        <f>IF(base!R648&lt;&gt;"",VLOOKUP(R648,de_para!$A$1:$B$31,2,0)*base!S648,0)</f>
        <v>0</v>
      </c>
      <c r="U648" s="30">
        <f t="shared" si="11"/>
        <v>0</v>
      </c>
    </row>
    <row r="649" spans="1:21" x14ac:dyDescent="0.35">
      <c r="A649" s="29"/>
      <c r="B649" s="29"/>
      <c r="C649" s="29"/>
      <c r="D649" s="29"/>
      <c r="E649" s="29"/>
      <c r="F649" s="29"/>
      <c r="G649" s="29"/>
      <c r="H649" s="31">
        <f>IF(base!F649&lt;&gt;"",VLOOKUP(F649,de_para!$A$1:$B$31,2,0)*base!G649,0)</f>
        <v>0</v>
      </c>
      <c r="I649" s="38"/>
      <c r="J649" s="29"/>
      <c r="K649" s="31">
        <f>IF(base!I649&lt;&gt;"",VLOOKUP(I649,de_para!$A$1:$B$31,2,0)*base!J649,0)</f>
        <v>0</v>
      </c>
      <c r="L649" s="38"/>
      <c r="M649" s="29"/>
      <c r="N649" s="31">
        <f>IF(base!L649&lt;&gt;"",VLOOKUP(L649,de_para!$A$1:$B$31,2,0)*base!M649,0)</f>
        <v>0</v>
      </c>
      <c r="O649" s="38"/>
      <c r="P649" s="29"/>
      <c r="Q649" s="31">
        <f>IF(base!O649&lt;&gt;"",VLOOKUP(O649,de_para!$A$1:$B$31,2,0)*base!P649,0)</f>
        <v>0</v>
      </c>
      <c r="R649" s="38"/>
      <c r="S649" s="29"/>
      <c r="T649" s="31">
        <f>IF(base!R649&lt;&gt;"",VLOOKUP(R649,de_para!$A$1:$B$31,2,0)*base!S649,0)</f>
        <v>0</v>
      </c>
      <c r="U649" s="30">
        <f t="shared" si="11"/>
        <v>0</v>
      </c>
    </row>
    <row r="650" spans="1:21" x14ac:dyDescent="0.35">
      <c r="A650" s="29"/>
      <c r="B650" s="29"/>
      <c r="C650" s="29"/>
      <c r="D650" s="29"/>
      <c r="E650" s="29"/>
      <c r="F650" s="29"/>
      <c r="G650" s="29"/>
      <c r="H650" s="31">
        <f>IF(base!F650&lt;&gt;"",VLOOKUP(F650,de_para!$A$1:$B$31,2,0)*base!G650,0)</f>
        <v>0</v>
      </c>
      <c r="I650" s="38"/>
      <c r="J650" s="29"/>
      <c r="K650" s="31">
        <f>IF(base!I650&lt;&gt;"",VLOOKUP(I650,de_para!$A$1:$B$31,2,0)*base!J650,0)</f>
        <v>0</v>
      </c>
      <c r="L650" s="38"/>
      <c r="M650" s="29"/>
      <c r="N650" s="31">
        <f>IF(base!L650&lt;&gt;"",VLOOKUP(L650,de_para!$A$1:$B$31,2,0)*base!M650,0)</f>
        <v>0</v>
      </c>
      <c r="O650" s="38"/>
      <c r="P650" s="29"/>
      <c r="Q650" s="31">
        <f>IF(base!O650&lt;&gt;"",VLOOKUP(O650,de_para!$A$1:$B$31,2,0)*base!P650,0)</f>
        <v>0</v>
      </c>
      <c r="R650" s="38"/>
      <c r="S650" s="29"/>
      <c r="T650" s="31">
        <f>IF(base!R650&lt;&gt;"",VLOOKUP(R650,de_para!$A$1:$B$31,2,0)*base!S650,0)</f>
        <v>0</v>
      </c>
      <c r="U650" s="30">
        <f t="shared" si="11"/>
        <v>0</v>
      </c>
    </row>
    <row r="651" spans="1:21" x14ac:dyDescent="0.35">
      <c r="A651" s="29"/>
      <c r="B651" s="29"/>
      <c r="C651" s="29"/>
      <c r="D651" s="29"/>
      <c r="E651" s="29"/>
      <c r="F651" s="29"/>
      <c r="G651" s="29"/>
      <c r="H651" s="31">
        <f>IF(base!F651&lt;&gt;"",VLOOKUP(F651,de_para!$A$1:$B$31,2,0)*base!G651,0)</f>
        <v>0</v>
      </c>
      <c r="I651" s="38"/>
      <c r="J651" s="29"/>
      <c r="K651" s="31">
        <f>IF(base!I651&lt;&gt;"",VLOOKUP(I651,de_para!$A$1:$B$31,2,0)*base!J651,0)</f>
        <v>0</v>
      </c>
      <c r="L651" s="38"/>
      <c r="M651" s="29"/>
      <c r="N651" s="31">
        <f>IF(base!L651&lt;&gt;"",VLOOKUP(L651,de_para!$A$1:$B$31,2,0)*base!M651,0)</f>
        <v>0</v>
      </c>
      <c r="O651" s="38"/>
      <c r="P651" s="29"/>
      <c r="Q651" s="31">
        <f>IF(base!O651&lt;&gt;"",VLOOKUP(O651,de_para!$A$1:$B$31,2,0)*base!P651,0)</f>
        <v>0</v>
      </c>
      <c r="R651" s="38"/>
      <c r="S651" s="29"/>
      <c r="T651" s="31">
        <f>IF(base!R651&lt;&gt;"",VLOOKUP(R651,de_para!$A$1:$B$31,2,0)*base!S651,0)</f>
        <v>0</v>
      </c>
      <c r="U651" s="30">
        <f t="shared" si="11"/>
        <v>0</v>
      </c>
    </row>
    <row r="652" spans="1:21" x14ac:dyDescent="0.35">
      <c r="A652" s="29"/>
      <c r="B652" s="29"/>
      <c r="C652" s="29"/>
      <c r="D652" s="29"/>
      <c r="E652" s="29"/>
      <c r="F652" s="29"/>
      <c r="G652" s="29"/>
      <c r="H652" s="31">
        <f>IF(base!F652&lt;&gt;"",VLOOKUP(F652,de_para!$A$1:$B$31,2,0)*base!G652,0)</f>
        <v>0</v>
      </c>
      <c r="I652" s="38"/>
      <c r="J652" s="29"/>
      <c r="K652" s="31">
        <f>IF(base!I652&lt;&gt;"",VLOOKUP(I652,de_para!$A$1:$B$31,2,0)*base!J652,0)</f>
        <v>0</v>
      </c>
      <c r="L652" s="38"/>
      <c r="M652" s="29"/>
      <c r="N652" s="31">
        <f>IF(base!L652&lt;&gt;"",VLOOKUP(L652,de_para!$A$1:$B$31,2,0)*base!M652,0)</f>
        <v>0</v>
      </c>
      <c r="O652" s="38"/>
      <c r="P652" s="29"/>
      <c r="Q652" s="31">
        <f>IF(base!O652&lt;&gt;"",VLOOKUP(O652,de_para!$A$1:$B$31,2,0)*base!P652,0)</f>
        <v>0</v>
      </c>
      <c r="R652" s="38"/>
      <c r="S652" s="29"/>
      <c r="T652" s="31">
        <f>IF(base!R652&lt;&gt;"",VLOOKUP(R652,de_para!$A$1:$B$31,2,0)*base!S652,0)</f>
        <v>0</v>
      </c>
      <c r="U652" s="30">
        <f t="shared" si="11"/>
        <v>0</v>
      </c>
    </row>
    <row r="653" spans="1:21" x14ac:dyDescent="0.35">
      <c r="A653" s="29"/>
      <c r="B653" s="29"/>
      <c r="C653" s="29"/>
      <c r="D653" s="29"/>
      <c r="E653" s="29"/>
      <c r="F653" s="29"/>
      <c r="G653" s="29"/>
      <c r="H653" s="31">
        <f>IF(base!F653&lt;&gt;"",VLOOKUP(F653,de_para!$A$1:$B$31,2,0)*base!G653,0)</f>
        <v>0</v>
      </c>
      <c r="I653" s="38"/>
      <c r="J653" s="29"/>
      <c r="K653" s="31">
        <f>IF(base!I653&lt;&gt;"",VLOOKUP(I653,de_para!$A$1:$B$31,2,0)*base!J653,0)</f>
        <v>0</v>
      </c>
      <c r="L653" s="38"/>
      <c r="M653" s="29"/>
      <c r="N653" s="31">
        <f>IF(base!L653&lt;&gt;"",VLOOKUP(L653,de_para!$A$1:$B$31,2,0)*base!M653,0)</f>
        <v>0</v>
      </c>
      <c r="O653" s="38"/>
      <c r="P653" s="29"/>
      <c r="Q653" s="31">
        <f>IF(base!O653&lt;&gt;"",VLOOKUP(O653,de_para!$A$1:$B$31,2,0)*base!P653,0)</f>
        <v>0</v>
      </c>
      <c r="R653" s="38"/>
      <c r="S653" s="29"/>
      <c r="T653" s="31">
        <f>IF(base!R653&lt;&gt;"",VLOOKUP(R653,de_para!$A$1:$B$31,2,0)*base!S653,0)</f>
        <v>0</v>
      </c>
      <c r="U653" s="30">
        <f t="shared" si="11"/>
        <v>0</v>
      </c>
    </row>
    <row r="654" spans="1:21" x14ac:dyDescent="0.35">
      <c r="A654" s="29"/>
      <c r="B654" s="29"/>
      <c r="C654" s="29"/>
      <c r="D654" s="29"/>
      <c r="E654" s="29"/>
      <c r="F654" s="29"/>
      <c r="G654" s="29"/>
      <c r="H654" s="31">
        <f>IF(base!F654&lt;&gt;"",VLOOKUP(F654,de_para!$A$1:$B$31,2,0)*base!G654,0)</f>
        <v>0</v>
      </c>
      <c r="I654" s="38"/>
      <c r="J654" s="29"/>
      <c r="K654" s="31">
        <f>IF(base!I654&lt;&gt;"",VLOOKUP(I654,de_para!$A$1:$B$31,2,0)*base!J654,0)</f>
        <v>0</v>
      </c>
      <c r="L654" s="38"/>
      <c r="M654" s="29"/>
      <c r="N654" s="31">
        <f>IF(base!L654&lt;&gt;"",VLOOKUP(L654,de_para!$A$1:$B$31,2,0)*base!M654,0)</f>
        <v>0</v>
      </c>
      <c r="O654" s="38"/>
      <c r="P654" s="29"/>
      <c r="Q654" s="31">
        <f>IF(base!O654&lt;&gt;"",VLOOKUP(O654,de_para!$A$1:$B$31,2,0)*base!P654,0)</f>
        <v>0</v>
      </c>
      <c r="R654" s="38"/>
      <c r="S654" s="29"/>
      <c r="T654" s="31">
        <f>IF(base!R654&lt;&gt;"",VLOOKUP(R654,de_para!$A$1:$B$31,2,0)*base!S654,0)</f>
        <v>0</v>
      </c>
      <c r="U654" s="30">
        <f t="shared" si="11"/>
        <v>0</v>
      </c>
    </row>
    <row r="655" spans="1:21" x14ac:dyDescent="0.35">
      <c r="A655" s="29"/>
      <c r="B655" s="29"/>
      <c r="C655" s="29"/>
      <c r="D655" s="29"/>
      <c r="E655" s="29"/>
      <c r="F655" s="29"/>
      <c r="G655" s="29"/>
      <c r="H655" s="31">
        <f>IF(base!F655&lt;&gt;"",VLOOKUP(F655,de_para!$A$1:$B$31,2,0)*base!G655,0)</f>
        <v>0</v>
      </c>
      <c r="I655" s="38"/>
      <c r="J655" s="29"/>
      <c r="K655" s="31">
        <f>IF(base!I655&lt;&gt;"",VLOOKUP(I655,de_para!$A$1:$B$31,2,0)*base!J655,0)</f>
        <v>0</v>
      </c>
      <c r="L655" s="38"/>
      <c r="M655" s="29"/>
      <c r="N655" s="31">
        <f>IF(base!L655&lt;&gt;"",VLOOKUP(L655,de_para!$A$1:$B$31,2,0)*base!M655,0)</f>
        <v>0</v>
      </c>
      <c r="O655" s="38"/>
      <c r="P655" s="29"/>
      <c r="Q655" s="31">
        <f>IF(base!O655&lt;&gt;"",VLOOKUP(O655,de_para!$A$1:$B$31,2,0)*base!P655,0)</f>
        <v>0</v>
      </c>
      <c r="R655" s="38"/>
      <c r="S655" s="29"/>
      <c r="T655" s="31">
        <f>IF(base!R655&lt;&gt;"",VLOOKUP(R655,de_para!$A$1:$B$31,2,0)*base!S655,0)</f>
        <v>0</v>
      </c>
      <c r="U655" s="30">
        <f t="shared" si="11"/>
        <v>0</v>
      </c>
    </row>
    <row r="656" spans="1:21" x14ac:dyDescent="0.35">
      <c r="A656" s="29"/>
      <c r="B656" s="29"/>
      <c r="C656" s="29"/>
      <c r="D656" s="29"/>
      <c r="E656" s="29"/>
      <c r="F656" s="29"/>
      <c r="G656" s="29"/>
      <c r="H656" s="31">
        <f>IF(base!F656&lt;&gt;"",VLOOKUP(F656,de_para!$A$1:$B$31,2,0)*base!G656,0)</f>
        <v>0</v>
      </c>
      <c r="I656" s="38"/>
      <c r="J656" s="29"/>
      <c r="K656" s="31">
        <f>IF(base!I656&lt;&gt;"",VLOOKUP(I656,de_para!$A$1:$B$31,2,0)*base!J656,0)</f>
        <v>0</v>
      </c>
      <c r="L656" s="38"/>
      <c r="M656" s="29"/>
      <c r="N656" s="31">
        <f>IF(base!L656&lt;&gt;"",VLOOKUP(L656,de_para!$A$1:$B$31,2,0)*base!M656,0)</f>
        <v>0</v>
      </c>
      <c r="O656" s="38"/>
      <c r="P656" s="29"/>
      <c r="Q656" s="31">
        <f>IF(base!O656&lt;&gt;"",VLOOKUP(O656,de_para!$A$1:$B$31,2,0)*base!P656,0)</f>
        <v>0</v>
      </c>
      <c r="R656" s="38"/>
      <c r="S656" s="29"/>
      <c r="T656" s="31">
        <f>IF(base!R656&lt;&gt;"",VLOOKUP(R656,de_para!$A$1:$B$31,2,0)*base!S656,0)</f>
        <v>0</v>
      </c>
      <c r="U656" s="30">
        <f t="shared" si="11"/>
        <v>0</v>
      </c>
    </row>
    <row r="657" spans="1:21" x14ac:dyDescent="0.35">
      <c r="A657" s="29"/>
      <c r="B657" s="29"/>
      <c r="C657" s="29"/>
      <c r="D657" s="29"/>
      <c r="E657" s="29"/>
      <c r="F657" s="29"/>
      <c r="G657" s="29"/>
      <c r="H657" s="31">
        <f>IF(base!F657&lt;&gt;"",VLOOKUP(F657,de_para!$A$1:$B$31,2,0)*base!G657,0)</f>
        <v>0</v>
      </c>
      <c r="I657" s="38"/>
      <c r="J657" s="29"/>
      <c r="K657" s="31">
        <f>IF(base!I657&lt;&gt;"",VLOOKUP(I657,de_para!$A$1:$B$31,2,0)*base!J657,0)</f>
        <v>0</v>
      </c>
      <c r="L657" s="38"/>
      <c r="M657" s="29"/>
      <c r="N657" s="31">
        <f>IF(base!L657&lt;&gt;"",VLOOKUP(L657,de_para!$A$1:$B$31,2,0)*base!M657,0)</f>
        <v>0</v>
      </c>
      <c r="O657" s="38"/>
      <c r="P657" s="29"/>
      <c r="Q657" s="31">
        <f>IF(base!O657&lt;&gt;"",VLOOKUP(O657,de_para!$A$1:$B$31,2,0)*base!P657,0)</f>
        <v>0</v>
      </c>
      <c r="R657" s="38"/>
      <c r="S657" s="29"/>
      <c r="T657" s="31">
        <f>IF(base!R657&lt;&gt;"",VLOOKUP(R657,de_para!$A$1:$B$31,2,0)*base!S657,0)</f>
        <v>0</v>
      </c>
      <c r="U657" s="30">
        <f t="shared" si="11"/>
        <v>0</v>
      </c>
    </row>
    <row r="658" spans="1:21" x14ac:dyDescent="0.35">
      <c r="A658" s="29"/>
      <c r="B658" s="29"/>
      <c r="C658" s="29"/>
      <c r="D658" s="29"/>
      <c r="E658" s="29"/>
      <c r="F658" s="29"/>
      <c r="G658" s="29"/>
      <c r="H658" s="31">
        <f>IF(base!F658&lt;&gt;"",VLOOKUP(F658,de_para!$A$1:$B$31,2,0)*base!G658,0)</f>
        <v>0</v>
      </c>
      <c r="I658" s="38"/>
      <c r="J658" s="29"/>
      <c r="K658" s="31">
        <f>IF(base!I658&lt;&gt;"",VLOOKUP(I658,de_para!$A$1:$B$31,2,0)*base!J658,0)</f>
        <v>0</v>
      </c>
      <c r="L658" s="38"/>
      <c r="M658" s="29"/>
      <c r="N658" s="31">
        <f>IF(base!L658&lt;&gt;"",VLOOKUP(L658,de_para!$A$1:$B$31,2,0)*base!M658,0)</f>
        <v>0</v>
      </c>
      <c r="O658" s="38"/>
      <c r="P658" s="29"/>
      <c r="Q658" s="31">
        <f>IF(base!O658&lt;&gt;"",VLOOKUP(O658,de_para!$A$1:$B$31,2,0)*base!P658,0)</f>
        <v>0</v>
      </c>
      <c r="R658" s="38"/>
      <c r="S658" s="29"/>
      <c r="T658" s="31">
        <f>IF(base!R658&lt;&gt;"",VLOOKUP(R658,de_para!$A$1:$B$31,2,0)*base!S658,0)</f>
        <v>0</v>
      </c>
      <c r="U658" s="30">
        <f t="shared" si="11"/>
        <v>0</v>
      </c>
    </row>
    <row r="659" spans="1:21" x14ac:dyDescent="0.35">
      <c r="A659" s="29"/>
      <c r="B659" s="29"/>
      <c r="C659" s="29"/>
      <c r="D659" s="29"/>
      <c r="E659" s="29"/>
      <c r="F659" s="29"/>
      <c r="G659" s="29"/>
      <c r="H659" s="31">
        <f>IF(base!F659&lt;&gt;"",VLOOKUP(F659,de_para!$A$1:$B$31,2,0)*base!G659,0)</f>
        <v>0</v>
      </c>
      <c r="I659" s="38"/>
      <c r="J659" s="29"/>
      <c r="K659" s="31">
        <f>IF(base!I659&lt;&gt;"",VLOOKUP(I659,de_para!$A$1:$B$31,2,0)*base!J659,0)</f>
        <v>0</v>
      </c>
      <c r="L659" s="38"/>
      <c r="M659" s="29"/>
      <c r="N659" s="31">
        <f>IF(base!L659&lt;&gt;"",VLOOKUP(L659,de_para!$A$1:$B$31,2,0)*base!M659,0)</f>
        <v>0</v>
      </c>
      <c r="O659" s="38"/>
      <c r="P659" s="29"/>
      <c r="Q659" s="31">
        <f>IF(base!O659&lt;&gt;"",VLOOKUP(O659,de_para!$A$1:$B$31,2,0)*base!P659,0)</f>
        <v>0</v>
      </c>
      <c r="R659" s="38"/>
      <c r="S659" s="29"/>
      <c r="T659" s="31">
        <f>IF(base!R659&lt;&gt;"",VLOOKUP(R659,de_para!$A$1:$B$31,2,0)*base!S659,0)</f>
        <v>0</v>
      </c>
      <c r="U659" s="30">
        <f t="shared" si="11"/>
        <v>0</v>
      </c>
    </row>
    <row r="660" spans="1:21" x14ac:dyDescent="0.35">
      <c r="A660" s="29"/>
      <c r="B660" s="29"/>
      <c r="C660" s="29"/>
      <c r="D660" s="29"/>
      <c r="E660" s="29"/>
      <c r="F660" s="29"/>
      <c r="G660" s="29"/>
      <c r="H660" s="31">
        <f>IF(base!F660&lt;&gt;"",VLOOKUP(F660,de_para!$A$1:$B$31,2,0)*base!G660,0)</f>
        <v>0</v>
      </c>
      <c r="I660" s="38"/>
      <c r="J660" s="29"/>
      <c r="K660" s="31">
        <f>IF(base!I660&lt;&gt;"",VLOOKUP(I660,de_para!$A$1:$B$31,2,0)*base!J660,0)</f>
        <v>0</v>
      </c>
      <c r="L660" s="38"/>
      <c r="M660" s="29"/>
      <c r="N660" s="31">
        <f>IF(base!L660&lt;&gt;"",VLOOKUP(L660,de_para!$A$1:$B$31,2,0)*base!M660,0)</f>
        <v>0</v>
      </c>
      <c r="O660" s="38"/>
      <c r="P660" s="29"/>
      <c r="Q660" s="31">
        <f>IF(base!O660&lt;&gt;"",VLOOKUP(O660,de_para!$A$1:$B$31,2,0)*base!P660,0)</f>
        <v>0</v>
      </c>
      <c r="R660" s="38"/>
      <c r="S660" s="29"/>
      <c r="T660" s="31">
        <f>IF(base!R660&lt;&gt;"",VLOOKUP(R660,de_para!$A$1:$B$31,2,0)*base!S660,0)</f>
        <v>0</v>
      </c>
      <c r="U660" s="30">
        <f t="shared" si="11"/>
        <v>0</v>
      </c>
    </row>
    <row r="661" spans="1:21" x14ac:dyDescent="0.35">
      <c r="A661" s="29"/>
      <c r="B661" s="29"/>
      <c r="C661" s="29"/>
      <c r="D661" s="29"/>
      <c r="E661" s="29"/>
      <c r="F661" s="29"/>
      <c r="G661" s="29"/>
      <c r="H661" s="31">
        <f>IF(base!F661&lt;&gt;"",VLOOKUP(F661,de_para!$A$1:$B$31,2,0)*base!G661,0)</f>
        <v>0</v>
      </c>
      <c r="I661" s="38"/>
      <c r="J661" s="29"/>
      <c r="K661" s="31">
        <f>IF(base!I661&lt;&gt;"",VLOOKUP(I661,de_para!$A$1:$B$31,2,0)*base!J661,0)</f>
        <v>0</v>
      </c>
      <c r="L661" s="38"/>
      <c r="M661" s="29"/>
      <c r="N661" s="31">
        <f>IF(base!L661&lt;&gt;"",VLOOKUP(L661,de_para!$A$1:$B$31,2,0)*base!M661,0)</f>
        <v>0</v>
      </c>
      <c r="O661" s="38"/>
      <c r="P661" s="29"/>
      <c r="Q661" s="31">
        <f>IF(base!O661&lt;&gt;"",VLOOKUP(O661,de_para!$A$1:$B$31,2,0)*base!P661,0)</f>
        <v>0</v>
      </c>
      <c r="R661" s="38"/>
      <c r="S661" s="29"/>
      <c r="T661" s="31">
        <f>IF(base!R661&lt;&gt;"",VLOOKUP(R661,de_para!$A$1:$B$31,2,0)*base!S661,0)</f>
        <v>0</v>
      </c>
      <c r="U661" s="30">
        <f t="shared" si="11"/>
        <v>0</v>
      </c>
    </row>
    <row r="662" spans="1:21" x14ac:dyDescent="0.35">
      <c r="A662" s="29"/>
      <c r="B662" s="29"/>
      <c r="C662" s="29"/>
      <c r="D662" s="29"/>
      <c r="E662" s="29"/>
      <c r="F662" s="29"/>
      <c r="G662" s="29"/>
      <c r="H662" s="31">
        <f>IF(base!F662&lt;&gt;"",VLOOKUP(F662,de_para!$A$1:$B$31,2,0)*base!G662,0)</f>
        <v>0</v>
      </c>
      <c r="I662" s="38"/>
      <c r="J662" s="29"/>
      <c r="K662" s="31">
        <f>IF(base!I662&lt;&gt;"",VLOOKUP(I662,de_para!$A$1:$B$31,2,0)*base!J662,0)</f>
        <v>0</v>
      </c>
      <c r="L662" s="38"/>
      <c r="M662" s="29"/>
      <c r="N662" s="31">
        <f>IF(base!L662&lt;&gt;"",VLOOKUP(L662,de_para!$A$1:$B$31,2,0)*base!M662,0)</f>
        <v>0</v>
      </c>
      <c r="O662" s="38"/>
      <c r="P662" s="29"/>
      <c r="Q662" s="31">
        <f>IF(base!O662&lt;&gt;"",VLOOKUP(O662,de_para!$A$1:$B$31,2,0)*base!P662,0)</f>
        <v>0</v>
      </c>
      <c r="R662" s="38"/>
      <c r="S662" s="29"/>
      <c r="T662" s="31">
        <f>IF(base!R662&lt;&gt;"",VLOOKUP(R662,de_para!$A$1:$B$31,2,0)*base!S662,0)</f>
        <v>0</v>
      </c>
      <c r="U662" s="30">
        <f t="shared" si="11"/>
        <v>0</v>
      </c>
    </row>
    <row r="663" spans="1:21" x14ac:dyDescent="0.35">
      <c r="A663" s="29"/>
      <c r="B663" s="29"/>
      <c r="C663" s="29"/>
      <c r="D663" s="29"/>
      <c r="E663" s="29"/>
      <c r="F663" s="29"/>
      <c r="G663" s="29"/>
      <c r="H663" s="31">
        <f>IF(base!F663&lt;&gt;"",VLOOKUP(F663,de_para!$A$1:$B$31,2,0)*base!G663,0)</f>
        <v>0</v>
      </c>
      <c r="I663" s="38"/>
      <c r="J663" s="29"/>
      <c r="K663" s="31">
        <f>IF(base!I663&lt;&gt;"",VLOOKUP(I663,de_para!$A$1:$B$31,2,0)*base!J663,0)</f>
        <v>0</v>
      </c>
      <c r="L663" s="38"/>
      <c r="M663" s="29"/>
      <c r="N663" s="31">
        <f>IF(base!L663&lt;&gt;"",VLOOKUP(L663,de_para!$A$1:$B$31,2,0)*base!M663,0)</f>
        <v>0</v>
      </c>
      <c r="O663" s="38"/>
      <c r="P663" s="29"/>
      <c r="Q663" s="31">
        <f>IF(base!O663&lt;&gt;"",VLOOKUP(O663,de_para!$A$1:$B$31,2,0)*base!P663,0)</f>
        <v>0</v>
      </c>
      <c r="R663" s="38"/>
      <c r="S663" s="29"/>
      <c r="T663" s="31">
        <f>IF(base!R663&lt;&gt;"",VLOOKUP(R663,de_para!$A$1:$B$31,2,0)*base!S663,0)</f>
        <v>0</v>
      </c>
      <c r="U663" s="30">
        <f t="shared" si="11"/>
        <v>0</v>
      </c>
    </row>
    <row r="664" spans="1:21" x14ac:dyDescent="0.35">
      <c r="A664" s="29"/>
      <c r="B664" s="29"/>
      <c r="C664" s="29"/>
      <c r="D664" s="29"/>
      <c r="E664" s="29"/>
      <c r="F664" s="29"/>
      <c r="G664" s="29"/>
      <c r="H664" s="31">
        <f>IF(base!F664&lt;&gt;"",VLOOKUP(F664,de_para!$A$1:$B$31,2,0)*base!G664,0)</f>
        <v>0</v>
      </c>
      <c r="I664" s="38"/>
      <c r="J664" s="29"/>
      <c r="K664" s="31">
        <f>IF(base!I664&lt;&gt;"",VLOOKUP(I664,de_para!$A$1:$B$31,2,0)*base!J664,0)</f>
        <v>0</v>
      </c>
      <c r="L664" s="38"/>
      <c r="M664" s="29"/>
      <c r="N664" s="31">
        <f>IF(base!L664&lt;&gt;"",VLOOKUP(L664,de_para!$A$1:$B$31,2,0)*base!M664,0)</f>
        <v>0</v>
      </c>
      <c r="O664" s="38"/>
      <c r="P664" s="29"/>
      <c r="Q664" s="31">
        <f>IF(base!O664&lt;&gt;"",VLOOKUP(O664,de_para!$A$1:$B$31,2,0)*base!P664,0)</f>
        <v>0</v>
      </c>
      <c r="R664" s="38"/>
      <c r="S664" s="29"/>
      <c r="T664" s="31">
        <f>IF(base!R664&lt;&gt;"",VLOOKUP(R664,de_para!$A$1:$B$31,2,0)*base!S664,0)</f>
        <v>0</v>
      </c>
      <c r="U664" s="30">
        <f t="shared" si="11"/>
        <v>0</v>
      </c>
    </row>
    <row r="665" spans="1:21" x14ac:dyDescent="0.35">
      <c r="A665" s="29"/>
      <c r="B665" s="29"/>
      <c r="C665" s="29"/>
      <c r="D665" s="29"/>
      <c r="E665" s="29"/>
      <c r="F665" s="29"/>
      <c r="G665" s="29"/>
      <c r="H665" s="31">
        <f>IF(base!F665&lt;&gt;"",VLOOKUP(F665,de_para!$A$1:$B$31,2,0)*base!G665,0)</f>
        <v>0</v>
      </c>
      <c r="I665" s="38"/>
      <c r="J665" s="29"/>
      <c r="K665" s="31">
        <f>IF(base!I665&lt;&gt;"",VLOOKUP(I665,de_para!$A$1:$B$31,2,0)*base!J665,0)</f>
        <v>0</v>
      </c>
      <c r="L665" s="38"/>
      <c r="M665" s="29"/>
      <c r="N665" s="31">
        <f>IF(base!L665&lt;&gt;"",VLOOKUP(L665,de_para!$A$1:$B$31,2,0)*base!M665,0)</f>
        <v>0</v>
      </c>
      <c r="O665" s="38"/>
      <c r="P665" s="29"/>
      <c r="Q665" s="31">
        <f>IF(base!O665&lt;&gt;"",VLOOKUP(O665,de_para!$A$1:$B$31,2,0)*base!P665,0)</f>
        <v>0</v>
      </c>
      <c r="R665" s="38"/>
      <c r="S665" s="29"/>
      <c r="T665" s="31">
        <f>IF(base!R665&lt;&gt;"",VLOOKUP(R665,de_para!$A$1:$B$31,2,0)*base!S665,0)</f>
        <v>0</v>
      </c>
      <c r="U665" s="30">
        <f t="shared" si="11"/>
        <v>0</v>
      </c>
    </row>
    <row r="666" spans="1:21" x14ac:dyDescent="0.35">
      <c r="A666" s="29"/>
      <c r="B666" s="29"/>
      <c r="C666" s="29"/>
      <c r="D666" s="29"/>
      <c r="E666" s="29"/>
      <c r="F666" s="29"/>
      <c r="G666" s="29"/>
      <c r="H666" s="31">
        <f>IF(base!F666&lt;&gt;"",VLOOKUP(F666,de_para!$A$1:$B$31,2,0)*base!G666,0)</f>
        <v>0</v>
      </c>
      <c r="I666" s="38"/>
      <c r="J666" s="29"/>
      <c r="K666" s="31">
        <f>IF(base!I666&lt;&gt;"",VLOOKUP(I666,de_para!$A$1:$B$31,2,0)*base!J666,0)</f>
        <v>0</v>
      </c>
      <c r="L666" s="38"/>
      <c r="M666" s="29"/>
      <c r="N666" s="31">
        <f>IF(base!L666&lt;&gt;"",VLOOKUP(L666,de_para!$A$1:$B$31,2,0)*base!M666,0)</f>
        <v>0</v>
      </c>
      <c r="O666" s="38"/>
      <c r="P666" s="29"/>
      <c r="Q666" s="31">
        <f>IF(base!O666&lt;&gt;"",VLOOKUP(O666,de_para!$A$1:$B$31,2,0)*base!P666,0)</f>
        <v>0</v>
      </c>
      <c r="R666" s="38"/>
      <c r="S666" s="29"/>
      <c r="T666" s="31">
        <f>IF(base!R666&lt;&gt;"",VLOOKUP(R666,de_para!$A$1:$B$31,2,0)*base!S666,0)</f>
        <v>0</v>
      </c>
      <c r="U666" s="30">
        <f t="shared" si="11"/>
        <v>0</v>
      </c>
    </row>
    <row r="667" spans="1:21" x14ac:dyDescent="0.35">
      <c r="A667" s="29"/>
      <c r="B667" s="29"/>
      <c r="C667" s="29"/>
      <c r="D667" s="29"/>
      <c r="E667" s="29"/>
      <c r="F667" s="29"/>
      <c r="G667" s="29"/>
      <c r="H667" s="31">
        <f>IF(base!F667&lt;&gt;"",VLOOKUP(F667,de_para!$A$1:$B$31,2,0)*base!G667,0)</f>
        <v>0</v>
      </c>
      <c r="I667" s="38"/>
      <c r="J667" s="29"/>
      <c r="K667" s="31">
        <f>IF(base!I667&lt;&gt;"",VLOOKUP(I667,de_para!$A$1:$B$31,2,0)*base!J667,0)</f>
        <v>0</v>
      </c>
      <c r="L667" s="38"/>
      <c r="M667" s="29"/>
      <c r="N667" s="31">
        <f>IF(base!L667&lt;&gt;"",VLOOKUP(L667,de_para!$A$1:$B$31,2,0)*base!M667,0)</f>
        <v>0</v>
      </c>
      <c r="O667" s="38"/>
      <c r="P667" s="29"/>
      <c r="Q667" s="31">
        <f>IF(base!O667&lt;&gt;"",VLOOKUP(O667,de_para!$A$1:$B$31,2,0)*base!P667,0)</f>
        <v>0</v>
      </c>
      <c r="R667" s="38"/>
      <c r="S667" s="29"/>
      <c r="T667" s="31">
        <f>IF(base!R667&lt;&gt;"",VLOOKUP(R667,de_para!$A$1:$B$31,2,0)*base!S667,0)</f>
        <v>0</v>
      </c>
      <c r="U667" s="30">
        <f t="shared" si="11"/>
        <v>0</v>
      </c>
    </row>
    <row r="668" spans="1:21" x14ac:dyDescent="0.35">
      <c r="A668" s="29"/>
      <c r="B668" s="29"/>
      <c r="C668" s="29"/>
      <c r="D668" s="29"/>
      <c r="E668" s="29"/>
      <c r="F668" s="29"/>
      <c r="G668" s="29"/>
      <c r="H668" s="31">
        <f>IF(base!F668&lt;&gt;"",VLOOKUP(F668,de_para!$A$1:$B$31,2,0)*base!G668,0)</f>
        <v>0</v>
      </c>
      <c r="I668" s="38"/>
      <c r="J668" s="29"/>
      <c r="K668" s="31">
        <f>IF(base!I668&lt;&gt;"",VLOOKUP(I668,de_para!$A$1:$B$31,2,0)*base!J668,0)</f>
        <v>0</v>
      </c>
      <c r="L668" s="38"/>
      <c r="M668" s="29"/>
      <c r="N668" s="31">
        <f>IF(base!L668&lt;&gt;"",VLOOKUP(L668,de_para!$A$1:$B$31,2,0)*base!M668,0)</f>
        <v>0</v>
      </c>
      <c r="O668" s="38"/>
      <c r="P668" s="29"/>
      <c r="Q668" s="31">
        <f>IF(base!O668&lt;&gt;"",VLOOKUP(O668,de_para!$A$1:$B$31,2,0)*base!P668,0)</f>
        <v>0</v>
      </c>
      <c r="R668" s="38"/>
      <c r="S668" s="29"/>
      <c r="T668" s="31">
        <f>IF(base!R668&lt;&gt;"",VLOOKUP(R668,de_para!$A$1:$B$31,2,0)*base!S668,0)</f>
        <v>0</v>
      </c>
      <c r="U668" s="30">
        <f t="shared" si="11"/>
        <v>0</v>
      </c>
    </row>
    <row r="669" spans="1:21" x14ac:dyDescent="0.35">
      <c r="A669" s="29"/>
      <c r="B669" s="29"/>
      <c r="C669" s="29"/>
      <c r="D669" s="29"/>
      <c r="E669" s="29"/>
      <c r="F669" s="29"/>
      <c r="G669" s="29"/>
      <c r="H669" s="31">
        <f>IF(base!F669&lt;&gt;"",VLOOKUP(F669,de_para!$A$1:$B$31,2,0)*base!G669,0)</f>
        <v>0</v>
      </c>
      <c r="I669" s="38"/>
      <c r="J669" s="29"/>
      <c r="K669" s="31">
        <f>IF(base!I669&lt;&gt;"",VLOOKUP(I669,de_para!$A$1:$B$31,2,0)*base!J669,0)</f>
        <v>0</v>
      </c>
      <c r="L669" s="38"/>
      <c r="M669" s="29"/>
      <c r="N669" s="31">
        <f>IF(base!L669&lt;&gt;"",VLOOKUP(L669,de_para!$A$1:$B$31,2,0)*base!M669,0)</f>
        <v>0</v>
      </c>
      <c r="O669" s="38"/>
      <c r="P669" s="29"/>
      <c r="Q669" s="31">
        <f>IF(base!O669&lt;&gt;"",VLOOKUP(O669,de_para!$A$1:$B$31,2,0)*base!P669,0)</f>
        <v>0</v>
      </c>
      <c r="R669" s="38"/>
      <c r="S669" s="29"/>
      <c r="T669" s="31">
        <f>IF(base!R669&lt;&gt;"",VLOOKUP(R669,de_para!$A$1:$B$31,2,0)*base!S669,0)</f>
        <v>0</v>
      </c>
      <c r="U669" s="30">
        <f t="shared" si="11"/>
        <v>0</v>
      </c>
    </row>
    <row r="670" spans="1:21" x14ac:dyDescent="0.35">
      <c r="A670" s="29"/>
      <c r="B670" s="29"/>
      <c r="C670" s="29"/>
      <c r="D670" s="29"/>
      <c r="E670" s="29"/>
      <c r="F670" s="29"/>
      <c r="G670" s="29"/>
      <c r="H670" s="31">
        <f>IF(base!F670&lt;&gt;"",VLOOKUP(F670,de_para!$A$1:$B$31,2,0)*base!G670,0)</f>
        <v>0</v>
      </c>
      <c r="I670" s="38"/>
      <c r="J670" s="29"/>
      <c r="K670" s="31">
        <f>IF(base!I670&lt;&gt;"",VLOOKUP(I670,de_para!$A$1:$B$31,2,0)*base!J670,0)</f>
        <v>0</v>
      </c>
      <c r="L670" s="38"/>
      <c r="M670" s="29"/>
      <c r="N670" s="31">
        <f>IF(base!L670&lt;&gt;"",VLOOKUP(L670,de_para!$A$1:$B$31,2,0)*base!M670,0)</f>
        <v>0</v>
      </c>
      <c r="O670" s="38"/>
      <c r="P670" s="29"/>
      <c r="Q670" s="31">
        <f>IF(base!O670&lt;&gt;"",VLOOKUP(O670,de_para!$A$1:$B$31,2,0)*base!P670,0)</f>
        <v>0</v>
      </c>
      <c r="R670" s="38"/>
      <c r="S670" s="29"/>
      <c r="T670" s="31">
        <f>IF(base!R670&lt;&gt;"",VLOOKUP(R670,de_para!$A$1:$B$31,2,0)*base!S670,0)</f>
        <v>0</v>
      </c>
      <c r="U670" s="30">
        <f t="shared" si="11"/>
        <v>0</v>
      </c>
    </row>
    <row r="671" spans="1:21" x14ac:dyDescent="0.35">
      <c r="A671" s="29"/>
      <c r="B671" s="29"/>
      <c r="C671" s="29"/>
      <c r="D671" s="29"/>
      <c r="E671" s="29"/>
      <c r="F671" s="29"/>
      <c r="G671" s="29"/>
      <c r="H671" s="31">
        <f>IF(base!F671&lt;&gt;"",VLOOKUP(F671,de_para!$A$1:$B$31,2,0)*base!G671,0)</f>
        <v>0</v>
      </c>
      <c r="I671" s="38"/>
      <c r="J671" s="29"/>
      <c r="K671" s="31">
        <f>IF(base!I671&lt;&gt;"",VLOOKUP(I671,de_para!$A$1:$B$31,2,0)*base!J671,0)</f>
        <v>0</v>
      </c>
      <c r="L671" s="38"/>
      <c r="M671" s="29"/>
      <c r="N671" s="31">
        <f>IF(base!L671&lt;&gt;"",VLOOKUP(L671,de_para!$A$1:$B$31,2,0)*base!M671,0)</f>
        <v>0</v>
      </c>
      <c r="O671" s="38"/>
      <c r="P671" s="29"/>
      <c r="Q671" s="31">
        <f>IF(base!O671&lt;&gt;"",VLOOKUP(O671,de_para!$A$1:$B$31,2,0)*base!P671,0)</f>
        <v>0</v>
      </c>
      <c r="R671" s="38"/>
      <c r="S671" s="29"/>
      <c r="T671" s="31">
        <f>IF(base!R671&lt;&gt;"",VLOOKUP(R671,de_para!$A$1:$B$31,2,0)*base!S671,0)</f>
        <v>0</v>
      </c>
      <c r="U671" s="30">
        <f t="shared" si="11"/>
        <v>0</v>
      </c>
    </row>
    <row r="672" spans="1:21" x14ac:dyDescent="0.35">
      <c r="A672" s="29"/>
      <c r="B672" s="29"/>
      <c r="C672" s="29"/>
      <c r="D672" s="29"/>
      <c r="E672" s="29"/>
      <c r="F672" s="29"/>
      <c r="G672" s="29"/>
      <c r="H672" s="31">
        <f>IF(base!F672&lt;&gt;"",VLOOKUP(F672,de_para!$A$1:$B$31,2,0)*base!G672,0)</f>
        <v>0</v>
      </c>
      <c r="I672" s="38"/>
      <c r="J672" s="29"/>
      <c r="K672" s="31">
        <f>IF(base!I672&lt;&gt;"",VLOOKUP(I672,de_para!$A$1:$B$31,2,0)*base!J672,0)</f>
        <v>0</v>
      </c>
      <c r="L672" s="38"/>
      <c r="M672" s="29"/>
      <c r="N672" s="31">
        <f>IF(base!L672&lt;&gt;"",VLOOKUP(L672,de_para!$A$1:$B$31,2,0)*base!M672,0)</f>
        <v>0</v>
      </c>
      <c r="O672" s="38"/>
      <c r="P672" s="29"/>
      <c r="Q672" s="31">
        <f>IF(base!O672&lt;&gt;"",VLOOKUP(O672,de_para!$A$1:$B$31,2,0)*base!P672,0)</f>
        <v>0</v>
      </c>
      <c r="R672" s="38"/>
      <c r="S672" s="29"/>
      <c r="T672" s="31">
        <f>IF(base!R672&lt;&gt;"",VLOOKUP(R672,de_para!$A$1:$B$31,2,0)*base!S672,0)</f>
        <v>0</v>
      </c>
      <c r="U672" s="30">
        <f t="shared" si="11"/>
        <v>0</v>
      </c>
    </row>
    <row r="673" spans="1:21" x14ac:dyDescent="0.35">
      <c r="A673" s="29"/>
      <c r="B673" s="29"/>
      <c r="C673" s="29"/>
      <c r="D673" s="29"/>
      <c r="E673" s="29"/>
      <c r="F673" s="29"/>
      <c r="G673" s="29"/>
      <c r="H673" s="31">
        <f>IF(base!F673&lt;&gt;"",VLOOKUP(F673,de_para!$A$1:$B$31,2,0)*base!G673,0)</f>
        <v>0</v>
      </c>
      <c r="I673" s="38"/>
      <c r="J673" s="29"/>
      <c r="K673" s="31">
        <f>IF(base!I673&lt;&gt;"",VLOOKUP(I673,de_para!$A$1:$B$31,2,0)*base!J673,0)</f>
        <v>0</v>
      </c>
      <c r="L673" s="38"/>
      <c r="M673" s="29"/>
      <c r="N673" s="31">
        <f>IF(base!L673&lt;&gt;"",VLOOKUP(L673,de_para!$A$1:$B$31,2,0)*base!M673,0)</f>
        <v>0</v>
      </c>
      <c r="O673" s="38"/>
      <c r="P673" s="29"/>
      <c r="Q673" s="31">
        <f>IF(base!O673&lt;&gt;"",VLOOKUP(O673,de_para!$A$1:$B$31,2,0)*base!P673,0)</f>
        <v>0</v>
      </c>
      <c r="R673" s="38"/>
      <c r="S673" s="29"/>
      <c r="T673" s="31">
        <f>IF(base!R673&lt;&gt;"",VLOOKUP(R673,de_para!$A$1:$B$31,2,0)*base!S673,0)</f>
        <v>0</v>
      </c>
      <c r="U673" s="30">
        <f t="shared" si="11"/>
        <v>0</v>
      </c>
    </row>
    <row r="674" spans="1:21" x14ac:dyDescent="0.35">
      <c r="A674" s="29"/>
      <c r="B674" s="29"/>
      <c r="C674" s="29"/>
      <c r="D674" s="29"/>
      <c r="E674" s="29"/>
      <c r="F674" s="29"/>
      <c r="G674" s="29"/>
      <c r="H674" s="31">
        <f>IF(base!F674&lt;&gt;"",VLOOKUP(F674,de_para!$A$1:$B$31,2,0)*base!G674,0)</f>
        <v>0</v>
      </c>
      <c r="I674" s="38"/>
      <c r="J674" s="29"/>
      <c r="K674" s="31">
        <f>IF(base!I674&lt;&gt;"",VLOOKUP(I674,de_para!$A$1:$B$31,2,0)*base!J674,0)</f>
        <v>0</v>
      </c>
      <c r="L674" s="38"/>
      <c r="M674" s="29"/>
      <c r="N674" s="31">
        <f>IF(base!L674&lt;&gt;"",VLOOKUP(L674,de_para!$A$1:$B$31,2,0)*base!M674,0)</f>
        <v>0</v>
      </c>
      <c r="O674" s="38"/>
      <c r="P674" s="29"/>
      <c r="Q674" s="31">
        <f>IF(base!O674&lt;&gt;"",VLOOKUP(O674,de_para!$A$1:$B$31,2,0)*base!P674,0)</f>
        <v>0</v>
      </c>
      <c r="R674" s="38"/>
      <c r="S674" s="29"/>
      <c r="T674" s="31">
        <f>IF(base!R674&lt;&gt;"",VLOOKUP(R674,de_para!$A$1:$B$31,2,0)*base!S674,0)</f>
        <v>0</v>
      </c>
      <c r="U674" s="30">
        <f t="shared" si="11"/>
        <v>0</v>
      </c>
    </row>
    <row r="675" spans="1:21" x14ac:dyDescent="0.35">
      <c r="A675" s="29"/>
      <c r="B675" s="29"/>
      <c r="C675" s="29"/>
      <c r="D675" s="29"/>
      <c r="E675" s="29"/>
      <c r="F675" s="29"/>
      <c r="G675" s="29"/>
      <c r="H675" s="31">
        <f>IF(base!F675&lt;&gt;"",VLOOKUP(F675,de_para!$A$1:$B$31,2,0)*base!G675,0)</f>
        <v>0</v>
      </c>
      <c r="I675" s="38"/>
      <c r="J675" s="29"/>
      <c r="K675" s="31">
        <f>IF(base!I675&lt;&gt;"",VLOOKUP(I675,de_para!$A$1:$B$31,2,0)*base!J675,0)</f>
        <v>0</v>
      </c>
      <c r="L675" s="38"/>
      <c r="M675" s="29"/>
      <c r="N675" s="31">
        <f>IF(base!L675&lt;&gt;"",VLOOKUP(L675,de_para!$A$1:$B$31,2,0)*base!M675,0)</f>
        <v>0</v>
      </c>
      <c r="O675" s="38"/>
      <c r="P675" s="29"/>
      <c r="Q675" s="31">
        <f>IF(base!O675&lt;&gt;"",VLOOKUP(O675,de_para!$A$1:$B$31,2,0)*base!P675,0)</f>
        <v>0</v>
      </c>
      <c r="R675" s="38"/>
      <c r="S675" s="29"/>
      <c r="T675" s="31">
        <f>IF(base!R675&lt;&gt;"",VLOOKUP(R675,de_para!$A$1:$B$31,2,0)*base!S675,0)</f>
        <v>0</v>
      </c>
      <c r="U675" s="30">
        <f t="shared" si="11"/>
        <v>0</v>
      </c>
    </row>
    <row r="676" spans="1:21" x14ac:dyDescent="0.35">
      <c r="A676" s="29"/>
      <c r="B676" s="29"/>
      <c r="C676" s="29"/>
      <c r="D676" s="29"/>
      <c r="E676" s="29"/>
      <c r="F676" s="29"/>
      <c r="G676" s="29"/>
      <c r="H676" s="31">
        <f>IF(base!F676&lt;&gt;"",VLOOKUP(F676,de_para!$A$1:$B$31,2,0)*base!G676,0)</f>
        <v>0</v>
      </c>
      <c r="I676" s="38"/>
      <c r="J676" s="29"/>
      <c r="K676" s="31">
        <f>IF(base!I676&lt;&gt;"",VLOOKUP(I676,de_para!$A$1:$B$31,2,0)*base!J676,0)</f>
        <v>0</v>
      </c>
      <c r="L676" s="38"/>
      <c r="M676" s="29"/>
      <c r="N676" s="31">
        <f>IF(base!L676&lt;&gt;"",VLOOKUP(L676,de_para!$A$1:$B$31,2,0)*base!M676,0)</f>
        <v>0</v>
      </c>
      <c r="O676" s="38"/>
      <c r="P676" s="29"/>
      <c r="Q676" s="31">
        <f>IF(base!O676&lt;&gt;"",VLOOKUP(O676,de_para!$A$1:$B$31,2,0)*base!P676,0)</f>
        <v>0</v>
      </c>
      <c r="R676" s="38"/>
      <c r="S676" s="29"/>
      <c r="T676" s="31">
        <f>IF(base!R676&lt;&gt;"",VLOOKUP(R676,de_para!$A$1:$B$31,2,0)*base!S676,0)</f>
        <v>0</v>
      </c>
      <c r="U676" s="30">
        <f t="shared" si="11"/>
        <v>0</v>
      </c>
    </row>
    <row r="677" spans="1:21" x14ac:dyDescent="0.35">
      <c r="A677" s="29"/>
      <c r="B677" s="29"/>
      <c r="C677" s="29"/>
      <c r="D677" s="29"/>
      <c r="E677" s="29"/>
      <c r="F677" s="29"/>
      <c r="G677" s="29"/>
      <c r="H677" s="31">
        <f>IF(base!F677&lt;&gt;"",VLOOKUP(F677,de_para!$A$1:$B$31,2,0)*base!G677,0)</f>
        <v>0</v>
      </c>
      <c r="I677" s="38"/>
      <c r="J677" s="29"/>
      <c r="K677" s="31">
        <f>IF(base!I677&lt;&gt;"",VLOOKUP(I677,de_para!$A$1:$B$31,2,0)*base!J677,0)</f>
        <v>0</v>
      </c>
      <c r="L677" s="38"/>
      <c r="M677" s="29"/>
      <c r="N677" s="31">
        <f>IF(base!L677&lt;&gt;"",VLOOKUP(L677,de_para!$A$1:$B$31,2,0)*base!M677,0)</f>
        <v>0</v>
      </c>
      <c r="O677" s="38"/>
      <c r="P677" s="29"/>
      <c r="Q677" s="31">
        <f>IF(base!O677&lt;&gt;"",VLOOKUP(O677,de_para!$A$1:$B$31,2,0)*base!P677,0)</f>
        <v>0</v>
      </c>
      <c r="R677" s="38"/>
      <c r="S677" s="29"/>
      <c r="T677" s="31">
        <f>IF(base!R677&lt;&gt;"",VLOOKUP(R677,de_para!$A$1:$B$31,2,0)*base!S677,0)</f>
        <v>0</v>
      </c>
      <c r="U677" s="30">
        <f t="shared" si="11"/>
        <v>0</v>
      </c>
    </row>
    <row r="678" spans="1:21" x14ac:dyDescent="0.35">
      <c r="A678" s="29"/>
      <c r="B678" s="29"/>
      <c r="C678" s="29"/>
      <c r="D678" s="29"/>
      <c r="E678" s="29"/>
      <c r="F678" s="29"/>
      <c r="G678" s="29"/>
      <c r="H678" s="31">
        <f>IF(base!F678&lt;&gt;"",VLOOKUP(F678,de_para!$A$1:$B$31,2,0)*base!G678,0)</f>
        <v>0</v>
      </c>
      <c r="I678" s="38"/>
      <c r="J678" s="29"/>
      <c r="K678" s="31">
        <f>IF(base!I678&lt;&gt;"",VLOOKUP(I678,de_para!$A$1:$B$31,2,0)*base!J678,0)</f>
        <v>0</v>
      </c>
      <c r="L678" s="38"/>
      <c r="M678" s="29"/>
      <c r="N678" s="31">
        <f>IF(base!L678&lt;&gt;"",VLOOKUP(L678,de_para!$A$1:$B$31,2,0)*base!M678,0)</f>
        <v>0</v>
      </c>
      <c r="O678" s="38"/>
      <c r="P678" s="29"/>
      <c r="Q678" s="31">
        <f>IF(base!O678&lt;&gt;"",VLOOKUP(O678,de_para!$A$1:$B$31,2,0)*base!P678,0)</f>
        <v>0</v>
      </c>
      <c r="R678" s="38"/>
      <c r="S678" s="29"/>
      <c r="T678" s="31">
        <f>IF(base!R678&lt;&gt;"",VLOOKUP(R678,de_para!$A$1:$B$31,2,0)*base!S678,0)</f>
        <v>0</v>
      </c>
      <c r="U678" s="30">
        <f t="shared" si="11"/>
        <v>0</v>
      </c>
    </row>
    <row r="679" spans="1:21" x14ac:dyDescent="0.35">
      <c r="A679" s="29"/>
      <c r="B679" s="29"/>
      <c r="C679" s="29"/>
      <c r="D679" s="29"/>
      <c r="E679" s="29"/>
      <c r="F679" s="29"/>
      <c r="G679" s="29"/>
      <c r="H679" s="31">
        <f>IF(base!F679&lt;&gt;"",VLOOKUP(F679,de_para!$A$1:$B$31,2,0)*base!G679,0)</f>
        <v>0</v>
      </c>
      <c r="I679" s="38"/>
      <c r="J679" s="29"/>
      <c r="K679" s="31">
        <f>IF(base!I679&lt;&gt;"",VLOOKUP(I679,de_para!$A$1:$B$31,2,0)*base!J679,0)</f>
        <v>0</v>
      </c>
      <c r="L679" s="38"/>
      <c r="M679" s="29"/>
      <c r="N679" s="31">
        <f>IF(base!L679&lt;&gt;"",VLOOKUP(L679,de_para!$A$1:$B$31,2,0)*base!M679,0)</f>
        <v>0</v>
      </c>
      <c r="O679" s="38"/>
      <c r="P679" s="29"/>
      <c r="Q679" s="31">
        <f>IF(base!O679&lt;&gt;"",VLOOKUP(O679,de_para!$A$1:$B$31,2,0)*base!P679,0)</f>
        <v>0</v>
      </c>
      <c r="R679" s="38"/>
      <c r="S679" s="29"/>
      <c r="T679" s="31">
        <f>IF(base!R679&lt;&gt;"",VLOOKUP(R679,de_para!$A$1:$B$31,2,0)*base!S679,0)</f>
        <v>0</v>
      </c>
      <c r="U679" s="30">
        <f t="shared" si="11"/>
        <v>0</v>
      </c>
    </row>
    <row r="680" spans="1:21" x14ac:dyDescent="0.35">
      <c r="A680" s="29"/>
      <c r="B680" s="29"/>
      <c r="C680" s="29"/>
      <c r="D680" s="29"/>
      <c r="E680" s="29"/>
      <c r="F680" s="29"/>
      <c r="G680" s="29"/>
      <c r="H680" s="31">
        <f>IF(base!F680&lt;&gt;"",VLOOKUP(F680,de_para!$A$1:$B$31,2,0)*base!G680,0)</f>
        <v>0</v>
      </c>
      <c r="I680" s="38"/>
      <c r="J680" s="29"/>
      <c r="K680" s="31">
        <f>IF(base!I680&lt;&gt;"",VLOOKUP(I680,de_para!$A$1:$B$31,2,0)*base!J680,0)</f>
        <v>0</v>
      </c>
      <c r="L680" s="38"/>
      <c r="M680" s="29"/>
      <c r="N680" s="31">
        <f>IF(base!L680&lt;&gt;"",VLOOKUP(L680,de_para!$A$1:$B$31,2,0)*base!M680,0)</f>
        <v>0</v>
      </c>
      <c r="O680" s="38"/>
      <c r="P680" s="29"/>
      <c r="Q680" s="31">
        <f>IF(base!O680&lt;&gt;"",VLOOKUP(O680,de_para!$A$1:$B$31,2,0)*base!P680,0)</f>
        <v>0</v>
      </c>
      <c r="R680" s="38"/>
      <c r="S680" s="29"/>
      <c r="T680" s="31">
        <f>IF(base!R680&lt;&gt;"",VLOOKUP(R680,de_para!$A$1:$B$31,2,0)*base!S680,0)</f>
        <v>0</v>
      </c>
      <c r="U680" s="30">
        <f t="shared" si="11"/>
        <v>0</v>
      </c>
    </row>
    <row r="681" spans="1:21" x14ac:dyDescent="0.35">
      <c r="A681" s="29"/>
      <c r="B681" s="29"/>
      <c r="C681" s="29"/>
      <c r="D681" s="29"/>
      <c r="E681" s="29"/>
      <c r="F681" s="29"/>
      <c r="G681" s="29"/>
      <c r="H681" s="31">
        <f>IF(base!F681&lt;&gt;"",VLOOKUP(F681,de_para!$A$1:$B$31,2,0)*base!G681,0)</f>
        <v>0</v>
      </c>
      <c r="I681" s="38"/>
      <c r="J681" s="29"/>
      <c r="K681" s="31">
        <f>IF(base!I681&lt;&gt;"",VLOOKUP(I681,de_para!$A$1:$B$31,2,0)*base!J681,0)</f>
        <v>0</v>
      </c>
      <c r="L681" s="38"/>
      <c r="M681" s="29"/>
      <c r="N681" s="31">
        <f>IF(base!L681&lt;&gt;"",VLOOKUP(L681,de_para!$A$1:$B$31,2,0)*base!M681,0)</f>
        <v>0</v>
      </c>
      <c r="O681" s="38"/>
      <c r="P681" s="29"/>
      <c r="Q681" s="31">
        <f>IF(base!O681&lt;&gt;"",VLOOKUP(O681,de_para!$A$1:$B$31,2,0)*base!P681,0)</f>
        <v>0</v>
      </c>
      <c r="R681" s="38"/>
      <c r="S681" s="29"/>
      <c r="T681" s="31">
        <f>IF(base!R681&lt;&gt;"",VLOOKUP(R681,de_para!$A$1:$B$31,2,0)*base!S681,0)</f>
        <v>0</v>
      </c>
      <c r="U681" s="30">
        <f t="shared" si="11"/>
        <v>0</v>
      </c>
    </row>
    <row r="682" spans="1:21" x14ac:dyDescent="0.35">
      <c r="A682" s="29"/>
      <c r="B682" s="29"/>
      <c r="C682" s="29"/>
      <c r="D682" s="29"/>
      <c r="E682" s="29"/>
      <c r="F682" s="29"/>
      <c r="G682" s="29"/>
      <c r="H682" s="31">
        <f>IF(base!F682&lt;&gt;"",VLOOKUP(F682,de_para!$A$1:$B$31,2,0)*base!G682,0)</f>
        <v>0</v>
      </c>
      <c r="I682" s="38"/>
      <c r="J682" s="29"/>
      <c r="K682" s="31">
        <f>IF(base!I682&lt;&gt;"",VLOOKUP(I682,de_para!$A$1:$B$31,2,0)*base!J682,0)</f>
        <v>0</v>
      </c>
      <c r="L682" s="38"/>
      <c r="M682" s="29"/>
      <c r="N682" s="31">
        <f>IF(base!L682&lt;&gt;"",VLOOKUP(L682,de_para!$A$1:$B$31,2,0)*base!M682,0)</f>
        <v>0</v>
      </c>
      <c r="O682" s="38"/>
      <c r="P682" s="29"/>
      <c r="Q682" s="31">
        <f>IF(base!O682&lt;&gt;"",VLOOKUP(O682,de_para!$A$1:$B$31,2,0)*base!P682,0)</f>
        <v>0</v>
      </c>
      <c r="R682" s="38"/>
      <c r="S682" s="29"/>
      <c r="T682" s="31">
        <f>IF(base!R682&lt;&gt;"",VLOOKUP(R682,de_para!$A$1:$B$31,2,0)*base!S682,0)</f>
        <v>0</v>
      </c>
      <c r="U682" s="30">
        <f t="shared" si="11"/>
        <v>0</v>
      </c>
    </row>
    <row r="683" spans="1:21" x14ac:dyDescent="0.35">
      <c r="A683" s="29"/>
      <c r="B683" s="29"/>
      <c r="C683" s="29"/>
      <c r="D683" s="29"/>
      <c r="E683" s="29"/>
      <c r="F683" s="29"/>
      <c r="G683" s="29"/>
      <c r="H683" s="31">
        <f>IF(base!F683&lt;&gt;"",VLOOKUP(F683,de_para!$A$1:$B$31,2,0)*base!G683,0)</f>
        <v>0</v>
      </c>
      <c r="I683" s="38"/>
      <c r="J683" s="29"/>
      <c r="K683" s="31">
        <f>IF(base!I683&lt;&gt;"",VLOOKUP(I683,de_para!$A$1:$B$31,2,0)*base!J683,0)</f>
        <v>0</v>
      </c>
      <c r="L683" s="38"/>
      <c r="M683" s="29"/>
      <c r="N683" s="31">
        <f>IF(base!L683&lt;&gt;"",VLOOKUP(L683,de_para!$A$1:$B$31,2,0)*base!M683,0)</f>
        <v>0</v>
      </c>
      <c r="O683" s="38"/>
      <c r="P683" s="29"/>
      <c r="Q683" s="31">
        <f>IF(base!O683&lt;&gt;"",VLOOKUP(O683,de_para!$A$1:$B$31,2,0)*base!P683,0)</f>
        <v>0</v>
      </c>
      <c r="R683" s="38"/>
      <c r="S683" s="29"/>
      <c r="T683" s="31">
        <f>IF(base!R683&lt;&gt;"",VLOOKUP(R683,de_para!$A$1:$B$31,2,0)*base!S683,0)</f>
        <v>0</v>
      </c>
      <c r="U683" s="30">
        <f t="shared" si="11"/>
        <v>0</v>
      </c>
    </row>
    <row r="684" spans="1:21" x14ac:dyDescent="0.35">
      <c r="A684" s="29"/>
      <c r="B684" s="29"/>
      <c r="C684" s="29"/>
      <c r="D684" s="29"/>
      <c r="E684" s="29"/>
      <c r="F684" s="29"/>
      <c r="G684" s="29"/>
      <c r="H684" s="31">
        <f>IF(base!F684&lt;&gt;"",VLOOKUP(F684,de_para!$A$1:$B$31,2,0)*base!G684,0)</f>
        <v>0</v>
      </c>
      <c r="I684" s="38"/>
      <c r="J684" s="29"/>
      <c r="K684" s="31">
        <f>IF(base!I684&lt;&gt;"",VLOOKUP(I684,de_para!$A$1:$B$31,2,0)*base!J684,0)</f>
        <v>0</v>
      </c>
      <c r="L684" s="38"/>
      <c r="M684" s="29"/>
      <c r="N684" s="31">
        <f>IF(base!L684&lt;&gt;"",VLOOKUP(L684,de_para!$A$1:$B$31,2,0)*base!M684,0)</f>
        <v>0</v>
      </c>
      <c r="O684" s="38"/>
      <c r="P684" s="29"/>
      <c r="Q684" s="31">
        <f>IF(base!O684&lt;&gt;"",VLOOKUP(O684,de_para!$A$1:$B$31,2,0)*base!P684,0)</f>
        <v>0</v>
      </c>
      <c r="R684" s="38"/>
      <c r="S684" s="29"/>
      <c r="T684" s="31">
        <f>IF(base!R684&lt;&gt;"",VLOOKUP(R684,de_para!$A$1:$B$31,2,0)*base!S684,0)</f>
        <v>0</v>
      </c>
      <c r="U684" s="30">
        <f t="shared" si="11"/>
        <v>0</v>
      </c>
    </row>
    <row r="685" spans="1:21" x14ac:dyDescent="0.35">
      <c r="A685" s="29"/>
      <c r="B685" s="29"/>
      <c r="C685" s="29"/>
      <c r="D685" s="29"/>
      <c r="E685" s="29"/>
      <c r="F685" s="29"/>
      <c r="G685" s="29"/>
      <c r="H685" s="31">
        <f>IF(base!F685&lt;&gt;"",VLOOKUP(F685,de_para!$A$1:$B$31,2,0)*base!G685,0)</f>
        <v>0</v>
      </c>
      <c r="I685" s="38"/>
      <c r="J685" s="29"/>
      <c r="K685" s="31">
        <f>IF(base!I685&lt;&gt;"",VLOOKUP(I685,de_para!$A$1:$B$31,2,0)*base!J685,0)</f>
        <v>0</v>
      </c>
      <c r="L685" s="38"/>
      <c r="M685" s="29"/>
      <c r="N685" s="31">
        <f>IF(base!L685&lt;&gt;"",VLOOKUP(L685,de_para!$A$1:$B$31,2,0)*base!M685,0)</f>
        <v>0</v>
      </c>
      <c r="O685" s="38"/>
      <c r="P685" s="29"/>
      <c r="Q685" s="31">
        <f>IF(base!O685&lt;&gt;"",VLOOKUP(O685,de_para!$A$1:$B$31,2,0)*base!P685,0)</f>
        <v>0</v>
      </c>
      <c r="R685" s="38"/>
      <c r="S685" s="29"/>
      <c r="T685" s="31">
        <f>IF(base!R685&lt;&gt;"",VLOOKUP(R685,de_para!$A$1:$B$31,2,0)*base!S685,0)</f>
        <v>0</v>
      </c>
      <c r="U685" s="30">
        <f t="shared" si="11"/>
        <v>0</v>
      </c>
    </row>
    <row r="686" spans="1:21" x14ac:dyDescent="0.35">
      <c r="A686" s="29"/>
      <c r="B686" s="29"/>
      <c r="C686" s="29"/>
      <c r="D686" s="29"/>
      <c r="E686" s="29"/>
      <c r="F686" s="29"/>
      <c r="G686" s="29"/>
      <c r="H686" s="31">
        <f>IF(base!F686&lt;&gt;"",VLOOKUP(F686,de_para!$A$1:$B$31,2,0)*base!G686,0)</f>
        <v>0</v>
      </c>
      <c r="I686" s="38"/>
      <c r="J686" s="29"/>
      <c r="K686" s="31">
        <f>IF(base!I686&lt;&gt;"",VLOOKUP(I686,de_para!$A$1:$B$31,2,0)*base!J686,0)</f>
        <v>0</v>
      </c>
      <c r="L686" s="38"/>
      <c r="M686" s="29"/>
      <c r="N686" s="31">
        <f>IF(base!L686&lt;&gt;"",VLOOKUP(L686,de_para!$A$1:$B$31,2,0)*base!M686,0)</f>
        <v>0</v>
      </c>
      <c r="O686" s="38"/>
      <c r="P686" s="29"/>
      <c r="Q686" s="31">
        <f>IF(base!O686&lt;&gt;"",VLOOKUP(O686,de_para!$A$1:$B$31,2,0)*base!P686,0)</f>
        <v>0</v>
      </c>
      <c r="R686" s="38"/>
      <c r="S686" s="29"/>
      <c r="T686" s="31">
        <f>IF(base!R686&lt;&gt;"",VLOOKUP(R686,de_para!$A$1:$B$31,2,0)*base!S686,0)</f>
        <v>0</v>
      </c>
      <c r="U686" s="30">
        <f t="shared" si="11"/>
        <v>0</v>
      </c>
    </row>
    <row r="687" spans="1:21" x14ac:dyDescent="0.35">
      <c r="A687" s="29"/>
      <c r="B687" s="29"/>
      <c r="C687" s="29"/>
      <c r="D687" s="29"/>
      <c r="E687" s="29"/>
      <c r="F687" s="29"/>
      <c r="G687" s="29"/>
      <c r="H687" s="31">
        <f>IF(base!F687&lt;&gt;"",VLOOKUP(F687,de_para!$A$1:$B$31,2,0)*base!G687,0)</f>
        <v>0</v>
      </c>
      <c r="I687" s="38"/>
      <c r="J687" s="29"/>
      <c r="K687" s="31">
        <f>IF(base!I687&lt;&gt;"",VLOOKUP(I687,de_para!$A$1:$B$31,2,0)*base!J687,0)</f>
        <v>0</v>
      </c>
      <c r="L687" s="38"/>
      <c r="M687" s="29"/>
      <c r="N687" s="31">
        <f>IF(base!L687&lt;&gt;"",VLOOKUP(L687,de_para!$A$1:$B$31,2,0)*base!M687,0)</f>
        <v>0</v>
      </c>
      <c r="O687" s="38"/>
      <c r="P687" s="29"/>
      <c r="Q687" s="31">
        <f>IF(base!O687&lt;&gt;"",VLOOKUP(O687,de_para!$A$1:$B$31,2,0)*base!P687,0)</f>
        <v>0</v>
      </c>
      <c r="R687" s="38"/>
      <c r="S687" s="29"/>
      <c r="T687" s="31">
        <f>IF(base!R687&lt;&gt;"",VLOOKUP(R687,de_para!$A$1:$B$31,2,0)*base!S687,0)</f>
        <v>0</v>
      </c>
      <c r="U687" s="30">
        <f t="shared" si="11"/>
        <v>0</v>
      </c>
    </row>
    <row r="688" spans="1:21" x14ac:dyDescent="0.35">
      <c r="A688" s="29"/>
      <c r="B688" s="29"/>
      <c r="C688" s="29"/>
      <c r="D688" s="29"/>
      <c r="E688" s="29"/>
      <c r="F688" s="29"/>
      <c r="G688" s="29"/>
      <c r="H688" s="31">
        <f>IF(base!F688&lt;&gt;"",VLOOKUP(F688,de_para!$A$1:$B$31,2,0)*base!G688,0)</f>
        <v>0</v>
      </c>
      <c r="I688" s="38"/>
      <c r="J688" s="29"/>
      <c r="K688" s="31">
        <f>IF(base!I688&lt;&gt;"",VLOOKUP(I688,de_para!$A$1:$B$31,2,0)*base!J688,0)</f>
        <v>0</v>
      </c>
      <c r="L688" s="38"/>
      <c r="M688" s="29"/>
      <c r="N688" s="31">
        <f>IF(base!L688&lt;&gt;"",VLOOKUP(L688,de_para!$A$1:$B$31,2,0)*base!M688,0)</f>
        <v>0</v>
      </c>
      <c r="O688" s="38"/>
      <c r="P688" s="29"/>
      <c r="Q688" s="31">
        <f>IF(base!O688&lt;&gt;"",VLOOKUP(O688,de_para!$A$1:$B$31,2,0)*base!P688,0)</f>
        <v>0</v>
      </c>
      <c r="R688" s="38"/>
      <c r="S688" s="29"/>
      <c r="T688" s="31">
        <f>IF(base!R688&lt;&gt;"",VLOOKUP(R688,de_para!$A$1:$B$31,2,0)*base!S688,0)</f>
        <v>0</v>
      </c>
      <c r="U688" s="30">
        <f t="shared" si="11"/>
        <v>0</v>
      </c>
    </row>
    <row r="689" spans="1:21" x14ac:dyDescent="0.35">
      <c r="A689" s="29"/>
      <c r="B689" s="29"/>
      <c r="C689" s="29"/>
      <c r="D689" s="29"/>
      <c r="E689" s="29"/>
      <c r="F689" s="29"/>
      <c r="G689" s="29"/>
      <c r="H689" s="31">
        <f>IF(base!F689&lt;&gt;"",VLOOKUP(F689,de_para!$A$1:$B$31,2,0)*base!G689,0)</f>
        <v>0</v>
      </c>
      <c r="I689" s="38"/>
      <c r="J689" s="29"/>
      <c r="K689" s="31">
        <f>IF(base!I689&lt;&gt;"",VLOOKUP(I689,de_para!$A$1:$B$31,2,0)*base!J689,0)</f>
        <v>0</v>
      </c>
      <c r="L689" s="38"/>
      <c r="M689" s="29"/>
      <c r="N689" s="31">
        <f>IF(base!L689&lt;&gt;"",VLOOKUP(L689,de_para!$A$1:$B$31,2,0)*base!M689,0)</f>
        <v>0</v>
      </c>
      <c r="O689" s="38"/>
      <c r="P689" s="29"/>
      <c r="Q689" s="31">
        <f>IF(base!O689&lt;&gt;"",VLOOKUP(O689,de_para!$A$1:$B$31,2,0)*base!P689,0)</f>
        <v>0</v>
      </c>
      <c r="R689" s="38"/>
      <c r="S689" s="29"/>
      <c r="T689" s="31">
        <f>IF(base!R689&lt;&gt;"",VLOOKUP(R689,de_para!$A$1:$B$31,2,0)*base!S689,0)</f>
        <v>0</v>
      </c>
      <c r="U689" s="30">
        <f t="shared" si="11"/>
        <v>0</v>
      </c>
    </row>
    <row r="690" spans="1:21" x14ac:dyDescent="0.35">
      <c r="A690" s="29"/>
      <c r="B690" s="29"/>
      <c r="C690" s="29"/>
      <c r="D690" s="29"/>
      <c r="E690" s="29"/>
      <c r="F690" s="29"/>
      <c r="G690" s="29"/>
      <c r="H690" s="31">
        <f>IF(base!F690&lt;&gt;"",VLOOKUP(F690,de_para!$A$1:$B$31,2,0)*base!G690,0)</f>
        <v>0</v>
      </c>
      <c r="I690" s="38"/>
      <c r="J690" s="29"/>
      <c r="K690" s="31">
        <f>IF(base!I690&lt;&gt;"",VLOOKUP(I690,de_para!$A$1:$B$31,2,0)*base!J690,0)</f>
        <v>0</v>
      </c>
      <c r="L690" s="38"/>
      <c r="M690" s="29"/>
      <c r="N690" s="31">
        <f>IF(base!L690&lt;&gt;"",VLOOKUP(L690,de_para!$A$1:$B$31,2,0)*base!M690,0)</f>
        <v>0</v>
      </c>
      <c r="O690" s="38"/>
      <c r="P690" s="29"/>
      <c r="Q690" s="31">
        <f>IF(base!O690&lt;&gt;"",VLOOKUP(O690,de_para!$A$1:$B$31,2,0)*base!P690,0)</f>
        <v>0</v>
      </c>
      <c r="R690" s="38"/>
      <c r="S690" s="29"/>
      <c r="T690" s="31">
        <f>IF(base!R690&lt;&gt;"",VLOOKUP(R690,de_para!$A$1:$B$31,2,0)*base!S690,0)</f>
        <v>0</v>
      </c>
      <c r="U690" s="30">
        <f t="shared" si="11"/>
        <v>0</v>
      </c>
    </row>
    <row r="691" spans="1:21" x14ac:dyDescent="0.35">
      <c r="A691" s="29"/>
      <c r="B691" s="29"/>
      <c r="C691" s="29"/>
      <c r="D691" s="29"/>
      <c r="E691" s="29"/>
      <c r="F691" s="29"/>
      <c r="G691" s="29"/>
      <c r="H691" s="31">
        <f>IF(base!F691&lt;&gt;"",VLOOKUP(F691,de_para!$A$1:$B$31,2,0)*base!G691,0)</f>
        <v>0</v>
      </c>
      <c r="I691" s="38"/>
      <c r="J691" s="29"/>
      <c r="K691" s="31">
        <f>IF(base!I691&lt;&gt;"",VLOOKUP(I691,de_para!$A$1:$B$31,2,0)*base!J691,0)</f>
        <v>0</v>
      </c>
      <c r="L691" s="38"/>
      <c r="M691" s="29"/>
      <c r="N691" s="31">
        <f>IF(base!L691&lt;&gt;"",VLOOKUP(L691,de_para!$A$1:$B$31,2,0)*base!M691,0)</f>
        <v>0</v>
      </c>
      <c r="O691" s="38"/>
      <c r="P691" s="29"/>
      <c r="Q691" s="31">
        <f>IF(base!O691&lt;&gt;"",VLOOKUP(O691,de_para!$A$1:$B$31,2,0)*base!P691,0)</f>
        <v>0</v>
      </c>
      <c r="R691" s="38"/>
      <c r="S691" s="29"/>
      <c r="T691" s="31">
        <f>IF(base!R691&lt;&gt;"",VLOOKUP(R691,de_para!$A$1:$B$31,2,0)*base!S691,0)</f>
        <v>0</v>
      </c>
      <c r="U691" s="30">
        <f t="shared" si="11"/>
        <v>0</v>
      </c>
    </row>
    <row r="692" spans="1:21" x14ac:dyDescent="0.35">
      <c r="A692" s="29"/>
      <c r="B692" s="29"/>
      <c r="C692" s="29"/>
      <c r="D692" s="29"/>
      <c r="E692" s="29"/>
      <c r="F692" s="29"/>
      <c r="G692" s="29"/>
      <c r="H692" s="31">
        <f>IF(base!F692&lt;&gt;"",VLOOKUP(F692,de_para!$A$1:$B$31,2,0)*base!G692,0)</f>
        <v>0</v>
      </c>
      <c r="I692" s="38"/>
      <c r="J692" s="29"/>
      <c r="K692" s="31">
        <f>IF(base!I692&lt;&gt;"",VLOOKUP(I692,de_para!$A$1:$B$31,2,0)*base!J692,0)</f>
        <v>0</v>
      </c>
      <c r="L692" s="38"/>
      <c r="M692" s="29"/>
      <c r="N692" s="31">
        <f>IF(base!L692&lt;&gt;"",VLOOKUP(L692,de_para!$A$1:$B$31,2,0)*base!M692,0)</f>
        <v>0</v>
      </c>
      <c r="O692" s="38"/>
      <c r="P692" s="29"/>
      <c r="Q692" s="31">
        <f>IF(base!O692&lt;&gt;"",VLOOKUP(O692,de_para!$A$1:$B$31,2,0)*base!P692,0)</f>
        <v>0</v>
      </c>
      <c r="R692" s="38"/>
      <c r="S692" s="29"/>
      <c r="T692" s="31">
        <f>IF(base!R692&lt;&gt;"",VLOOKUP(R692,de_para!$A$1:$B$31,2,0)*base!S692,0)</f>
        <v>0</v>
      </c>
      <c r="U692" s="30">
        <f t="shared" si="11"/>
        <v>0</v>
      </c>
    </row>
    <row r="693" spans="1:21" x14ac:dyDescent="0.35">
      <c r="A693" s="29"/>
      <c r="B693" s="29"/>
      <c r="C693" s="29"/>
      <c r="D693" s="29"/>
      <c r="E693" s="29"/>
      <c r="F693" s="29"/>
      <c r="G693" s="29"/>
      <c r="H693" s="31">
        <f>IF(base!F693&lt;&gt;"",VLOOKUP(F693,de_para!$A$1:$B$31,2,0)*base!G693,0)</f>
        <v>0</v>
      </c>
      <c r="I693" s="38"/>
      <c r="J693" s="29"/>
      <c r="K693" s="31">
        <f>IF(base!I693&lt;&gt;"",VLOOKUP(I693,de_para!$A$1:$B$31,2,0)*base!J693,0)</f>
        <v>0</v>
      </c>
      <c r="L693" s="38"/>
      <c r="M693" s="29"/>
      <c r="N693" s="31">
        <f>IF(base!L693&lt;&gt;"",VLOOKUP(L693,de_para!$A$1:$B$31,2,0)*base!M693,0)</f>
        <v>0</v>
      </c>
      <c r="O693" s="38"/>
      <c r="P693" s="29"/>
      <c r="Q693" s="31">
        <f>IF(base!O693&lt;&gt;"",VLOOKUP(O693,de_para!$A$1:$B$31,2,0)*base!P693,0)</f>
        <v>0</v>
      </c>
      <c r="R693" s="38"/>
      <c r="S693" s="29"/>
      <c r="T693" s="31">
        <f>IF(base!R693&lt;&gt;"",VLOOKUP(R693,de_para!$A$1:$B$31,2,0)*base!S693,0)</f>
        <v>0</v>
      </c>
      <c r="U693" s="30">
        <f t="shared" si="11"/>
        <v>0</v>
      </c>
    </row>
    <row r="694" spans="1:21" x14ac:dyDescent="0.35">
      <c r="A694" s="29"/>
      <c r="B694" s="29"/>
      <c r="C694" s="29"/>
      <c r="D694" s="29"/>
      <c r="E694" s="29"/>
      <c r="F694" s="29"/>
      <c r="G694" s="29"/>
      <c r="H694" s="31">
        <f>IF(base!F694&lt;&gt;"",VLOOKUP(F694,de_para!$A$1:$B$31,2,0)*base!G694,0)</f>
        <v>0</v>
      </c>
      <c r="I694" s="38"/>
      <c r="J694" s="29"/>
      <c r="K694" s="31">
        <f>IF(base!I694&lt;&gt;"",VLOOKUP(I694,de_para!$A$1:$B$31,2,0)*base!J694,0)</f>
        <v>0</v>
      </c>
      <c r="L694" s="38"/>
      <c r="M694" s="29"/>
      <c r="N694" s="31">
        <f>IF(base!L694&lt;&gt;"",VLOOKUP(L694,de_para!$A$1:$B$31,2,0)*base!M694,0)</f>
        <v>0</v>
      </c>
      <c r="O694" s="38"/>
      <c r="P694" s="29"/>
      <c r="Q694" s="31">
        <f>IF(base!O694&lt;&gt;"",VLOOKUP(O694,de_para!$A$1:$B$31,2,0)*base!P694,0)</f>
        <v>0</v>
      </c>
      <c r="R694" s="38"/>
      <c r="S694" s="29"/>
      <c r="T694" s="31">
        <f>IF(base!R694&lt;&gt;"",VLOOKUP(R694,de_para!$A$1:$B$31,2,0)*base!S694,0)</f>
        <v>0</v>
      </c>
      <c r="U694" s="30">
        <f t="shared" si="11"/>
        <v>0</v>
      </c>
    </row>
    <row r="695" spans="1:21" x14ac:dyDescent="0.35">
      <c r="A695" s="29"/>
      <c r="B695" s="29"/>
      <c r="C695" s="29"/>
      <c r="D695" s="29"/>
      <c r="E695" s="29"/>
      <c r="F695" s="29"/>
      <c r="G695" s="29"/>
      <c r="H695" s="31">
        <f>IF(base!F695&lt;&gt;"",VLOOKUP(F695,de_para!$A$1:$B$31,2,0)*base!G695,0)</f>
        <v>0</v>
      </c>
      <c r="I695" s="38"/>
      <c r="J695" s="29"/>
      <c r="K695" s="31">
        <f>IF(base!I695&lt;&gt;"",VLOOKUP(I695,de_para!$A$1:$B$31,2,0)*base!J695,0)</f>
        <v>0</v>
      </c>
      <c r="L695" s="38"/>
      <c r="M695" s="29"/>
      <c r="N695" s="31">
        <f>IF(base!L695&lt;&gt;"",VLOOKUP(L695,de_para!$A$1:$B$31,2,0)*base!M695,0)</f>
        <v>0</v>
      </c>
      <c r="O695" s="38"/>
      <c r="P695" s="29"/>
      <c r="Q695" s="31">
        <f>IF(base!O695&lt;&gt;"",VLOOKUP(O695,de_para!$A$1:$B$31,2,0)*base!P695,0)</f>
        <v>0</v>
      </c>
      <c r="R695" s="38"/>
      <c r="S695" s="29"/>
      <c r="T695" s="31">
        <f>IF(base!R695&lt;&gt;"",VLOOKUP(R695,de_para!$A$1:$B$31,2,0)*base!S695,0)</f>
        <v>0</v>
      </c>
      <c r="U695" s="30">
        <f t="shared" ref="U695:U758" si="12">H695+K695+N695+Q695+T695</f>
        <v>0</v>
      </c>
    </row>
    <row r="696" spans="1:21" x14ac:dyDescent="0.35">
      <c r="A696" s="29"/>
      <c r="B696" s="29"/>
      <c r="C696" s="29"/>
      <c r="D696" s="29"/>
      <c r="E696" s="29"/>
      <c r="F696" s="29"/>
      <c r="G696" s="29"/>
      <c r="H696" s="31">
        <f>IF(base!F696&lt;&gt;"",VLOOKUP(F696,de_para!$A$1:$B$31,2,0)*base!G696,0)</f>
        <v>0</v>
      </c>
      <c r="I696" s="38"/>
      <c r="J696" s="29"/>
      <c r="K696" s="31">
        <f>IF(base!I696&lt;&gt;"",VLOOKUP(I696,de_para!$A$1:$B$31,2,0)*base!J696,0)</f>
        <v>0</v>
      </c>
      <c r="L696" s="38"/>
      <c r="M696" s="29"/>
      <c r="N696" s="31">
        <f>IF(base!L696&lt;&gt;"",VLOOKUP(L696,de_para!$A$1:$B$31,2,0)*base!M696,0)</f>
        <v>0</v>
      </c>
      <c r="O696" s="38"/>
      <c r="P696" s="29"/>
      <c r="Q696" s="31">
        <f>IF(base!O696&lt;&gt;"",VLOOKUP(O696,de_para!$A$1:$B$31,2,0)*base!P696,0)</f>
        <v>0</v>
      </c>
      <c r="R696" s="38"/>
      <c r="S696" s="29"/>
      <c r="T696" s="31">
        <f>IF(base!R696&lt;&gt;"",VLOOKUP(R696,de_para!$A$1:$B$31,2,0)*base!S696,0)</f>
        <v>0</v>
      </c>
      <c r="U696" s="30">
        <f t="shared" si="12"/>
        <v>0</v>
      </c>
    </row>
    <row r="697" spans="1:21" x14ac:dyDescent="0.35">
      <c r="A697" s="29"/>
      <c r="B697" s="29"/>
      <c r="C697" s="29"/>
      <c r="D697" s="29"/>
      <c r="E697" s="29"/>
      <c r="F697" s="29"/>
      <c r="G697" s="29"/>
      <c r="H697" s="31">
        <f>IF(base!F697&lt;&gt;"",VLOOKUP(F697,de_para!$A$1:$B$31,2,0)*base!G697,0)</f>
        <v>0</v>
      </c>
      <c r="I697" s="38"/>
      <c r="J697" s="29"/>
      <c r="K697" s="31">
        <f>IF(base!I697&lt;&gt;"",VLOOKUP(I697,de_para!$A$1:$B$31,2,0)*base!J697,0)</f>
        <v>0</v>
      </c>
      <c r="L697" s="38"/>
      <c r="M697" s="29"/>
      <c r="N697" s="31">
        <f>IF(base!L697&lt;&gt;"",VLOOKUP(L697,de_para!$A$1:$B$31,2,0)*base!M697,0)</f>
        <v>0</v>
      </c>
      <c r="O697" s="38"/>
      <c r="P697" s="29"/>
      <c r="Q697" s="31">
        <f>IF(base!O697&lt;&gt;"",VLOOKUP(O697,de_para!$A$1:$B$31,2,0)*base!P697,0)</f>
        <v>0</v>
      </c>
      <c r="R697" s="38"/>
      <c r="S697" s="29"/>
      <c r="T697" s="31">
        <f>IF(base!R697&lt;&gt;"",VLOOKUP(R697,de_para!$A$1:$B$31,2,0)*base!S697,0)</f>
        <v>0</v>
      </c>
      <c r="U697" s="30">
        <f t="shared" si="12"/>
        <v>0</v>
      </c>
    </row>
    <row r="698" spans="1:21" x14ac:dyDescent="0.35">
      <c r="A698" s="29"/>
      <c r="B698" s="29"/>
      <c r="C698" s="29"/>
      <c r="D698" s="29"/>
      <c r="E698" s="29"/>
      <c r="F698" s="29"/>
      <c r="G698" s="29"/>
      <c r="H698" s="31">
        <f>IF(base!F698&lt;&gt;"",VLOOKUP(F698,de_para!$A$1:$B$31,2,0)*base!G698,0)</f>
        <v>0</v>
      </c>
      <c r="I698" s="38"/>
      <c r="J698" s="29"/>
      <c r="K698" s="31">
        <f>IF(base!I698&lt;&gt;"",VLOOKUP(I698,de_para!$A$1:$B$31,2,0)*base!J698,0)</f>
        <v>0</v>
      </c>
      <c r="L698" s="38"/>
      <c r="M698" s="29"/>
      <c r="N698" s="31">
        <f>IF(base!L698&lt;&gt;"",VLOOKUP(L698,de_para!$A$1:$B$31,2,0)*base!M698,0)</f>
        <v>0</v>
      </c>
      <c r="O698" s="38"/>
      <c r="P698" s="29"/>
      <c r="Q698" s="31">
        <f>IF(base!O698&lt;&gt;"",VLOOKUP(O698,de_para!$A$1:$B$31,2,0)*base!P698,0)</f>
        <v>0</v>
      </c>
      <c r="R698" s="38"/>
      <c r="S698" s="29"/>
      <c r="T698" s="31">
        <f>IF(base!R698&lt;&gt;"",VLOOKUP(R698,de_para!$A$1:$B$31,2,0)*base!S698,0)</f>
        <v>0</v>
      </c>
      <c r="U698" s="30">
        <f t="shared" si="12"/>
        <v>0</v>
      </c>
    </row>
    <row r="699" spans="1:21" x14ac:dyDescent="0.35">
      <c r="A699" s="29"/>
      <c r="B699" s="29"/>
      <c r="C699" s="29"/>
      <c r="D699" s="29"/>
      <c r="E699" s="29"/>
      <c r="F699" s="29"/>
      <c r="G699" s="29"/>
      <c r="H699" s="31">
        <f>IF(base!F699&lt;&gt;"",VLOOKUP(F699,de_para!$A$1:$B$31,2,0)*base!G699,0)</f>
        <v>0</v>
      </c>
      <c r="I699" s="38"/>
      <c r="J699" s="29"/>
      <c r="K699" s="31">
        <f>IF(base!I699&lt;&gt;"",VLOOKUP(I699,de_para!$A$1:$B$31,2,0)*base!J699,0)</f>
        <v>0</v>
      </c>
      <c r="L699" s="38"/>
      <c r="M699" s="29"/>
      <c r="N699" s="31">
        <f>IF(base!L699&lt;&gt;"",VLOOKUP(L699,de_para!$A$1:$B$31,2,0)*base!M699,0)</f>
        <v>0</v>
      </c>
      <c r="O699" s="38"/>
      <c r="P699" s="29"/>
      <c r="Q699" s="31">
        <f>IF(base!O699&lt;&gt;"",VLOOKUP(O699,de_para!$A$1:$B$31,2,0)*base!P699,0)</f>
        <v>0</v>
      </c>
      <c r="R699" s="38"/>
      <c r="S699" s="29"/>
      <c r="T699" s="31">
        <f>IF(base!R699&lt;&gt;"",VLOOKUP(R699,de_para!$A$1:$B$31,2,0)*base!S699,0)</f>
        <v>0</v>
      </c>
      <c r="U699" s="30">
        <f t="shared" si="12"/>
        <v>0</v>
      </c>
    </row>
    <row r="700" spans="1:21" x14ac:dyDescent="0.35">
      <c r="A700" s="29"/>
      <c r="B700" s="29"/>
      <c r="C700" s="29"/>
      <c r="D700" s="29"/>
      <c r="E700" s="29"/>
      <c r="F700" s="29"/>
      <c r="G700" s="29"/>
      <c r="H700" s="31">
        <f>IF(base!F700&lt;&gt;"",VLOOKUP(F700,de_para!$A$1:$B$31,2,0)*base!G700,0)</f>
        <v>0</v>
      </c>
      <c r="I700" s="38"/>
      <c r="J700" s="29"/>
      <c r="K700" s="31">
        <f>IF(base!I700&lt;&gt;"",VLOOKUP(I700,de_para!$A$1:$B$31,2,0)*base!J700,0)</f>
        <v>0</v>
      </c>
      <c r="L700" s="38"/>
      <c r="M700" s="29"/>
      <c r="N700" s="31">
        <f>IF(base!L700&lt;&gt;"",VLOOKUP(L700,de_para!$A$1:$B$31,2,0)*base!M700,0)</f>
        <v>0</v>
      </c>
      <c r="O700" s="38"/>
      <c r="P700" s="29"/>
      <c r="Q700" s="31">
        <f>IF(base!O700&lt;&gt;"",VLOOKUP(O700,de_para!$A$1:$B$31,2,0)*base!P700,0)</f>
        <v>0</v>
      </c>
      <c r="R700" s="38"/>
      <c r="S700" s="29"/>
      <c r="T700" s="31">
        <f>IF(base!R700&lt;&gt;"",VLOOKUP(R700,de_para!$A$1:$B$31,2,0)*base!S700,0)</f>
        <v>0</v>
      </c>
      <c r="U700" s="30">
        <f t="shared" si="12"/>
        <v>0</v>
      </c>
    </row>
    <row r="701" spans="1:21" x14ac:dyDescent="0.35">
      <c r="A701" s="29"/>
      <c r="B701" s="29"/>
      <c r="C701" s="29"/>
      <c r="D701" s="29"/>
      <c r="E701" s="29"/>
      <c r="F701" s="29"/>
      <c r="G701" s="29"/>
      <c r="H701" s="31">
        <f>IF(base!F701&lt;&gt;"",VLOOKUP(F701,de_para!$A$1:$B$31,2,0)*base!G701,0)</f>
        <v>0</v>
      </c>
      <c r="I701" s="38"/>
      <c r="J701" s="29"/>
      <c r="K701" s="31">
        <f>IF(base!I701&lt;&gt;"",VLOOKUP(I701,de_para!$A$1:$B$31,2,0)*base!J701,0)</f>
        <v>0</v>
      </c>
      <c r="L701" s="38"/>
      <c r="M701" s="29"/>
      <c r="N701" s="31">
        <f>IF(base!L701&lt;&gt;"",VLOOKUP(L701,de_para!$A$1:$B$31,2,0)*base!M701,0)</f>
        <v>0</v>
      </c>
      <c r="O701" s="38"/>
      <c r="P701" s="29"/>
      <c r="Q701" s="31">
        <f>IF(base!O701&lt;&gt;"",VLOOKUP(O701,de_para!$A$1:$B$31,2,0)*base!P701,0)</f>
        <v>0</v>
      </c>
      <c r="R701" s="38"/>
      <c r="S701" s="29"/>
      <c r="T701" s="31">
        <f>IF(base!R701&lt;&gt;"",VLOOKUP(R701,de_para!$A$1:$B$31,2,0)*base!S701,0)</f>
        <v>0</v>
      </c>
      <c r="U701" s="30">
        <f t="shared" si="12"/>
        <v>0</v>
      </c>
    </row>
    <row r="702" spans="1:21" x14ac:dyDescent="0.35">
      <c r="A702" s="29"/>
      <c r="B702" s="29"/>
      <c r="C702" s="29"/>
      <c r="D702" s="29"/>
      <c r="E702" s="29"/>
      <c r="F702" s="29"/>
      <c r="G702" s="29"/>
      <c r="H702" s="31">
        <f>IF(base!F702&lt;&gt;"",VLOOKUP(F702,de_para!$A$1:$B$31,2,0)*base!G702,0)</f>
        <v>0</v>
      </c>
      <c r="I702" s="38"/>
      <c r="J702" s="29"/>
      <c r="K702" s="31">
        <f>IF(base!I702&lt;&gt;"",VLOOKUP(I702,de_para!$A$1:$B$31,2,0)*base!J702,0)</f>
        <v>0</v>
      </c>
      <c r="L702" s="38"/>
      <c r="M702" s="29"/>
      <c r="N702" s="31">
        <f>IF(base!L702&lt;&gt;"",VLOOKUP(L702,de_para!$A$1:$B$31,2,0)*base!M702,0)</f>
        <v>0</v>
      </c>
      <c r="O702" s="38"/>
      <c r="P702" s="29"/>
      <c r="Q702" s="31">
        <f>IF(base!O702&lt;&gt;"",VLOOKUP(O702,de_para!$A$1:$B$31,2,0)*base!P702,0)</f>
        <v>0</v>
      </c>
      <c r="R702" s="38"/>
      <c r="S702" s="29"/>
      <c r="T702" s="31">
        <f>IF(base!R702&lt;&gt;"",VLOOKUP(R702,de_para!$A$1:$B$31,2,0)*base!S702,0)</f>
        <v>0</v>
      </c>
      <c r="U702" s="30">
        <f t="shared" si="12"/>
        <v>0</v>
      </c>
    </row>
    <row r="703" spans="1:21" x14ac:dyDescent="0.35">
      <c r="A703" s="29"/>
      <c r="B703" s="29"/>
      <c r="C703" s="29"/>
      <c r="D703" s="29"/>
      <c r="E703" s="29"/>
      <c r="F703" s="29"/>
      <c r="G703" s="29"/>
      <c r="H703" s="31">
        <f>IF(base!F703&lt;&gt;"",VLOOKUP(F703,de_para!$A$1:$B$31,2,0)*base!G703,0)</f>
        <v>0</v>
      </c>
      <c r="I703" s="38"/>
      <c r="J703" s="29"/>
      <c r="K703" s="31">
        <f>IF(base!I703&lt;&gt;"",VLOOKUP(I703,de_para!$A$1:$B$31,2,0)*base!J703,0)</f>
        <v>0</v>
      </c>
      <c r="L703" s="38"/>
      <c r="M703" s="29"/>
      <c r="N703" s="31">
        <f>IF(base!L703&lt;&gt;"",VLOOKUP(L703,de_para!$A$1:$B$31,2,0)*base!M703,0)</f>
        <v>0</v>
      </c>
      <c r="O703" s="38"/>
      <c r="P703" s="29"/>
      <c r="Q703" s="31">
        <f>IF(base!O703&lt;&gt;"",VLOOKUP(O703,de_para!$A$1:$B$31,2,0)*base!P703,0)</f>
        <v>0</v>
      </c>
      <c r="R703" s="38"/>
      <c r="S703" s="29"/>
      <c r="T703" s="31">
        <f>IF(base!R703&lt;&gt;"",VLOOKUP(R703,de_para!$A$1:$B$31,2,0)*base!S703,0)</f>
        <v>0</v>
      </c>
      <c r="U703" s="30">
        <f t="shared" si="12"/>
        <v>0</v>
      </c>
    </row>
    <row r="704" spans="1:21" x14ac:dyDescent="0.35">
      <c r="A704" s="29"/>
      <c r="B704" s="29"/>
      <c r="C704" s="29"/>
      <c r="D704" s="29"/>
      <c r="E704" s="29"/>
      <c r="F704" s="29"/>
      <c r="G704" s="29"/>
      <c r="H704" s="31">
        <f>IF(base!F704&lt;&gt;"",VLOOKUP(F704,de_para!$A$1:$B$31,2,0)*base!G704,0)</f>
        <v>0</v>
      </c>
      <c r="I704" s="38"/>
      <c r="J704" s="29"/>
      <c r="K704" s="31">
        <f>IF(base!I704&lt;&gt;"",VLOOKUP(I704,de_para!$A$1:$B$31,2,0)*base!J704,0)</f>
        <v>0</v>
      </c>
      <c r="L704" s="38"/>
      <c r="M704" s="29"/>
      <c r="N704" s="31">
        <f>IF(base!L704&lt;&gt;"",VLOOKUP(L704,de_para!$A$1:$B$31,2,0)*base!M704,0)</f>
        <v>0</v>
      </c>
      <c r="O704" s="38"/>
      <c r="P704" s="29"/>
      <c r="Q704" s="31">
        <f>IF(base!O704&lt;&gt;"",VLOOKUP(O704,de_para!$A$1:$B$31,2,0)*base!P704,0)</f>
        <v>0</v>
      </c>
      <c r="R704" s="38"/>
      <c r="S704" s="29"/>
      <c r="T704" s="31">
        <f>IF(base!R704&lt;&gt;"",VLOOKUP(R704,de_para!$A$1:$B$31,2,0)*base!S704,0)</f>
        <v>0</v>
      </c>
      <c r="U704" s="30">
        <f t="shared" si="12"/>
        <v>0</v>
      </c>
    </row>
    <row r="705" spans="1:21" x14ac:dyDescent="0.35">
      <c r="A705" s="29"/>
      <c r="B705" s="29"/>
      <c r="C705" s="29"/>
      <c r="D705" s="29"/>
      <c r="E705" s="29"/>
      <c r="F705" s="29"/>
      <c r="G705" s="29"/>
      <c r="H705" s="31">
        <f>IF(base!F705&lt;&gt;"",VLOOKUP(F705,de_para!$A$1:$B$31,2,0)*base!G705,0)</f>
        <v>0</v>
      </c>
      <c r="I705" s="38"/>
      <c r="J705" s="29"/>
      <c r="K705" s="31">
        <f>IF(base!I705&lt;&gt;"",VLOOKUP(I705,de_para!$A$1:$B$31,2,0)*base!J705,0)</f>
        <v>0</v>
      </c>
      <c r="L705" s="38"/>
      <c r="M705" s="29"/>
      <c r="N705" s="31">
        <f>IF(base!L705&lt;&gt;"",VLOOKUP(L705,de_para!$A$1:$B$31,2,0)*base!M705,0)</f>
        <v>0</v>
      </c>
      <c r="O705" s="38"/>
      <c r="P705" s="29"/>
      <c r="Q705" s="31">
        <f>IF(base!O705&lt;&gt;"",VLOOKUP(O705,de_para!$A$1:$B$31,2,0)*base!P705,0)</f>
        <v>0</v>
      </c>
      <c r="R705" s="38"/>
      <c r="S705" s="29"/>
      <c r="T705" s="31">
        <f>IF(base!R705&lt;&gt;"",VLOOKUP(R705,de_para!$A$1:$B$31,2,0)*base!S705,0)</f>
        <v>0</v>
      </c>
      <c r="U705" s="30">
        <f t="shared" si="12"/>
        <v>0</v>
      </c>
    </row>
    <row r="706" spans="1:21" x14ac:dyDescent="0.35">
      <c r="A706" s="29"/>
      <c r="B706" s="29"/>
      <c r="C706" s="29"/>
      <c r="D706" s="29"/>
      <c r="E706" s="29"/>
      <c r="F706" s="29"/>
      <c r="G706" s="29"/>
      <c r="H706" s="31">
        <f>IF(base!F706&lt;&gt;"",VLOOKUP(F706,de_para!$A$1:$B$31,2,0)*base!G706,0)</f>
        <v>0</v>
      </c>
      <c r="I706" s="38"/>
      <c r="J706" s="29"/>
      <c r="K706" s="31">
        <f>IF(base!I706&lt;&gt;"",VLOOKUP(I706,de_para!$A$1:$B$31,2,0)*base!J706,0)</f>
        <v>0</v>
      </c>
      <c r="L706" s="38"/>
      <c r="M706" s="29"/>
      <c r="N706" s="31">
        <f>IF(base!L706&lt;&gt;"",VLOOKUP(L706,de_para!$A$1:$B$31,2,0)*base!M706,0)</f>
        <v>0</v>
      </c>
      <c r="O706" s="38"/>
      <c r="P706" s="29"/>
      <c r="Q706" s="31">
        <f>IF(base!O706&lt;&gt;"",VLOOKUP(O706,de_para!$A$1:$B$31,2,0)*base!P706,0)</f>
        <v>0</v>
      </c>
      <c r="R706" s="38"/>
      <c r="S706" s="29"/>
      <c r="T706" s="31">
        <f>IF(base!R706&lt;&gt;"",VLOOKUP(R706,de_para!$A$1:$B$31,2,0)*base!S706,0)</f>
        <v>0</v>
      </c>
      <c r="U706" s="30">
        <f t="shared" si="12"/>
        <v>0</v>
      </c>
    </row>
    <row r="707" spans="1:21" x14ac:dyDescent="0.35">
      <c r="A707" s="29"/>
      <c r="B707" s="29"/>
      <c r="C707" s="29"/>
      <c r="D707" s="29"/>
      <c r="E707" s="29"/>
      <c r="F707" s="29"/>
      <c r="G707" s="29"/>
      <c r="H707" s="31">
        <f>IF(base!F707&lt;&gt;"",VLOOKUP(F707,de_para!$A$1:$B$31,2,0)*base!G707,0)</f>
        <v>0</v>
      </c>
      <c r="I707" s="38"/>
      <c r="J707" s="29"/>
      <c r="K707" s="31">
        <f>IF(base!I707&lt;&gt;"",VLOOKUP(I707,de_para!$A$1:$B$31,2,0)*base!J707,0)</f>
        <v>0</v>
      </c>
      <c r="L707" s="38"/>
      <c r="M707" s="29"/>
      <c r="N707" s="31">
        <f>IF(base!L707&lt;&gt;"",VLOOKUP(L707,de_para!$A$1:$B$31,2,0)*base!M707,0)</f>
        <v>0</v>
      </c>
      <c r="O707" s="38"/>
      <c r="P707" s="29"/>
      <c r="Q707" s="31">
        <f>IF(base!O707&lt;&gt;"",VLOOKUP(O707,de_para!$A$1:$B$31,2,0)*base!P707,0)</f>
        <v>0</v>
      </c>
      <c r="R707" s="38"/>
      <c r="S707" s="29"/>
      <c r="T707" s="31">
        <f>IF(base!R707&lt;&gt;"",VLOOKUP(R707,de_para!$A$1:$B$31,2,0)*base!S707,0)</f>
        <v>0</v>
      </c>
      <c r="U707" s="30">
        <f t="shared" si="12"/>
        <v>0</v>
      </c>
    </row>
    <row r="708" spans="1:21" x14ac:dyDescent="0.35">
      <c r="A708" s="29"/>
      <c r="B708" s="29"/>
      <c r="C708" s="29"/>
      <c r="D708" s="29"/>
      <c r="E708" s="29"/>
      <c r="F708" s="29"/>
      <c r="G708" s="29"/>
      <c r="H708" s="31">
        <f>IF(base!F708&lt;&gt;"",VLOOKUP(F708,de_para!$A$1:$B$31,2,0)*base!G708,0)</f>
        <v>0</v>
      </c>
      <c r="I708" s="38"/>
      <c r="J708" s="29"/>
      <c r="K708" s="31">
        <f>IF(base!I708&lt;&gt;"",VLOOKUP(I708,de_para!$A$1:$B$31,2,0)*base!J708,0)</f>
        <v>0</v>
      </c>
      <c r="L708" s="38"/>
      <c r="M708" s="29"/>
      <c r="N708" s="31">
        <f>IF(base!L708&lt;&gt;"",VLOOKUP(L708,de_para!$A$1:$B$31,2,0)*base!M708,0)</f>
        <v>0</v>
      </c>
      <c r="O708" s="38"/>
      <c r="P708" s="29"/>
      <c r="Q708" s="31">
        <f>IF(base!O708&lt;&gt;"",VLOOKUP(O708,de_para!$A$1:$B$31,2,0)*base!P708,0)</f>
        <v>0</v>
      </c>
      <c r="R708" s="38"/>
      <c r="S708" s="29"/>
      <c r="T708" s="31">
        <f>IF(base!R708&lt;&gt;"",VLOOKUP(R708,de_para!$A$1:$B$31,2,0)*base!S708,0)</f>
        <v>0</v>
      </c>
      <c r="U708" s="30">
        <f t="shared" si="12"/>
        <v>0</v>
      </c>
    </row>
    <row r="709" spans="1:21" x14ac:dyDescent="0.35">
      <c r="A709" s="29"/>
      <c r="B709" s="29"/>
      <c r="C709" s="29"/>
      <c r="D709" s="29"/>
      <c r="E709" s="29"/>
      <c r="F709" s="29"/>
      <c r="G709" s="29"/>
      <c r="H709" s="31">
        <f>IF(base!F709&lt;&gt;"",VLOOKUP(F709,de_para!$A$1:$B$31,2,0)*base!G709,0)</f>
        <v>0</v>
      </c>
      <c r="I709" s="38"/>
      <c r="J709" s="29"/>
      <c r="K709" s="31">
        <f>IF(base!I709&lt;&gt;"",VLOOKUP(I709,de_para!$A$1:$B$31,2,0)*base!J709,0)</f>
        <v>0</v>
      </c>
      <c r="L709" s="38"/>
      <c r="M709" s="29"/>
      <c r="N709" s="31">
        <f>IF(base!L709&lt;&gt;"",VLOOKUP(L709,de_para!$A$1:$B$31,2,0)*base!M709,0)</f>
        <v>0</v>
      </c>
      <c r="O709" s="38"/>
      <c r="P709" s="29"/>
      <c r="Q709" s="31">
        <f>IF(base!O709&lt;&gt;"",VLOOKUP(O709,de_para!$A$1:$B$31,2,0)*base!P709,0)</f>
        <v>0</v>
      </c>
      <c r="R709" s="38"/>
      <c r="S709" s="29"/>
      <c r="T709" s="31">
        <f>IF(base!R709&lt;&gt;"",VLOOKUP(R709,de_para!$A$1:$B$31,2,0)*base!S709,0)</f>
        <v>0</v>
      </c>
      <c r="U709" s="30">
        <f t="shared" si="12"/>
        <v>0</v>
      </c>
    </row>
    <row r="710" spans="1:21" x14ac:dyDescent="0.35">
      <c r="A710" s="29"/>
      <c r="B710" s="29"/>
      <c r="C710" s="29"/>
      <c r="D710" s="29"/>
      <c r="E710" s="29"/>
      <c r="F710" s="29"/>
      <c r="G710" s="29"/>
      <c r="H710" s="31">
        <f>IF(base!F710&lt;&gt;"",VLOOKUP(F710,de_para!$A$1:$B$31,2,0)*base!G710,0)</f>
        <v>0</v>
      </c>
      <c r="I710" s="38"/>
      <c r="J710" s="29"/>
      <c r="K710" s="31">
        <f>IF(base!I710&lt;&gt;"",VLOOKUP(I710,de_para!$A$1:$B$31,2,0)*base!J710,0)</f>
        <v>0</v>
      </c>
      <c r="L710" s="38"/>
      <c r="M710" s="29"/>
      <c r="N710" s="31">
        <f>IF(base!L710&lt;&gt;"",VLOOKUP(L710,de_para!$A$1:$B$31,2,0)*base!M710,0)</f>
        <v>0</v>
      </c>
      <c r="O710" s="38"/>
      <c r="P710" s="29"/>
      <c r="Q710" s="31">
        <f>IF(base!O710&lt;&gt;"",VLOOKUP(O710,de_para!$A$1:$B$31,2,0)*base!P710,0)</f>
        <v>0</v>
      </c>
      <c r="R710" s="38"/>
      <c r="S710" s="29"/>
      <c r="T710" s="31">
        <f>IF(base!R710&lt;&gt;"",VLOOKUP(R710,de_para!$A$1:$B$31,2,0)*base!S710,0)</f>
        <v>0</v>
      </c>
      <c r="U710" s="30">
        <f t="shared" si="12"/>
        <v>0</v>
      </c>
    </row>
    <row r="711" spans="1:21" x14ac:dyDescent="0.35">
      <c r="A711" s="29"/>
      <c r="B711" s="29"/>
      <c r="C711" s="29"/>
      <c r="D711" s="29"/>
      <c r="E711" s="29"/>
      <c r="F711" s="29"/>
      <c r="G711" s="29"/>
      <c r="H711" s="31">
        <f>IF(base!F711&lt;&gt;"",VLOOKUP(F711,de_para!$A$1:$B$31,2,0)*base!G711,0)</f>
        <v>0</v>
      </c>
      <c r="I711" s="38"/>
      <c r="J711" s="29"/>
      <c r="K711" s="31">
        <f>IF(base!I711&lt;&gt;"",VLOOKUP(I711,de_para!$A$1:$B$31,2,0)*base!J711,0)</f>
        <v>0</v>
      </c>
      <c r="L711" s="38"/>
      <c r="M711" s="29"/>
      <c r="N711" s="31">
        <f>IF(base!L711&lt;&gt;"",VLOOKUP(L711,de_para!$A$1:$B$31,2,0)*base!M711,0)</f>
        <v>0</v>
      </c>
      <c r="O711" s="38"/>
      <c r="P711" s="29"/>
      <c r="Q711" s="31">
        <f>IF(base!O711&lt;&gt;"",VLOOKUP(O711,de_para!$A$1:$B$31,2,0)*base!P711,0)</f>
        <v>0</v>
      </c>
      <c r="R711" s="38"/>
      <c r="S711" s="29"/>
      <c r="T711" s="31">
        <f>IF(base!R711&lt;&gt;"",VLOOKUP(R711,de_para!$A$1:$B$31,2,0)*base!S711,0)</f>
        <v>0</v>
      </c>
      <c r="U711" s="30">
        <f t="shared" si="12"/>
        <v>0</v>
      </c>
    </row>
    <row r="712" spans="1:21" x14ac:dyDescent="0.35">
      <c r="A712" s="29"/>
      <c r="B712" s="29"/>
      <c r="C712" s="29"/>
      <c r="D712" s="29"/>
      <c r="E712" s="29"/>
      <c r="F712" s="29"/>
      <c r="G712" s="29"/>
      <c r="H712" s="31">
        <f>IF(base!F712&lt;&gt;"",VLOOKUP(F712,de_para!$A$1:$B$31,2,0)*base!G712,0)</f>
        <v>0</v>
      </c>
      <c r="I712" s="38"/>
      <c r="J712" s="29"/>
      <c r="K712" s="31">
        <f>IF(base!I712&lt;&gt;"",VLOOKUP(I712,de_para!$A$1:$B$31,2,0)*base!J712,0)</f>
        <v>0</v>
      </c>
      <c r="L712" s="38"/>
      <c r="M712" s="29"/>
      <c r="N712" s="31">
        <f>IF(base!L712&lt;&gt;"",VLOOKUP(L712,de_para!$A$1:$B$31,2,0)*base!M712,0)</f>
        <v>0</v>
      </c>
      <c r="O712" s="38"/>
      <c r="P712" s="29"/>
      <c r="Q712" s="31">
        <f>IF(base!O712&lt;&gt;"",VLOOKUP(O712,de_para!$A$1:$B$31,2,0)*base!P712,0)</f>
        <v>0</v>
      </c>
      <c r="R712" s="38"/>
      <c r="S712" s="29"/>
      <c r="T712" s="31">
        <f>IF(base!R712&lt;&gt;"",VLOOKUP(R712,de_para!$A$1:$B$31,2,0)*base!S712,0)</f>
        <v>0</v>
      </c>
      <c r="U712" s="30">
        <f t="shared" si="12"/>
        <v>0</v>
      </c>
    </row>
    <row r="713" spans="1:21" x14ac:dyDescent="0.35">
      <c r="A713" s="29"/>
      <c r="B713" s="29"/>
      <c r="C713" s="29"/>
      <c r="D713" s="29"/>
      <c r="E713" s="29"/>
      <c r="F713" s="29"/>
      <c r="G713" s="29"/>
      <c r="H713" s="31">
        <f>IF(base!F713&lt;&gt;"",VLOOKUP(F713,de_para!$A$1:$B$31,2,0)*base!G713,0)</f>
        <v>0</v>
      </c>
      <c r="I713" s="38"/>
      <c r="J713" s="29"/>
      <c r="K713" s="31">
        <f>IF(base!I713&lt;&gt;"",VLOOKUP(I713,de_para!$A$1:$B$31,2,0)*base!J713,0)</f>
        <v>0</v>
      </c>
      <c r="L713" s="38"/>
      <c r="M713" s="29"/>
      <c r="N713" s="31">
        <f>IF(base!L713&lt;&gt;"",VLOOKUP(L713,de_para!$A$1:$B$31,2,0)*base!M713,0)</f>
        <v>0</v>
      </c>
      <c r="O713" s="38"/>
      <c r="P713" s="29"/>
      <c r="Q713" s="31">
        <f>IF(base!O713&lt;&gt;"",VLOOKUP(O713,de_para!$A$1:$B$31,2,0)*base!P713,0)</f>
        <v>0</v>
      </c>
      <c r="R713" s="38"/>
      <c r="S713" s="29"/>
      <c r="T713" s="31">
        <f>IF(base!R713&lt;&gt;"",VLOOKUP(R713,de_para!$A$1:$B$31,2,0)*base!S713,0)</f>
        <v>0</v>
      </c>
      <c r="U713" s="30">
        <f t="shared" si="12"/>
        <v>0</v>
      </c>
    </row>
    <row r="714" spans="1:21" x14ac:dyDescent="0.35">
      <c r="A714" s="29"/>
      <c r="B714" s="29"/>
      <c r="C714" s="29"/>
      <c r="D714" s="29"/>
      <c r="E714" s="29"/>
      <c r="F714" s="29"/>
      <c r="G714" s="29"/>
      <c r="H714" s="31">
        <f>IF(base!F714&lt;&gt;"",VLOOKUP(F714,de_para!$A$1:$B$31,2,0)*base!G714,0)</f>
        <v>0</v>
      </c>
      <c r="I714" s="38"/>
      <c r="J714" s="29"/>
      <c r="K714" s="31">
        <f>IF(base!I714&lt;&gt;"",VLOOKUP(I714,de_para!$A$1:$B$31,2,0)*base!J714,0)</f>
        <v>0</v>
      </c>
      <c r="L714" s="38"/>
      <c r="M714" s="29"/>
      <c r="N714" s="31">
        <f>IF(base!L714&lt;&gt;"",VLOOKUP(L714,de_para!$A$1:$B$31,2,0)*base!M714,0)</f>
        <v>0</v>
      </c>
      <c r="O714" s="38"/>
      <c r="P714" s="29"/>
      <c r="Q714" s="31">
        <f>IF(base!O714&lt;&gt;"",VLOOKUP(O714,de_para!$A$1:$B$31,2,0)*base!P714,0)</f>
        <v>0</v>
      </c>
      <c r="R714" s="38"/>
      <c r="S714" s="29"/>
      <c r="T714" s="31">
        <f>IF(base!R714&lt;&gt;"",VLOOKUP(R714,de_para!$A$1:$B$31,2,0)*base!S714,0)</f>
        <v>0</v>
      </c>
      <c r="U714" s="30">
        <f t="shared" si="12"/>
        <v>0</v>
      </c>
    </row>
    <row r="715" spans="1:21" x14ac:dyDescent="0.35">
      <c r="A715" s="29"/>
      <c r="B715" s="29"/>
      <c r="C715" s="29"/>
      <c r="D715" s="29"/>
      <c r="E715" s="29"/>
      <c r="F715" s="29"/>
      <c r="G715" s="29"/>
      <c r="H715" s="31">
        <f>IF(base!F715&lt;&gt;"",VLOOKUP(F715,de_para!$A$1:$B$31,2,0)*base!G715,0)</f>
        <v>0</v>
      </c>
      <c r="I715" s="38"/>
      <c r="J715" s="29"/>
      <c r="K715" s="31">
        <f>IF(base!I715&lt;&gt;"",VLOOKUP(I715,de_para!$A$1:$B$31,2,0)*base!J715,0)</f>
        <v>0</v>
      </c>
      <c r="L715" s="38"/>
      <c r="M715" s="29"/>
      <c r="N715" s="31">
        <f>IF(base!L715&lt;&gt;"",VLOOKUP(L715,de_para!$A$1:$B$31,2,0)*base!M715,0)</f>
        <v>0</v>
      </c>
      <c r="O715" s="38"/>
      <c r="P715" s="29"/>
      <c r="Q715" s="31">
        <f>IF(base!O715&lt;&gt;"",VLOOKUP(O715,de_para!$A$1:$B$31,2,0)*base!P715,0)</f>
        <v>0</v>
      </c>
      <c r="R715" s="38"/>
      <c r="S715" s="29"/>
      <c r="T715" s="31">
        <f>IF(base!R715&lt;&gt;"",VLOOKUP(R715,de_para!$A$1:$B$31,2,0)*base!S715,0)</f>
        <v>0</v>
      </c>
      <c r="U715" s="30">
        <f t="shared" si="12"/>
        <v>0</v>
      </c>
    </row>
    <row r="716" spans="1:21" x14ac:dyDescent="0.35">
      <c r="A716" s="29"/>
      <c r="B716" s="29"/>
      <c r="C716" s="29"/>
      <c r="D716" s="29"/>
      <c r="E716" s="29"/>
      <c r="F716" s="29"/>
      <c r="G716" s="29"/>
      <c r="H716" s="31">
        <f>IF(base!F716&lt;&gt;"",VLOOKUP(F716,de_para!$A$1:$B$31,2,0)*base!G716,0)</f>
        <v>0</v>
      </c>
      <c r="I716" s="38"/>
      <c r="J716" s="29"/>
      <c r="K716" s="31">
        <f>IF(base!I716&lt;&gt;"",VLOOKUP(I716,de_para!$A$1:$B$31,2,0)*base!J716,0)</f>
        <v>0</v>
      </c>
      <c r="L716" s="38"/>
      <c r="M716" s="29"/>
      <c r="N716" s="31">
        <f>IF(base!L716&lt;&gt;"",VLOOKUP(L716,de_para!$A$1:$B$31,2,0)*base!M716,0)</f>
        <v>0</v>
      </c>
      <c r="O716" s="38"/>
      <c r="P716" s="29"/>
      <c r="Q716" s="31">
        <f>IF(base!O716&lt;&gt;"",VLOOKUP(O716,de_para!$A$1:$B$31,2,0)*base!P716,0)</f>
        <v>0</v>
      </c>
      <c r="R716" s="38"/>
      <c r="S716" s="29"/>
      <c r="T716" s="31">
        <f>IF(base!R716&lt;&gt;"",VLOOKUP(R716,de_para!$A$1:$B$31,2,0)*base!S716,0)</f>
        <v>0</v>
      </c>
      <c r="U716" s="30">
        <f t="shared" si="12"/>
        <v>0</v>
      </c>
    </row>
    <row r="717" spans="1:21" x14ac:dyDescent="0.35">
      <c r="A717" s="29"/>
      <c r="B717" s="29"/>
      <c r="C717" s="29"/>
      <c r="D717" s="29"/>
      <c r="E717" s="29"/>
      <c r="F717" s="29"/>
      <c r="G717" s="29"/>
      <c r="H717" s="31">
        <f>IF(base!F717&lt;&gt;"",VLOOKUP(F717,de_para!$A$1:$B$31,2,0)*base!G717,0)</f>
        <v>0</v>
      </c>
      <c r="I717" s="38"/>
      <c r="J717" s="29"/>
      <c r="K717" s="31">
        <f>IF(base!I717&lt;&gt;"",VLOOKUP(I717,de_para!$A$1:$B$31,2,0)*base!J717,0)</f>
        <v>0</v>
      </c>
      <c r="L717" s="38"/>
      <c r="M717" s="29"/>
      <c r="N717" s="31">
        <f>IF(base!L717&lt;&gt;"",VLOOKUP(L717,de_para!$A$1:$B$31,2,0)*base!M717,0)</f>
        <v>0</v>
      </c>
      <c r="O717" s="38"/>
      <c r="P717" s="29"/>
      <c r="Q717" s="31">
        <f>IF(base!O717&lt;&gt;"",VLOOKUP(O717,de_para!$A$1:$B$31,2,0)*base!P717,0)</f>
        <v>0</v>
      </c>
      <c r="R717" s="38"/>
      <c r="S717" s="29"/>
      <c r="T717" s="31">
        <f>IF(base!R717&lt;&gt;"",VLOOKUP(R717,de_para!$A$1:$B$31,2,0)*base!S717,0)</f>
        <v>0</v>
      </c>
      <c r="U717" s="30">
        <f t="shared" si="12"/>
        <v>0</v>
      </c>
    </row>
    <row r="718" spans="1:21" x14ac:dyDescent="0.35">
      <c r="A718" s="29"/>
      <c r="B718" s="29"/>
      <c r="C718" s="29"/>
      <c r="D718" s="29"/>
      <c r="E718" s="29"/>
      <c r="F718" s="29"/>
      <c r="G718" s="29"/>
      <c r="H718" s="31">
        <f>IF(base!F718&lt;&gt;"",VLOOKUP(F718,de_para!$A$1:$B$31,2,0)*base!G718,0)</f>
        <v>0</v>
      </c>
      <c r="I718" s="38"/>
      <c r="J718" s="29"/>
      <c r="K718" s="31">
        <f>IF(base!I718&lt;&gt;"",VLOOKUP(I718,de_para!$A$1:$B$31,2,0)*base!J718,0)</f>
        <v>0</v>
      </c>
      <c r="L718" s="38"/>
      <c r="M718" s="29"/>
      <c r="N718" s="31">
        <f>IF(base!L718&lt;&gt;"",VLOOKUP(L718,de_para!$A$1:$B$31,2,0)*base!M718,0)</f>
        <v>0</v>
      </c>
      <c r="O718" s="38"/>
      <c r="P718" s="29"/>
      <c r="Q718" s="31">
        <f>IF(base!O718&lt;&gt;"",VLOOKUP(O718,de_para!$A$1:$B$31,2,0)*base!P718,0)</f>
        <v>0</v>
      </c>
      <c r="R718" s="38"/>
      <c r="S718" s="29"/>
      <c r="T718" s="31">
        <f>IF(base!R718&lt;&gt;"",VLOOKUP(R718,de_para!$A$1:$B$31,2,0)*base!S718,0)</f>
        <v>0</v>
      </c>
      <c r="U718" s="30">
        <f t="shared" si="12"/>
        <v>0</v>
      </c>
    </row>
    <row r="719" spans="1:21" x14ac:dyDescent="0.35">
      <c r="A719" s="29"/>
      <c r="B719" s="29"/>
      <c r="C719" s="29"/>
      <c r="D719" s="29"/>
      <c r="E719" s="29"/>
      <c r="F719" s="29"/>
      <c r="G719" s="29"/>
      <c r="H719" s="31">
        <f>IF(base!F719&lt;&gt;"",VLOOKUP(F719,de_para!$A$1:$B$31,2,0)*base!G719,0)</f>
        <v>0</v>
      </c>
      <c r="I719" s="38"/>
      <c r="J719" s="29"/>
      <c r="K719" s="31">
        <f>IF(base!I719&lt;&gt;"",VLOOKUP(I719,de_para!$A$1:$B$31,2,0)*base!J719,0)</f>
        <v>0</v>
      </c>
      <c r="L719" s="38"/>
      <c r="M719" s="29"/>
      <c r="N719" s="31">
        <f>IF(base!L719&lt;&gt;"",VLOOKUP(L719,de_para!$A$1:$B$31,2,0)*base!M719,0)</f>
        <v>0</v>
      </c>
      <c r="O719" s="38"/>
      <c r="P719" s="29"/>
      <c r="Q719" s="31">
        <f>IF(base!O719&lt;&gt;"",VLOOKUP(O719,de_para!$A$1:$B$31,2,0)*base!P719,0)</f>
        <v>0</v>
      </c>
      <c r="R719" s="38"/>
      <c r="S719" s="29"/>
      <c r="T719" s="31">
        <f>IF(base!R719&lt;&gt;"",VLOOKUP(R719,de_para!$A$1:$B$31,2,0)*base!S719,0)</f>
        <v>0</v>
      </c>
      <c r="U719" s="30">
        <f t="shared" si="12"/>
        <v>0</v>
      </c>
    </row>
    <row r="720" spans="1:21" x14ac:dyDescent="0.35">
      <c r="A720" s="29"/>
      <c r="B720" s="29"/>
      <c r="C720" s="29"/>
      <c r="D720" s="29"/>
      <c r="E720" s="29"/>
      <c r="F720" s="29"/>
      <c r="G720" s="29"/>
      <c r="H720" s="31">
        <f>IF(base!F720&lt;&gt;"",VLOOKUP(F720,de_para!$A$1:$B$31,2,0)*base!G720,0)</f>
        <v>0</v>
      </c>
      <c r="I720" s="38"/>
      <c r="J720" s="29"/>
      <c r="K720" s="31">
        <f>IF(base!I720&lt;&gt;"",VLOOKUP(I720,de_para!$A$1:$B$31,2,0)*base!J720,0)</f>
        <v>0</v>
      </c>
      <c r="L720" s="38"/>
      <c r="M720" s="29"/>
      <c r="N720" s="31">
        <f>IF(base!L720&lt;&gt;"",VLOOKUP(L720,de_para!$A$1:$B$31,2,0)*base!M720,0)</f>
        <v>0</v>
      </c>
      <c r="O720" s="38"/>
      <c r="P720" s="29"/>
      <c r="Q720" s="31">
        <f>IF(base!O720&lt;&gt;"",VLOOKUP(O720,de_para!$A$1:$B$31,2,0)*base!P720,0)</f>
        <v>0</v>
      </c>
      <c r="R720" s="38"/>
      <c r="S720" s="29"/>
      <c r="T720" s="31">
        <f>IF(base!R720&lt;&gt;"",VLOOKUP(R720,de_para!$A$1:$B$31,2,0)*base!S720,0)</f>
        <v>0</v>
      </c>
      <c r="U720" s="30">
        <f t="shared" si="12"/>
        <v>0</v>
      </c>
    </row>
    <row r="721" spans="1:21" x14ac:dyDescent="0.35">
      <c r="A721" s="29"/>
      <c r="B721" s="29"/>
      <c r="C721" s="29"/>
      <c r="D721" s="29"/>
      <c r="E721" s="29"/>
      <c r="F721" s="29"/>
      <c r="G721" s="29"/>
      <c r="H721" s="31">
        <f>IF(base!F721&lt;&gt;"",VLOOKUP(F721,de_para!$A$1:$B$31,2,0)*base!G721,0)</f>
        <v>0</v>
      </c>
      <c r="I721" s="38"/>
      <c r="J721" s="29"/>
      <c r="K721" s="31">
        <f>IF(base!I721&lt;&gt;"",VLOOKUP(I721,de_para!$A$1:$B$31,2,0)*base!J721,0)</f>
        <v>0</v>
      </c>
      <c r="L721" s="38"/>
      <c r="M721" s="29"/>
      <c r="N721" s="31">
        <f>IF(base!L721&lt;&gt;"",VLOOKUP(L721,de_para!$A$1:$B$31,2,0)*base!M721,0)</f>
        <v>0</v>
      </c>
      <c r="O721" s="38"/>
      <c r="P721" s="29"/>
      <c r="Q721" s="31">
        <f>IF(base!O721&lt;&gt;"",VLOOKUP(O721,de_para!$A$1:$B$31,2,0)*base!P721,0)</f>
        <v>0</v>
      </c>
      <c r="R721" s="38"/>
      <c r="S721" s="29"/>
      <c r="T721" s="31">
        <f>IF(base!R721&lt;&gt;"",VLOOKUP(R721,de_para!$A$1:$B$31,2,0)*base!S721,0)</f>
        <v>0</v>
      </c>
      <c r="U721" s="30">
        <f t="shared" si="12"/>
        <v>0</v>
      </c>
    </row>
    <row r="722" spans="1:21" x14ac:dyDescent="0.35">
      <c r="A722" s="29"/>
      <c r="B722" s="29"/>
      <c r="C722" s="29"/>
      <c r="D722" s="29"/>
      <c r="E722" s="29"/>
      <c r="F722" s="29"/>
      <c r="G722" s="29"/>
      <c r="H722" s="31">
        <f>IF(base!F722&lt;&gt;"",VLOOKUP(F722,de_para!$A$1:$B$31,2,0)*base!G722,0)</f>
        <v>0</v>
      </c>
      <c r="I722" s="38"/>
      <c r="J722" s="29"/>
      <c r="K722" s="31">
        <f>IF(base!I722&lt;&gt;"",VLOOKUP(I722,de_para!$A$1:$B$31,2,0)*base!J722,0)</f>
        <v>0</v>
      </c>
      <c r="L722" s="38"/>
      <c r="M722" s="29"/>
      <c r="N722" s="31">
        <f>IF(base!L722&lt;&gt;"",VLOOKUP(L722,de_para!$A$1:$B$31,2,0)*base!M722,0)</f>
        <v>0</v>
      </c>
      <c r="O722" s="38"/>
      <c r="P722" s="29"/>
      <c r="Q722" s="31">
        <f>IF(base!O722&lt;&gt;"",VLOOKUP(O722,de_para!$A$1:$B$31,2,0)*base!P722,0)</f>
        <v>0</v>
      </c>
      <c r="R722" s="38"/>
      <c r="S722" s="29"/>
      <c r="T722" s="31">
        <f>IF(base!R722&lt;&gt;"",VLOOKUP(R722,de_para!$A$1:$B$31,2,0)*base!S722,0)</f>
        <v>0</v>
      </c>
      <c r="U722" s="30">
        <f t="shared" si="12"/>
        <v>0</v>
      </c>
    </row>
    <row r="723" spans="1:21" x14ac:dyDescent="0.35">
      <c r="A723" s="29"/>
      <c r="B723" s="29"/>
      <c r="C723" s="29"/>
      <c r="D723" s="29"/>
      <c r="E723" s="29"/>
      <c r="F723" s="29"/>
      <c r="G723" s="29"/>
      <c r="H723" s="31">
        <f>IF(base!F723&lt;&gt;"",VLOOKUP(F723,de_para!$A$1:$B$31,2,0)*base!G723,0)</f>
        <v>0</v>
      </c>
      <c r="I723" s="38"/>
      <c r="J723" s="29"/>
      <c r="K723" s="31">
        <f>IF(base!I723&lt;&gt;"",VLOOKUP(I723,de_para!$A$1:$B$31,2,0)*base!J723,0)</f>
        <v>0</v>
      </c>
      <c r="L723" s="38"/>
      <c r="M723" s="29"/>
      <c r="N723" s="31">
        <f>IF(base!L723&lt;&gt;"",VLOOKUP(L723,de_para!$A$1:$B$31,2,0)*base!M723,0)</f>
        <v>0</v>
      </c>
      <c r="O723" s="38"/>
      <c r="P723" s="29"/>
      <c r="Q723" s="31">
        <f>IF(base!O723&lt;&gt;"",VLOOKUP(O723,de_para!$A$1:$B$31,2,0)*base!P723,0)</f>
        <v>0</v>
      </c>
      <c r="R723" s="38"/>
      <c r="S723" s="29"/>
      <c r="T723" s="31">
        <f>IF(base!R723&lt;&gt;"",VLOOKUP(R723,de_para!$A$1:$B$31,2,0)*base!S723,0)</f>
        <v>0</v>
      </c>
      <c r="U723" s="30">
        <f t="shared" si="12"/>
        <v>0</v>
      </c>
    </row>
    <row r="724" spans="1:21" x14ac:dyDescent="0.35">
      <c r="A724" s="29"/>
      <c r="B724" s="29"/>
      <c r="C724" s="29"/>
      <c r="D724" s="29"/>
      <c r="E724" s="29"/>
      <c r="F724" s="29"/>
      <c r="G724" s="29"/>
      <c r="H724" s="31">
        <f>IF(base!F724&lt;&gt;"",VLOOKUP(F724,de_para!$A$1:$B$31,2,0)*base!G724,0)</f>
        <v>0</v>
      </c>
      <c r="I724" s="38"/>
      <c r="J724" s="29"/>
      <c r="K724" s="31">
        <f>IF(base!I724&lt;&gt;"",VLOOKUP(I724,de_para!$A$1:$B$31,2,0)*base!J724,0)</f>
        <v>0</v>
      </c>
      <c r="L724" s="38"/>
      <c r="M724" s="29"/>
      <c r="N724" s="31">
        <f>IF(base!L724&lt;&gt;"",VLOOKUP(L724,de_para!$A$1:$B$31,2,0)*base!M724,0)</f>
        <v>0</v>
      </c>
      <c r="O724" s="38"/>
      <c r="P724" s="29"/>
      <c r="Q724" s="31">
        <f>IF(base!O724&lt;&gt;"",VLOOKUP(O724,de_para!$A$1:$B$31,2,0)*base!P724,0)</f>
        <v>0</v>
      </c>
      <c r="R724" s="38"/>
      <c r="S724" s="29"/>
      <c r="T724" s="31">
        <f>IF(base!R724&lt;&gt;"",VLOOKUP(R724,de_para!$A$1:$B$31,2,0)*base!S724,0)</f>
        <v>0</v>
      </c>
      <c r="U724" s="30">
        <f t="shared" si="12"/>
        <v>0</v>
      </c>
    </row>
    <row r="725" spans="1:21" x14ac:dyDescent="0.35">
      <c r="A725" s="29"/>
      <c r="B725" s="29"/>
      <c r="C725" s="29"/>
      <c r="D725" s="29"/>
      <c r="E725" s="29"/>
      <c r="F725" s="29"/>
      <c r="G725" s="29"/>
      <c r="H725" s="31">
        <f>IF(base!F725&lt;&gt;"",VLOOKUP(F725,de_para!$A$1:$B$31,2,0)*base!G725,0)</f>
        <v>0</v>
      </c>
      <c r="I725" s="38"/>
      <c r="J725" s="29"/>
      <c r="K725" s="31">
        <f>IF(base!I725&lt;&gt;"",VLOOKUP(I725,de_para!$A$1:$B$31,2,0)*base!J725,0)</f>
        <v>0</v>
      </c>
      <c r="L725" s="38"/>
      <c r="M725" s="29"/>
      <c r="N725" s="31">
        <f>IF(base!L725&lt;&gt;"",VLOOKUP(L725,de_para!$A$1:$B$31,2,0)*base!M725,0)</f>
        <v>0</v>
      </c>
      <c r="O725" s="38"/>
      <c r="P725" s="29"/>
      <c r="Q725" s="31">
        <f>IF(base!O725&lt;&gt;"",VLOOKUP(O725,de_para!$A$1:$B$31,2,0)*base!P725,0)</f>
        <v>0</v>
      </c>
      <c r="R725" s="38"/>
      <c r="S725" s="29"/>
      <c r="T725" s="31">
        <f>IF(base!R725&lt;&gt;"",VLOOKUP(R725,de_para!$A$1:$B$31,2,0)*base!S725,0)</f>
        <v>0</v>
      </c>
      <c r="U725" s="30">
        <f t="shared" si="12"/>
        <v>0</v>
      </c>
    </row>
    <row r="726" spans="1:21" x14ac:dyDescent="0.35">
      <c r="A726" s="29"/>
      <c r="B726" s="29"/>
      <c r="C726" s="29"/>
      <c r="D726" s="29"/>
      <c r="E726" s="29"/>
      <c r="F726" s="29"/>
      <c r="G726" s="29"/>
      <c r="H726" s="31">
        <f>IF(base!F726&lt;&gt;"",VLOOKUP(F726,de_para!$A$1:$B$31,2,0)*base!G726,0)</f>
        <v>0</v>
      </c>
      <c r="I726" s="38"/>
      <c r="J726" s="29"/>
      <c r="K726" s="31">
        <f>IF(base!I726&lt;&gt;"",VLOOKUP(I726,de_para!$A$1:$B$31,2,0)*base!J726,0)</f>
        <v>0</v>
      </c>
      <c r="L726" s="38"/>
      <c r="M726" s="29"/>
      <c r="N726" s="31">
        <f>IF(base!L726&lt;&gt;"",VLOOKUP(L726,de_para!$A$1:$B$31,2,0)*base!M726,0)</f>
        <v>0</v>
      </c>
      <c r="O726" s="38"/>
      <c r="P726" s="29"/>
      <c r="Q726" s="31">
        <f>IF(base!O726&lt;&gt;"",VLOOKUP(O726,de_para!$A$1:$B$31,2,0)*base!P726,0)</f>
        <v>0</v>
      </c>
      <c r="R726" s="38"/>
      <c r="S726" s="29"/>
      <c r="T726" s="31">
        <f>IF(base!R726&lt;&gt;"",VLOOKUP(R726,de_para!$A$1:$B$31,2,0)*base!S726,0)</f>
        <v>0</v>
      </c>
      <c r="U726" s="30">
        <f t="shared" si="12"/>
        <v>0</v>
      </c>
    </row>
    <row r="727" spans="1:21" x14ac:dyDescent="0.35">
      <c r="A727" s="29"/>
      <c r="B727" s="29"/>
      <c r="C727" s="29"/>
      <c r="D727" s="29"/>
      <c r="E727" s="29"/>
      <c r="F727" s="29"/>
      <c r="G727" s="29"/>
      <c r="H727" s="31">
        <f>IF(base!F727&lt;&gt;"",VLOOKUP(F727,de_para!$A$1:$B$31,2,0)*base!G727,0)</f>
        <v>0</v>
      </c>
      <c r="I727" s="38"/>
      <c r="J727" s="29"/>
      <c r="K727" s="31">
        <f>IF(base!I727&lt;&gt;"",VLOOKUP(I727,de_para!$A$1:$B$31,2,0)*base!J727,0)</f>
        <v>0</v>
      </c>
      <c r="L727" s="38"/>
      <c r="M727" s="29"/>
      <c r="N727" s="31">
        <f>IF(base!L727&lt;&gt;"",VLOOKUP(L727,de_para!$A$1:$B$31,2,0)*base!M727,0)</f>
        <v>0</v>
      </c>
      <c r="O727" s="38"/>
      <c r="P727" s="29"/>
      <c r="Q727" s="31">
        <f>IF(base!O727&lt;&gt;"",VLOOKUP(O727,de_para!$A$1:$B$31,2,0)*base!P727,0)</f>
        <v>0</v>
      </c>
      <c r="R727" s="38"/>
      <c r="S727" s="29"/>
      <c r="T727" s="31">
        <f>IF(base!R727&lt;&gt;"",VLOOKUP(R727,de_para!$A$1:$B$31,2,0)*base!S727,0)</f>
        <v>0</v>
      </c>
      <c r="U727" s="30">
        <f t="shared" si="12"/>
        <v>0</v>
      </c>
    </row>
    <row r="728" spans="1:21" x14ac:dyDescent="0.35">
      <c r="A728" s="29"/>
      <c r="B728" s="29"/>
      <c r="C728" s="29"/>
      <c r="D728" s="29"/>
      <c r="E728" s="29"/>
      <c r="F728" s="29"/>
      <c r="G728" s="29"/>
      <c r="H728" s="31">
        <f>IF(base!F728&lt;&gt;"",VLOOKUP(F728,de_para!$A$1:$B$31,2,0)*base!G728,0)</f>
        <v>0</v>
      </c>
      <c r="I728" s="38"/>
      <c r="J728" s="29"/>
      <c r="K728" s="31">
        <f>IF(base!I728&lt;&gt;"",VLOOKUP(I728,de_para!$A$1:$B$31,2,0)*base!J728,0)</f>
        <v>0</v>
      </c>
      <c r="L728" s="38"/>
      <c r="M728" s="29"/>
      <c r="N728" s="31">
        <f>IF(base!L728&lt;&gt;"",VLOOKUP(L728,de_para!$A$1:$B$31,2,0)*base!M728,0)</f>
        <v>0</v>
      </c>
      <c r="O728" s="38"/>
      <c r="P728" s="29"/>
      <c r="Q728" s="31">
        <f>IF(base!O728&lt;&gt;"",VLOOKUP(O728,de_para!$A$1:$B$31,2,0)*base!P728,0)</f>
        <v>0</v>
      </c>
      <c r="R728" s="38"/>
      <c r="S728" s="29"/>
      <c r="T728" s="31">
        <f>IF(base!R728&lt;&gt;"",VLOOKUP(R728,de_para!$A$1:$B$31,2,0)*base!S728,0)</f>
        <v>0</v>
      </c>
      <c r="U728" s="30">
        <f t="shared" si="12"/>
        <v>0</v>
      </c>
    </row>
    <row r="729" spans="1:21" x14ac:dyDescent="0.35">
      <c r="A729" s="29"/>
      <c r="B729" s="29"/>
      <c r="C729" s="29"/>
      <c r="D729" s="29"/>
      <c r="E729" s="29"/>
      <c r="F729" s="29"/>
      <c r="G729" s="29"/>
      <c r="H729" s="31">
        <f>IF(base!F729&lt;&gt;"",VLOOKUP(F729,de_para!$A$1:$B$31,2,0)*base!G729,0)</f>
        <v>0</v>
      </c>
      <c r="I729" s="38"/>
      <c r="J729" s="29"/>
      <c r="K729" s="31">
        <f>IF(base!I729&lt;&gt;"",VLOOKUP(I729,de_para!$A$1:$B$31,2,0)*base!J729,0)</f>
        <v>0</v>
      </c>
      <c r="L729" s="38"/>
      <c r="M729" s="29"/>
      <c r="N729" s="31">
        <f>IF(base!L729&lt;&gt;"",VLOOKUP(L729,de_para!$A$1:$B$31,2,0)*base!M729,0)</f>
        <v>0</v>
      </c>
      <c r="O729" s="38"/>
      <c r="P729" s="29"/>
      <c r="Q729" s="31">
        <f>IF(base!O729&lt;&gt;"",VLOOKUP(O729,de_para!$A$1:$B$31,2,0)*base!P729,0)</f>
        <v>0</v>
      </c>
      <c r="R729" s="38"/>
      <c r="S729" s="29"/>
      <c r="T729" s="31">
        <f>IF(base!R729&lt;&gt;"",VLOOKUP(R729,de_para!$A$1:$B$31,2,0)*base!S729,0)</f>
        <v>0</v>
      </c>
      <c r="U729" s="30">
        <f t="shared" si="12"/>
        <v>0</v>
      </c>
    </row>
    <row r="730" spans="1:21" x14ac:dyDescent="0.35">
      <c r="A730" s="29"/>
      <c r="B730" s="29"/>
      <c r="C730" s="29"/>
      <c r="D730" s="29"/>
      <c r="E730" s="29"/>
      <c r="F730" s="29"/>
      <c r="G730" s="29"/>
      <c r="H730" s="31">
        <f>IF(base!F730&lt;&gt;"",VLOOKUP(F730,de_para!$A$1:$B$31,2,0)*base!G730,0)</f>
        <v>0</v>
      </c>
      <c r="I730" s="38"/>
      <c r="J730" s="29"/>
      <c r="K730" s="31">
        <f>IF(base!I730&lt;&gt;"",VLOOKUP(I730,de_para!$A$1:$B$31,2,0)*base!J730,0)</f>
        <v>0</v>
      </c>
      <c r="L730" s="38"/>
      <c r="M730" s="29"/>
      <c r="N730" s="31">
        <f>IF(base!L730&lt;&gt;"",VLOOKUP(L730,de_para!$A$1:$B$31,2,0)*base!M730,0)</f>
        <v>0</v>
      </c>
      <c r="O730" s="38"/>
      <c r="P730" s="29"/>
      <c r="Q730" s="31">
        <f>IF(base!O730&lt;&gt;"",VLOOKUP(O730,de_para!$A$1:$B$31,2,0)*base!P730,0)</f>
        <v>0</v>
      </c>
      <c r="R730" s="38"/>
      <c r="S730" s="29"/>
      <c r="T730" s="31">
        <f>IF(base!R730&lt;&gt;"",VLOOKUP(R730,de_para!$A$1:$B$31,2,0)*base!S730,0)</f>
        <v>0</v>
      </c>
      <c r="U730" s="30">
        <f t="shared" si="12"/>
        <v>0</v>
      </c>
    </row>
    <row r="731" spans="1:21" x14ac:dyDescent="0.35">
      <c r="A731" s="29"/>
      <c r="B731" s="29"/>
      <c r="C731" s="29"/>
      <c r="D731" s="29"/>
      <c r="E731" s="29"/>
      <c r="F731" s="29"/>
      <c r="G731" s="29"/>
      <c r="H731" s="31">
        <f>IF(base!F731&lt;&gt;"",VLOOKUP(F731,de_para!$A$1:$B$31,2,0)*base!G731,0)</f>
        <v>0</v>
      </c>
      <c r="I731" s="38"/>
      <c r="J731" s="29"/>
      <c r="K731" s="31">
        <f>IF(base!I731&lt;&gt;"",VLOOKUP(I731,de_para!$A$1:$B$31,2,0)*base!J731,0)</f>
        <v>0</v>
      </c>
      <c r="L731" s="38"/>
      <c r="M731" s="29"/>
      <c r="N731" s="31">
        <f>IF(base!L731&lt;&gt;"",VLOOKUP(L731,de_para!$A$1:$B$31,2,0)*base!M731,0)</f>
        <v>0</v>
      </c>
      <c r="O731" s="38"/>
      <c r="P731" s="29"/>
      <c r="Q731" s="31">
        <f>IF(base!O731&lt;&gt;"",VLOOKUP(O731,de_para!$A$1:$B$31,2,0)*base!P731,0)</f>
        <v>0</v>
      </c>
      <c r="R731" s="38"/>
      <c r="S731" s="29"/>
      <c r="T731" s="31">
        <f>IF(base!R731&lt;&gt;"",VLOOKUP(R731,de_para!$A$1:$B$31,2,0)*base!S731,0)</f>
        <v>0</v>
      </c>
      <c r="U731" s="30">
        <f t="shared" si="12"/>
        <v>0</v>
      </c>
    </row>
    <row r="732" spans="1:21" x14ac:dyDescent="0.35">
      <c r="A732" s="29"/>
      <c r="B732" s="29"/>
      <c r="C732" s="29"/>
      <c r="D732" s="29"/>
      <c r="E732" s="29"/>
      <c r="F732" s="29"/>
      <c r="G732" s="29"/>
      <c r="H732" s="31">
        <f>IF(base!F732&lt;&gt;"",VLOOKUP(F732,de_para!$A$1:$B$31,2,0)*base!G732,0)</f>
        <v>0</v>
      </c>
      <c r="I732" s="38"/>
      <c r="J732" s="29"/>
      <c r="K732" s="31">
        <f>IF(base!I732&lt;&gt;"",VLOOKUP(I732,de_para!$A$1:$B$31,2,0)*base!J732,0)</f>
        <v>0</v>
      </c>
      <c r="L732" s="38"/>
      <c r="M732" s="29"/>
      <c r="N732" s="31">
        <f>IF(base!L732&lt;&gt;"",VLOOKUP(L732,de_para!$A$1:$B$31,2,0)*base!M732,0)</f>
        <v>0</v>
      </c>
      <c r="O732" s="38"/>
      <c r="P732" s="29"/>
      <c r="Q732" s="31">
        <f>IF(base!O732&lt;&gt;"",VLOOKUP(O732,de_para!$A$1:$B$31,2,0)*base!P732,0)</f>
        <v>0</v>
      </c>
      <c r="R732" s="38"/>
      <c r="S732" s="29"/>
      <c r="T732" s="31">
        <f>IF(base!R732&lt;&gt;"",VLOOKUP(R732,de_para!$A$1:$B$31,2,0)*base!S732,0)</f>
        <v>0</v>
      </c>
      <c r="U732" s="30">
        <f t="shared" si="12"/>
        <v>0</v>
      </c>
    </row>
    <row r="733" spans="1:21" x14ac:dyDescent="0.35">
      <c r="A733" s="29"/>
      <c r="B733" s="29"/>
      <c r="C733" s="29"/>
      <c r="D733" s="29"/>
      <c r="E733" s="29"/>
      <c r="F733" s="29"/>
      <c r="G733" s="29"/>
      <c r="H733" s="31">
        <f>IF(base!F733&lt;&gt;"",VLOOKUP(F733,de_para!$A$1:$B$31,2,0)*base!G733,0)</f>
        <v>0</v>
      </c>
      <c r="I733" s="38"/>
      <c r="J733" s="29"/>
      <c r="K733" s="31">
        <f>IF(base!I733&lt;&gt;"",VLOOKUP(I733,de_para!$A$1:$B$31,2,0)*base!J733,0)</f>
        <v>0</v>
      </c>
      <c r="L733" s="38"/>
      <c r="M733" s="29"/>
      <c r="N733" s="31">
        <f>IF(base!L733&lt;&gt;"",VLOOKUP(L733,de_para!$A$1:$B$31,2,0)*base!M733,0)</f>
        <v>0</v>
      </c>
      <c r="O733" s="38"/>
      <c r="P733" s="29"/>
      <c r="Q733" s="31">
        <f>IF(base!O733&lt;&gt;"",VLOOKUP(O733,de_para!$A$1:$B$31,2,0)*base!P733,0)</f>
        <v>0</v>
      </c>
      <c r="R733" s="38"/>
      <c r="S733" s="29"/>
      <c r="T733" s="31">
        <f>IF(base!R733&lt;&gt;"",VLOOKUP(R733,de_para!$A$1:$B$31,2,0)*base!S733,0)</f>
        <v>0</v>
      </c>
      <c r="U733" s="30">
        <f t="shared" si="12"/>
        <v>0</v>
      </c>
    </row>
    <row r="734" spans="1:21" x14ac:dyDescent="0.35">
      <c r="A734" s="29"/>
      <c r="B734" s="29"/>
      <c r="C734" s="29"/>
      <c r="D734" s="29"/>
      <c r="E734" s="29"/>
      <c r="F734" s="29"/>
      <c r="G734" s="29"/>
      <c r="H734" s="31">
        <f>IF(base!F734&lt;&gt;"",VLOOKUP(F734,de_para!$A$1:$B$31,2,0)*base!G734,0)</f>
        <v>0</v>
      </c>
      <c r="I734" s="38"/>
      <c r="J734" s="29"/>
      <c r="K734" s="31">
        <f>IF(base!I734&lt;&gt;"",VLOOKUP(I734,de_para!$A$1:$B$31,2,0)*base!J734,0)</f>
        <v>0</v>
      </c>
      <c r="L734" s="38"/>
      <c r="M734" s="29"/>
      <c r="N734" s="31">
        <f>IF(base!L734&lt;&gt;"",VLOOKUP(L734,de_para!$A$1:$B$31,2,0)*base!M734,0)</f>
        <v>0</v>
      </c>
      <c r="O734" s="38"/>
      <c r="P734" s="29"/>
      <c r="Q734" s="31">
        <f>IF(base!O734&lt;&gt;"",VLOOKUP(O734,de_para!$A$1:$B$31,2,0)*base!P734,0)</f>
        <v>0</v>
      </c>
      <c r="R734" s="38"/>
      <c r="S734" s="29"/>
      <c r="T734" s="31">
        <f>IF(base!R734&lt;&gt;"",VLOOKUP(R734,de_para!$A$1:$B$31,2,0)*base!S734,0)</f>
        <v>0</v>
      </c>
      <c r="U734" s="30">
        <f t="shared" si="12"/>
        <v>0</v>
      </c>
    </row>
    <row r="735" spans="1:21" x14ac:dyDescent="0.35">
      <c r="A735" s="29"/>
      <c r="B735" s="29"/>
      <c r="C735" s="29"/>
      <c r="D735" s="29"/>
      <c r="E735" s="29"/>
      <c r="F735" s="29"/>
      <c r="G735" s="29"/>
      <c r="H735" s="31">
        <f>IF(base!F735&lt;&gt;"",VLOOKUP(F735,de_para!$A$1:$B$31,2,0)*base!G735,0)</f>
        <v>0</v>
      </c>
      <c r="I735" s="38"/>
      <c r="J735" s="29"/>
      <c r="K735" s="31">
        <f>IF(base!I735&lt;&gt;"",VLOOKUP(I735,de_para!$A$1:$B$31,2,0)*base!J735,0)</f>
        <v>0</v>
      </c>
      <c r="L735" s="38"/>
      <c r="M735" s="29"/>
      <c r="N735" s="31">
        <f>IF(base!L735&lt;&gt;"",VLOOKUP(L735,de_para!$A$1:$B$31,2,0)*base!M735,0)</f>
        <v>0</v>
      </c>
      <c r="O735" s="38"/>
      <c r="P735" s="29"/>
      <c r="Q735" s="31">
        <f>IF(base!O735&lt;&gt;"",VLOOKUP(O735,de_para!$A$1:$B$31,2,0)*base!P735,0)</f>
        <v>0</v>
      </c>
      <c r="R735" s="38"/>
      <c r="S735" s="29"/>
      <c r="T735" s="31">
        <f>IF(base!R735&lt;&gt;"",VLOOKUP(R735,de_para!$A$1:$B$31,2,0)*base!S735,0)</f>
        <v>0</v>
      </c>
      <c r="U735" s="30">
        <f t="shared" si="12"/>
        <v>0</v>
      </c>
    </row>
    <row r="736" spans="1:21" x14ac:dyDescent="0.35">
      <c r="A736" s="29"/>
      <c r="B736" s="29"/>
      <c r="C736" s="29"/>
      <c r="D736" s="29"/>
      <c r="E736" s="29"/>
      <c r="F736" s="29"/>
      <c r="G736" s="29"/>
      <c r="H736" s="31">
        <f>IF(base!F736&lt;&gt;"",VLOOKUP(F736,de_para!$A$1:$B$31,2,0)*base!G736,0)</f>
        <v>0</v>
      </c>
      <c r="I736" s="38"/>
      <c r="J736" s="29"/>
      <c r="K736" s="31">
        <f>IF(base!I736&lt;&gt;"",VLOOKUP(I736,de_para!$A$1:$B$31,2,0)*base!J736,0)</f>
        <v>0</v>
      </c>
      <c r="L736" s="38"/>
      <c r="M736" s="29"/>
      <c r="N736" s="31">
        <f>IF(base!L736&lt;&gt;"",VLOOKUP(L736,de_para!$A$1:$B$31,2,0)*base!M736,0)</f>
        <v>0</v>
      </c>
      <c r="O736" s="38"/>
      <c r="P736" s="29"/>
      <c r="Q736" s="31">
        <f>IF(base!O736&lt;&gt;"",VLOOKUP(O736,de_para!$A$1:$B$31,2,0)*base!P736,0)</f>
        <v>0</v>
      </c>
      <c r="R736" s="38"/>
      <c r="S736" s="29"/>
      <c r="T736" s="31">
        <f>IF(base!R736&lt;&gt;"",VLOOKUP(R736,de_para!$A$1:$B$31,2,0)*base!S736,0)</f>
        <v>0</v>
      </c>
      <c r="U736" s="30">
        <f t="shared" si="12"/>
        <v>0</v>
      </c>
    </row>
    <row r="737" spans="1:21" x14ac:dyDescent="0.35">
      <c r="A737" s="29"/>
      <c r="B737" s="29"/>
      <c r="C737" s="29"/>
      <c r="D737" s="29"/>
      <c r="E737" s="29"/>
      <c r="F737" s="29"/>
      <c r="G737" s="29"/>
      <c r="H737" s="31">
        <f>IF(base!F737&lt;&gt;"",VLOOKUP(F737,de_para!$A$1:$B$31,2,0)*base!G737,0)</f>
        <v>0</v>
      </c>
      <c r="I737" s="38"/>
      <c r="J737" s="29"/>
      <c r="K737" s="31">
        <f>IF(base!I737&lt;&gt;"",VLOOKUP(I737,de_para!$A$1:$B$31,2,0)*base!J737,0)</f>
        <v>0</v>
      </c>
      <c r="L737" s="38"/>
      <c r="M737" s="29"/>
      <c r="N737" s="31">
        <f>IF(base!L737&lt;&gt;"",VLOOKUP(L737,de_para!$A$1:$B$31,2,0)*base!M737,0)</f>
        <v>0</v>
      </c>
      <c r="O737" s="38"/>
      <c r="P737" s="29"/>
      <c r="Q737" s="31">
        <f>IF(base!O737&lt;&gt;"",VLOOKUP(O737,de_para!$A$1:$B$31,2,0)*base!P737,0)</f>
        <v>0</v>
      </c>
      <c r="R737" s="38"/>
      <c r="S737" s="29"/>
      <c r="T737" s="31">
        <f>IF(base!R737&lt;&gt;"",VLOOKUP(R737,de_para!$A$1:$B$31,2,0)*base!S737,0)</f>
        <v>0</v>
      </c>
      <c r="U737" s="30">
        <f t="shared" si="12"/>
        <v>0</v>
      </c>
    </row>
    <row r="738" spans="1:21" x14ac:dyDescent="0.35">
      <c r="A738" s="29"/>
      <c r="B738" s="29"/>
      <c r="C738" s="29"/>
      <c r="D738" s="29"/>
      <c r="E738" s="29"/>
      <c r="F738" s="29"/>
      <c r="G738" s="29"/>
      <c r="H738" s="31">
        <f>IF(base!F738&lt;&gt;"",VLOOKUP(F738,de_para!$A$1:$B$31,2,0)*base!G738,0)</f>
        <v>0</v>
      </c>
      <c r="I738" s="38"/>
      <c r="J738" s="29"/>
      <c r="K738" s="31">
        <f>IF(base!I738&lt;&gt;"",VLOOKUP(I738,de_para!$A$1:$B$31,2,0)*base!J738,0)</f>
        <v>0</v>
      </c>
      <c r="L738" s="38"/>
      <c r="M738" s="29"/>
      <c r="N738" s="31">
        <f>IF(base!L738&lt;&gt;"",VLOOKUP(L738,de_para!$A$1:$B$31,2,0)*base!M738,0)</f>
        <v>0</v>
      </c>
      <c r="O738" s="38"/>
      <c r="P738" s="29"/>
      <c r="Q738" s="31">
        <f>IF(base!O738&lt;&gt;"",VLOOKUP(O738,de_para!$A$1:$B$31,2,0)*base!P738,0)</f>
        <v>0</v>
      </c>
      <c r="R738" s="38"/>
      <c r="S738" s="29"/>
      <c r="T738" s="31">
        <f>IF(base!R738&lt;&gt;"",VLOOKUP(R738,de_para!$A$1:$B$31,2,0)*base!S738,0)</f>
        <v>0</v>
      </c>
      <c r="U738" s="30">
        <f t="shared" si="12"/>
        <v>0</v>
      </c>
    </row>
    <row r="739" spans="1:21" x14ac:dyDescent="0.35">
      <c r="A739" s="29"/>
      <c r="B739" s="29"/>
      <c r="C739" s="29"/>
      <c r="D739" s="29"/>
      <c r="E739" s="29"/>
      <c r="F739" s="29"/>
      <c r="G739" s="29"/>
      <c r="H739" s="31">
        <f>IF(base!F739&lt;&gt;"",VLOOKUP(F739,de_para!$A$1:$B$31,2,0)*base!G739,0)</f>
        <v>0</v>
      </c>
      <c r="I739" s="38"/>
      <c r="J739" s="29"/>
      <c r="K739" s="31">
        <f>IF(base!I739&lt;&gt;"",VLOOKUP(I739,de_para!$A$1:$B$31,2,0)*base!J739,0)</f>
        <v>0</v>
      </c>
      <c r="L739" s="38"/>
      <c r="M739" s="29"/>
      <c r="N739" s="31">
        <f>IF(base!L739&lt;&gt;"",VLOOKUP(L739,de_para!$A$1:$B$31,2,0)*base!M739,0)</f>
        <v>0</v>
      </c>
      <c r="O739" s="38"/>
      <c r="P739" s="29"/>
      <c r="Q739" s="31">
        <f>IF(base!O739&lt;&gt;"",VLOOKUP(O739,de_para!$A$1:$B$31,2,0)*base!P739,0)</f>
        <v>0</v>
      </c>
      <c r="R739" s="38"/>
      <c r="S739" s="29"/>
      <c r="T739" s="31">
        <f>IF(base!R739&lt;&gt;"",VLOOKUP(R739,de_para!$A$1:$B$31,2,0)*base!S739,0)</f>
        <v>0</v>
      </c>
      <c r="U739" s="30">
        <f t="shared" si="12"/>
        <v>0</v>
      </c>
    </row>
    <row r="740" spans="1:21" x14ac:dyDescent="0.35">
      <c r="A740" s="29"/>
      <c r="B740" s="29"/>
      <c r="C740" s="29"/>
      <c r="D740" s="29"/>
      <c r="E740" s="29"/>
      <c r="F740" s="29"/>
      <c r="G740" s="29"/>
      <c r="H740" s="31">
        <f>IF(base!F740&lt;&gt;"",VLOOKUP(F740,de_para!$A$1:$B$31,2,0)*base!G740,0)</f>
        <v>0</v>
      </c>
      <c r="I740" s="38"/>
      <c r="J740" s="29"/>
      <c r="K740" s="31">
        <f>IF(base!I740&lt;&gt;"",VLOOKUP(I740,de_para!$A$1:$B$31,2,0)*base!J740,0)</f>
        <v>0</v>
      </c>
      <c r="L740" s="38"/>
      <c r="M740" s="29"/>
      <c r="N740" s="31">
        <f>IF(base!L740&lt;&gt;"",VLOOKUP(L740,de_para!$A$1:$B$31,2,0)*base!M740,0)</f>
        <v>0</v>
      </c>
      <c r="O740" s="38"/>
      <c r="P740" s="29"/>
      <c r="Q740" s="31">
        <f>IF(base!O740&lt;&gt;"",VLOOKUP(O740,de_para!$A$1:$B$31,2,0)*base!P740,0)</f>
        <v>0</v>
      </c>
      <c r="R740" s="38"/>
      <c r="S740" s="29"/>
      <c r="T740" s="31">
        <f>IF(base!R740&lt;&gt;"",VLOOKUP(R740,de_para!$A$1:$B$31,2,0)*base!S740,0)</f>
        <v>0</v>
      </c>
      <c r="U740" s="30">
        <f t="shared" si="12"/>
        <v>0</v>
      </c>
    </row>
    <row r="741" spans="1:21" x14ac:dyDescent="0.35">
      <c r="A741" s="29"/>
      <c r="B741" s="29"/>
      <c r="C741" s="29"/>
      <c r="D741" s="29"/>
      <c r="E741" s="29"/>
      <c r="F741" s="29"/>
      <c r="G741" s="29"/>
      <c r="H741" s="31">
        <f>IF(base!F741&lt;&gt;"",VLOOKUP(F741,de_para!$A$1:$B$31,2,0)*base!G741,0)</f>
        <v>0</v>
      </c>
      <c r="I741" s="38"/>
      <c r="J741" s="29"/>
      <c r="K741" s="31">
        <f>IF(base!I741&lt;&gt;"",VLOOKUP(I741,de_para!$A$1:$B$31,2,0)*base!J741,0)</f>
        <v>0</v>
      </c>
      <c r="L741" s="38"/>
      <c r="M741" s="29"/>
      <c r="N741" s="31">
        <f>IF(base!L741&lt;&gt;"",VLOOKUP(L741,de_para!$A$1:$B$31,2,0)*base!M741,0)</f>
        <v>0</v>
      </c>
      <c r="O741" s="38"/>
      <c r="P741" s="29"/>
      <c r="Q741" s="31">
        <f>IF(base!O741&lt;&gt;"",VLOOKUP(O741,de_para!$A$1:$B$31,2,0)*base!P741,0)</f>
        <v>0</v>
      </c>
      <c r="R741" s="38"/>
      <c r="S741" s="29"/>
      <c r="T741" s="31">
        <f>IF(base!R741&lt;&gt;"",VLOOKUP(R741,de_para!$A$1:$B$31,2,0)*base!S741,0)</f>
        <v>0</v>
      </c>
      <c r="U741" s="30">
        <f t="shared" si="12"/>
        <v>0</v>
      </c>
    </row>
    <row r="742" spans="1:21" x14ac:dyDescent="0.35">
      <c r="A742" s="29"/>
      <c r="B742" s="29"/>
      <c r="C742" s="29"/>
      <c r="D742" s="29"/>
      <c r="E742" s="29"/>
      <c r="F742" s="29"/>
      <c r="G742" s="29"/>
      <c r="H742" s="31">
        <f>IF(base!F742&lt;&gt;"",VLOOKUP(F742,de_para!$A$1:$B$31,2,0)*base!G742,0)</f>
        <v>0</v>
      </c>
      <c r="I742" s="38"/>
      <c r="J742" s="29"/>
      <c r="K742" s="31">
        <f>IF(base!I742&lt;&gt;"",VLOOKUP(I742,de_para!$A$1:$B$31,2,0)*base!J742,0)</f>
        <v>0</v>
      </c>
      <c r="L742" s="38"/>
      <c r="M742" s="29"/>
      <c r="N742" s="31">
        <f>IF(base!L742&lt;&gt;"",VLOOKUP(L742,de_para!$A$1:$B$31,2,0)*base!M742,0)</f>
        <v>0</v>
      </c>
      <c r="O742" s="38"/>
      <c r="P742" s="29"/>
      <c r="Q742" s="31">
        <f>IF(base!O742&lt;&gt;"",VLOOKUP(O742,de_para!$A$1:$B$31,2,0)*base!P742,0)</f>
        <v>0</v>
      </c>
      <c r="R742" s="38"/>
      <c r="S742" s="29"/>
      <c r="T742" s="31">
        <f>IF(base!R742&lt;&gt;"",VLOOKUP(R742,de_para!$A$1:$B$31,2,0)*base!S742,0)</f>
        <v>0</v>
      </c>
      <c r="U742" s="30">
        <f t="shared" si="12"/>
        <v>0</v>
      </c>
    </row>
    <row r="743" spans="1:21" x14ac:dyDescent="0.35">
      <c r="A743" s="29"/>
      <c r="B743" s="29"/>
      <c r="C743" s="29"/>
      <c r="D743" s="29"/>
      <c r="E743" s="29"/>
      <c r="F743" s="29"/>
      <c r="G743" s="29"/>
      <c r="H743" s="31">
        <f>IF(base!F743&lt;&gt;"",VLOOKUP(F743,de_para!$A$1:$B$31,2,0)*base!G743,0)</f>
        <v>0</v>
      </c>
      <c r="I743" s="38"/>
      <c r="J743" s="29"/>
      <c r="K743" s="31">
        <f>IF(base!I743&lt;&gt;"",VLOOKUP(I743,de_para!$A$1:$B$31,2,0)*base!J743,0)</f>
        <v>0</v>
      </c>
      <c r="L743" s="38"/>
      <c r="M743" s="29"/>
      <c r="N743" s="31">
        <f>IF(base!L743&lt;&gt;"",VLOOKUP(L743,de_para!$A$1:$B$31,2,0)*base!M743,0)</f>
        <v>0</v>
      </c>
      <c r="O743" s="38"/>
      <c r="P743" s="29"/>
      <c r="Q743" s="31">
        <f>IF(base!O743&lt;&gt;"",VLOOKUP(O743,de_para!$A$1:$B$31,2,0)*base!P743,0)</f>
        <v>0</v>
      </c>
      <c r="R743" s="38"/>
      <c r="S743" s="29"/>
      <c r="T743" s="31">
        <f>IF(base!R743&lt;&gt;"",VLOOKUP(R743,de_para!$A$1:$B$31,2,0)*base!S743,0)</f>
        <v>0</v>
      </c>
      <c r="U743" s="30">
        <f t="shared" si="12"/>
        <v>0</v>
      </c>
    </row>
    <row r="744" spans="1:21" x14ac:dyDescent="0.35">
      <c r="A744" s="29"/>
      <c r="B744" s="29"/>
      <c r="C744" s="29"/>
      <c r="D744" s="29"/>
      <c r="E744" s="29"/>
      <c r="F744" s="29"/>
      <c r="G744" s="29"/>
      <c r="H744" s="31">
        <f>IF(base!F744&lt;&gt;"",VLOOKUP(F744,de_para!$A$1:$B$31,2,0)*base!G744,0)</f>
        <v>0</v>
      </c>
      <c r="I744" s="38"/>
      <c r="J744" s="29"/>
      <c r="K744" s="31">
        <f>IF(base!I744&lt;&gt;"",VLOOKUP(I744,de_para!$A$1:$B$31,2,0)*base!J744,0)</f>
        <v>0</v>
      </c>
      <c r="L744" s="38"/>
      <c r="M744" s="29"/>
      <c r="N744" s="31">
        <f>IF(base!L744&lt;&gt;"",VLOOKUP(L744,de_para!$A$1:$B$31,2,0)*base!M744,0)</f>
        <v>0</v>
      </c>
      <c r="O744" s="38"/>
      <c r="P744" s="29"/>
      <c r="Q744" s="31">
        <f>IF(base!O744&lt;&gt;"",VLOOKUP(O744,de_para!$A$1:$B$31,2,0)*base!P744,0)</f>
        <v>0</v>
      </c>
      <c r="R744" s="38"/>
      <c r="S744" s="29"/>
      <c r="T744" s="31">
        <f>IF(base!R744&lt;&gt;"",VLOOKUP(R744,de_para!$A$1:$B$31,2,0)*base!S744,0)</f>
        <v>0</v>
      </c>
      <c r="U744" s="30">
        <f t="shared" si="12"/>
        <v>0</v>
      </c>
    </row>
    <row r="745" spans="1:21" x14ac:dyDescent="0.35">
      <c r="A745" s="29"/>
      <c r="B745" s="29"/>
      <c r="C745" s="29"/>
      <c r="D745" s="29"/>
      <c r="E745" s="29"/>
      <c r="F745" s="29"/>
      <c r="G745" s="29"/>
      <c r="H745" s="31">
        <f>IF(base!F745&lt;&gt;"",VLOOKUP(F745,de_para!$A$1:$B$31,2,0)*base!G745,0)</f>
        <v>0</v>
      </c>
      <c r="I745" s="38"/>
      <c r="J745" s="29"/>
      <c r="K745" s="31">
        <f>IF(base!I745&lt;&gt;"",VLOOKUP(I745,de_para!$A$1:$B$31,2,0)*base!J745,0)</f>
        <v>0</v>
      </c>
      <c r="L745" s="38"/>
      <c r="M745" s="29"/>
      <c r="N745" s="31">
        <f>IF(base!L745&lt;&gt;"",VLOOKUP(L745,de_para!$A$1:$B$31,2,0)*base!M745,0)</f>
        <v>0</v>
      </c>
      <c r="O745" s="38"/>
      <c r="P745" s="29"/>
      <c r="Q745" s="31">
        <f>IF(base!O745&lt;&gt;"",VLOOKUP(O745,de_para!$A$1:$B$31,2,0)*base!P745,0)</f>
        <v>0</v>
      </c>
      <c r="R745" s="38"/>
      <c r="S745" s="29"/>
      <c r="T745" s="31">
        <f>IF(base!R745&lt;&gt;"",VLOOKUP(R745,de_para!$A$1:$B$31,2,0)*base!S745,0)</f>
        <v>0</v>
      </c>
      <c r="U745" s="30">
        <f t="shared" si="12"/>
        <v>0</v>
      </c>
    </row>
    <row r="746" spans="1:21" x14ac:dyDescent="0.35">
      <c r="A746" s="29"/>
      <c r="B746" s="29"/>
      <c r="C746" s="29"/>
      <c r="D746" s="29"/>
      <c r="E746" s="29"/>
      <c r="F746" s="29"/>
      <c r="G746" s="29"/>
      <c r="H746" s="31">
        <f>IF(base!F746&lt;&gt;"",VLOOKUP(F746,de_para!$A$1:$B$31,2,0)*base!G746,0)</f>
        <v>0</v>
      </c>
      <c r="I746" s="38"/>
      <c r="J746" s="29"/>
      <c r="K746" s="31">
        <f>IF(base!I746&lt;&gt;"",VLOOKUP(I746,de_para!$A$1:$B$31,2,0)*base!J746,0)</f>
        <v>0</v>
      </c>
      <c r="L746" s="38"/>
      <c r="M746" s="29"/>
      <c r="N746" s="31">
        <f>IF(base!L746&lt;&gt;"",VLOOKUP(L746,de_para!$A$1:$B$31,2,0)*base!M746,0)</f>
        <v>0</v>
      </c>
      <c r="O746" s="38"/>
      <c r="P746" s="29"/>
      <c r="Q746" s="31">
        <f>IF(base!O746&lt;&gt;"",VLOOKUP(O746,de_para!$A$1:$B$31,2,0)*base!P746,0)</f>
        <v>0</v>
      </c>
      <c r="R746" s="38"/>
      <c r="S746" s="29"/>
      <c r="T746" s="31">
        <f>IF(base!R746&lt;&gt;"",VLOOKUP(R746,de_para!$A$1:$B$31,2,0)*base!S746,0)</f>
        <v>0</v>
      </c>
      <c r="U746" s="30">
        <f t="shared" si="12"/>
        <v>0</v>
      </c>
    </row>
    <row r="747" spans="1:21" x14ac:dyDescent="0.35">
      <c r="A747" s="29"/>
      <c r="B747" s="29"/>
      <c r="C747" s="29"/>
      <c r="D747" s="29"/>
      <c r="E747" s="29"/>
      <c r="F747" s="29"/>
      <c r="G747" s="29"/>
      <c r="H747" s="31">
        <f>IF(base!F747&lt;&gt;"",VLOOKUP(F747,de_para!$A$1:$B$31,2,0)*base!G747,0)</f>
        <v>0</v>
      </c>
      <c r="I747" s="38"/>
      <c r="J747" s="29"/>
      <c r="K747" s="31">
        <f>IF(base!I747&lt;&gt;"",VLOOKUP(I747,de_para!$A$1:$B$31,2,0)*base!J747,0)</f>
        <v>0</v>
      </c>
      <c r="L747" s="38"/>
      <c r="M747" s="29"/>
      <c r="N747" s="31">
        <f>IF(base!L747&lt;&gt;"",VLOOKUP(L747,de_para!$A$1:$B$31,2,0)*base!M747,0)</f>
        <v>0</v>
      </c>
      <c r="O747" s="38"/>
      <c r="P747" s="29"/>
      <c r="Q747" s="31">
        <f>IF(base!O747&lt;&gt;"",VLOOKUP(O747,de_para!$A$1:$B$31,2,0)*base!P747,0)</f>
        <v>0</v>
      </c>
      <c r="R747" s="38"/>
      <c r="S747" s="29"/>
      <c r="T747" s="31">
        <f>IF(base!R747&lt;&gt;"",VLOOKUP(R747,de_para!$A$1:$B$31,2,0)*base!S747,0)</f>
        <v>0</v>
      </c>
      <c r="U747" s="30">
        <f t="shared" si="12"/>
        <v>0</v>
      </c>
    </row>
    <row r="748" spans="1:21" x14ac:dyDescent="0.35">
      <c r="A748" s="29"/>
      <c r="B748" s="29"/>
      <c r="C748" s="29"/>
      <c r="D748" s="29"/>
      <c r="E748" s="29"/>
      <c r="F748" s="29"/>
      <c r="G748" s="29"/>
      <c r="H748" s="31">
        <f>IF(base!F748&lt;&gt;"",VLOOKUP(F748,de_para!$A$1:$B$31,2,0)*base!G748,0)</f>
        <v>0</v>
      </c>
      <c r="I748" s="38"/>
      <c r="J748" s="29"/>
      <c r="K748" s="31">
        <f>IF(base!I748&lt;&gt;"",VLOOKUP(I748,de_para!$A$1:$B$31,2,0)*base!J748,0)</f>
        <v>0</v>
      </c>
      <c r="L748" s="38"/>
      <c r="M748" s="29"/>
      <c r="N748" s="31">
        <f>IF(base!L748&lt;&gt;"",VLOOKUP(L748,de_para!$A$1:$B$31,2,0)*base!M748,0)</f>
        <v>0</v>
      </c>
      <c r="O748" s="38"/>
      <c r="P748" s="29"/>
      <c r="Q748" s="31">
        <f>IF(base!O748&lt;&gt;"",VLOOKUP(O748,de_para!$A$1:$B$31,2,0)*base!P748,0)</f>
        <v>0</v>
      </c>
      <c r="R748" s="38"/>
      <c r="S748" s="29"/>
      <c r="T748" s="31">
        <f>IF(base!R748&lt;&gt;"",VLOOKUP(R748,de_para!$A$1:$B$31,2,0)*base!S748,0)</f>
        <v>0</v>
      </c>
      <c r="U748" s="30">
        <f t="shared" si="12"/>
        <v>0</v>
      </c>
    </row>
    <row r="749" spans="1:21" x14ac:dyDescent="0.35">
      <c r="A749" s="29"/>
      <c r="B749" s="29"/>
      <c r="C749" s="29"/>
      <c r="D749" s="29"/>
      <c r="E749" s="29"/>
      <c r="F749" s="29"/>
      <c r="G749" s="29"/>
      <c r="H749" s="31">
        <f>IF(base!F749&lt;&gt;"",VLOOKUP(F749,de_para!$A$1:$B$31,2,0)*base!G749,0)</f>
        <v>0</v>
      </c>
      <c r="I749" s="38"/>
      <c r="J749" s="29"/>
      <c r="K749" s="31">
        <f>IF(base!I749&lt;&gt;"",VLOOKUP(I749,de_para!$A$1:$B$31,2,0)*base!J749,0)</f>
        <v>0</v>
      </c>
      <c r="L749" s="38"/>
      <c r="M749" s="29"/>
      <c r="N749" s="31">
        <f>IF(base!L749&lt;&gt;"",VLOOKUP(L749,de_para!$A$1:$B$31,2,0)*base!M749,0)</f>
        <v>0</v>
      </c>
      <c r="O749" s="38"/>
      <c r="P749" s="29"/>
      <c r="Q749" s="31">
        <f>IF(base!O749&lt;&gt;"",VLOOKUP(O749,de_para!$A$1:$B$31,2,0)*base!P749,0)</f>
        <v>0</v>
      </c>
      <c r="R749" s="38"/>
      <c r="S749" s="29"/>
      <c r="T749" s="31">
        <f>IF(base!R749&lt;&gt;"",VLOOKUP(R749,de_para!$A$1:$B$31,2,0)*base!S749,0)</f>
        <v>0</v>
      </c>
      <c r="U749" s="30">
        <f t="shared" si="12"/>
        <v>0</v>
      </c>
    </row>
    <row r="750" spans="1:21" x14ac:dyDescent="0.35">
      <c r="A750" s="29"/>
      <c r="B750" s="29"/>
      <c r="C750" s="29"/>
      <c r="D750" s="29"/>
      <c r="E750" s="29"/>
      <c r="F750" s="29"/>
      <c r="G750" s="29"/>
      <c r="H750" s="31">
        <f>IF(base!F750&lt;&gt;"",VLOOKUP(F750,de_para!$A$1:$B$31,2,0)*base!G750,0)</f>
        <v>0</v>
      </c>
      <c r="I750" s="38"/>
      <c r="J750" s="29"/>
      <c r="K750" s="31">
        <f>IF(base!I750&lt;&gt;"",VLOOKUP(I750,de_para!$A$1:$B$31,2,0)*base!J750,0)</f>
        <v>0</v>
      </c>
      <c r="L750" s="38"/>
      <c r="M750" s="29"/>
      <c r="N750" s="31">
        <f>IF(base!L750&lt;&gt;"",VLOOKUP(L750,de_para!$A$1:$B$31,2,0)*base!M750,0)</f>
        <v>0</v>
      </c>
      <c r="O750" s="38"/>
      <c r="P750" s="29"/>
      <c r="Q750" s="31">
        <f>IF(base!O750&lt;&gt;"",VLOOKUP(O750,de_para!$A$1:$B$31,2,0)*base!P750,0)</f>
        <v>0</v>
      </c>
      <c r="R750" s="38"/>
      <c r="S750" s="29"/>
      <c r="T750" s="31">
        <f>IF(base!R750&lt;&gt;"",VLOOKUP(R750,de_para!$A$1:$B$31,2,0)*base!S750,0)</f>
        <v>0</v>
      </c>
      <c r="U750" s="30">
        <f t="shared" si="12"/>
        <v>0</v>
      </c>
    </row>
    <row r="751" spans="1:21" x14ac:dyDescent="0.35">
      <c r="A751" s="29"/>
      <c r="B751" s="29"/>
      <c r="C751" s="29"/>
      <c r="D751" s="29"/>
      <c r="E751" s="29"/>
      <c r="F751" s="29"/>
      <c r="G751" s="29"/>
      <c r="H751" s="31">
        <f>IF(base!F751&lt;&gt;"",VLOOKUP(F751,de_para!$A$1:$B$31,2,0)*base!G751,0)</f>
        <v>0</v>
      </c>
      <c r="I751" s="38"/>
      <c r="J751" s="29"/>
      <c r="K751" s="31">
        <f>IF(base!I751&lt;&gt;"",VLOOKUP(I751,de_para!$A$1:$B$31,2,0)*base!J751,0)</f>
        <v>0</v>
      </c>
      <c r="L751" s="38"/>
      <c r="M751" s="29"/>
      <c r="N751" s="31">
        <f>IF(base!L751&lt;&gt;"",VLOOKUP(L751,de_para!$A$1:$B$31,2,0)*base!M751,0)</f>
        <v>0</v>
      </c>
      <c r="O751" s="38"/>
      <c r="P751" s="29"/>
      <c r="Q751" s="31">
        <f>IF(base!O751&lt;&gt;"",VLOOKUP(O751,de_para!$A$1:$B$31,2,0)*base!P751,0)</f>
        <v>0</v>
      </c>
      <c r="R751" s="38"/>
      <c r="S751" s="29"/>
      <c r="T751" s="31">
        <f>IF(base!R751&lt;&gt;"",VLOOKUP(R751,de_para!$A$1:$B$31,2,0)*base!S751,0)</f>
        <v>0</v>
      </c>
      <c r="U751" s="30">
        <f t="shared" si="12"/>
        <v>0</v>
      </c>
    </row>
    <row r="752" spans="1:21" x14ac:dyDescent="0.35">
      <c r="A752" s="29"/>
      <c r="B752" s="29"/>
      <c r="C752" s="29"/>
      <c r="D752" s="29"/>
      <c r="E752" s="29"/>
      <c r="F752" s="29"/>
      <c r="G752" s="29"/>
      <c r="H752" s="31">
        <f>IF(base!F752&lt;&gt;"",VLOOKUP(F752,de_para!$A$1:$B$31,2,0)*base!G752,0)</f>
        <v>0</v>
      </c>
      <c r="I752" s="38"/>
      <c r="J752" s="29"/>
      <c r="K752" s="31">
        <f>IF(base!I752&lt;&gt;"",VLOOKUP(I752,de_para!$A$1:$B$31,2,0)*base!J752,0)</f>
        <v>0</v>
      </c>
      <c r="L752" s="38"/>
      <c r="M752" s="29"/>
      <c r="N752" s="31">
        <f>IF(base!L752&lt;&gt;"",VLOOKUP(L752,de_para!$A$1:$B$31,2,0)*base!M752,0)</f>
        <v>0</v>
      </c>
      <c r="O752" s="38"/>
      <c r="P752" s="29"/>
      <c r="Q752" s="31">
        <f>IF(base!O752&lt;&gt;"",VLOOKUP(O752,de_para!$A$1:$B$31,2,0)*base!P752,0)</f>
        <v>0</v>
      </c>
      <c r="R752" s="38"/>
      <c r="S752" s="29"/>
      <c r="T752" s="31">
        <f>IF(base!R752&lt;&gt;"",VLOOKUP(R752,de_para!$A$1:$B$31,2,0)*base!S752,0)</f>
        <v>0</v>
      </c>
      <c r="U752" s="30">
        <f t="shared" si="12"/>
        <v>0</v>
      </c>
    </row>
    <row r="753" spans="1:21" x14ac:dyDescent="0.35">
      <c r="A753" s="29"/>
      <c r="B753" s="29"/>
      <c r="C753" s="29"/>
      <c r="D753" s="29"/>
      <c r="E753" s="29"/>
      <c r="F753" s="29"/>
      <c r="G753" s="29"/>
      <c r="H753" s="31">
        <f>IF(base!F753&lt;&gt;"",VLOOKUP(F753,de_para!$A$1:$B$31,2,0)*base!G753,0)</f>
        <v>0</v>
      </c>
      <c r="I753" s="38"/>
      <c r="J753" s="29"/>
      <c r="K753" s="31">
        <f>IF(base!I753&lt;&gt;"",VLOOKUP(I753,de_para!$A$1:$B$31,2,0)*base!J753,0)</f>
        <v>0</v>
      </c>
      <c r="L753" s="38"/>
      <c r="M753" s="29"/>
      <c r="N753" s="31">
        <f>IF(base!L753&lt;&gt;"",VLOOKUP(L753,de_para!$A$1:$B$31,2,0)*base!M753,0)</f>
        <v>0</v>
      </c>
      <c r="O753" s="38"/>
      <c r="P753" s="29"/>
      <c r="Q753" s="31">
        <f>IF(base!O753&lt;&gt;"",VLOOKUP(O753,de_para!$A$1:$B$31,2,0)*base!P753,0)</f>
        <v>0</v>
      </c>
      <c r="R753" s="38"/>
      <c r="S753" s="29"/>
      <c r="T753" s="31">
        <f>IF(base!R753&lt;&gt;"",VLOOKUP(R753,de_para!$A$1:$B$31,2,0)*base!S753,0)</f>
        <v>0</v>
      </c>
      <c r="U753" s="30">
        <f t="shared" si="12"/>
        <v>0</v>
      </c>
    </row>
    <row r="754" spans="1:21" x14ac:dyDescent="0.35">
      <c r="A754" s="29"/>
      <c r="B754" s="29"/>
      <c r="C754" s="29"/>
      <c r="D754" s="29"/>
      <c r="E754" s="29"/>
      <c r="F754" s="29"/>
      <c r="G754" s="29"/>
      <c r="H754" s="31">
        <f>IF(base!F754&lt;&gt;"",VLOOKUP(F754,de_para!$A$1:$B$31,2,0)*base!G754,0)</f>
        <v>0</v>
      </c>
      <c r="I754" s="38"/>
      <c r="J754" s="29"/>
      <c r="K754" s="31">
        <f>IF(base!I754&lt;&gt;"",VLOOKUP(I754,de_para!$A$1:$B$31,2,0)*base!J754,0)</f>
        <v>0</v>
      </c>
      <c r="L754" s="38"/>
      <c r="M754" s="29"/>
      <c r="N754" s="31">
        <f>IF(base!L754&lt;&gt;"",VLOOKUP(L754,de_para!$A$1:$B$31,2,0)*base!M754,0)</f>
        <v>0</v>
      </c>
      <c r="O754" s="38"/>
      <c r="P754" s="29"/>
      <c r="Q754" s="31">
        <f>IF(base!O754&lt;&gt;"",VLOOKUP(O754,de_para!$A$1:$B$31,2,0)*base!P754,0)</f>
        <v>0</v>
      </c>
      <c r="R754" s="38"/>
      <c r="S754" s="29"/>
      <c r="T754" s="31">
        <f>IF(base!R754&lt;&gt;"",VLOOKUP(R754,de_para!$A$1:$B$31,2,0)*base!S754,0)</f>
        <v>0</v>
      </c>
      <c r="U754" s="30">
        <f t="shared" si="12"/>
        <v>0</v>
      </c>
    </row>
    <row r="755" spans="1:21" x14ac:dyDescent="0.35">
      <c r="A755" s="29"/>
      <c r="B755" s="29"/>
      <c r="C755" s="29"/>
      <c r="D755" s="29"/>
      <c r="E755" s="29"/>
      <c r="F755" s="29"/>
      <c r="G755" s="29"/>
      <c r="H755" s="31">
        <f>IF(base!F755&lt;&gt;"",VLOOKUP(F755,de_para!$A$1:$B$31,2,0)*base!G755,0)</f>
        <v>0</v>
      </c>
      <c r="I755" s="38"/>
      <c r="J755" s="29"/>
      <c r="K755" s="31">
        <f>IF(base!I755&lt;&gt;"",VLOOKUP(I755,de_para!$A$1:$B$31,2,0)*base!J755,0)</f>
        <v>0</v>
      </c>
      <c r="L755" s="38"/>
      <c r="M755" s="29"/>
      <c r="N755" s="31">
        <f>IF(base!L755&lt;&gt;"",VLOOKUP(L755,de_para!$A$1:$B$31,2,0)*base!M755,0)</f>
        <v>0</v>
      </c>
      <c r="O755" s="38"/>
      <c r="P755" s="29"/>
      <c r="Q755" s="31">
        <f>IF(base!O755&lt;&gt;"",VLOOKUP(O755,de_para!$A$1:$B$31,2,0)*base!P755,0)</f>
        <v>0</v>
      </c>
      <c r="R755" s="38"/>
      <c r="S755" s="29"/>
      <c r="T755" s="31">
        <f>IF(base!R755&lt;&gt;"",VLOOKUP(R755,de_para!$A$1:$B$31,2,0)*base!S755,0)</f>
        <v>0</v>
      </c>
      <c r="U755" s="30">
        <f t="shared" si="12"/>
        <v>0</v>
      </c>
    </row>
    <row r="756" spans="1:21" x14ac:dyDescent="0.35">
      <c r="A756" s="29"/>
      <c r="B756" s="29"/>
      <c r="C756" s="29"/>
      <c r="D756" s="29"/>
      <c r="E756" s="29"/>
      <c r="F756" s="29"/>
      <c r="G756" s="29"/>
      <c r="H756" s="31">
        <f>IF(base!F756&lt;&gt;"",VLOOKUP(F756,de_para!$A$1:$B$31,2,0)*base!G756,0)</f>
        <v>0</v>
      </c>
      <c r="I756" s="38"/>
      <c r="J756" s="29"/>
      <c r="K756" s="31">
        <f>IF(base!I756&lt;&gt;"",VLOOKUP(I756,de_para!$A$1:$B$31,2,0)*base!J756,0)</f>
        <v>0</v>
      </c>
      <c r="L756" s="38"/>
      <c r="M756" s="29"/>
      <c r="N756" s="31">
        <f>IF(base!L756&lt;&gt;"",VLOOKUP(L756,de_para!$A$1:$B$31,2,0)*base!M756,0)</f>
        <v>0</v>
      </c>
      <c r="O756" s="38"/>
      <c r="P756" s="29"/>
      <c r="Q756" s="31">
        <f>IF(base!O756&lt;&gt;"",VLOOKUP(O756,de_para!$A$1:$B$31,2,0)*base!P756,0)</f>
        <v>0</v>
      </c>
      <c r="R756" s="38"/>
      <c r="S756" s="29"/>
      <c r="T756" s="31">
        <f>IF(base!R756&lt;&gt;"",VLOOKUP(R756,de_para!$A$1:$B$31,2,0)*base!S756,0)</f>
        <v>0</v>
      </c>
      <c r="U756" s="30">
        <f t="shared" si="12"/>
        <v>0</v>
      </c>
    </row>
    <row r="757" spans="1:21" x14ac:dyDescent="0.35">
      <c r="A757" s="29"/>
      <c r="B757" s="29"/>
      <c r="C757" s="29"/>
      <c r="D757" s="29"/>
      <c r="E757" s="29"/>
      <c r="F757" s="29"/>
      <c r="G757" s="29"/>
      <c r="H757" s="31">
        <f>IF(base!F757&lt;&gt;"",VLOOKUP(F757,de_para!$A$1:$B$31,2,0)*base!G757,0)</f>
        <v>0</v>
      </c>
      <c r="I757" s="38"/>
      <c r="J757" s="29"/>
      <c r="K757" s="31">
        <f>IF(base!I757&lt;&gt;"",VLOOKUP(I757,de_para!$A$1:$B$31,2,0)*base!J757,0)</f>
        <v>0</v>
      </c>
      <c r="L757" s="38"/>
      <c r="M757" s="29"/>
      <c r="N757" s="31">
        <f>IF(base!L757&lt;&gt;"",VLOOKUP(L757,de_para!$A$1:$B$31,2,0)*base!M757,0)</f>
        <v>0</v>
      </c>
      <c r="O757" s="38"/>
      <c r="P757" s="29"/>
      <c r="Q757" s="31">
        <f>IF(base!O757&lt;&gt;"",VLOOKUP(O757,de_para!$A$1:$B$31,2,0)*base!P757,0)</f>
        <v>0</v>
      </c>
      <c r="R757" s="38"/>
      <c r="S757" s="29"/>
      <c r="T757" s="31">
        <f>IF(base!R757&lt;&gt;"",VLOOKUP(R757,de_para!$A$1:$B$31,2,0)*base!S757,0)</f>
        <v>0</v>
      </c>
      <c r="U757" s="30">
        <f t="shared" si="12"/>
        <v>0</v>
      </c>
    </row>
    <row r="758" spans="1:21" x14ac:dyDescent="0.35">
      <c r="A758" s="29"/>
      <c r="B758" s="29"/>
      <c r="C758" s="29"/>
      <c r="D758" s="29"/>
      <c r="E758" s="29"/>
      <c r="F758" s="29"/>
      <c r="G758" s="29"/>
      <c r="H758" s="31">
        <f>IF(base!F758&lt;&gt;"",VLOOKUP(F758,de_para!$A$1:$B$31,2,0)*base!G758,0)</f>
        <v>0</v>
      </c>
      <c r="I758" s="38"/>
      <c r="J758" s="29"/>
      <c r="K758" s="31">
        <f>IF(base!I758&lt;&gt;"",VLOOKUP(I758,de_para!$A$1:$B$31,2,0)*base!J758,0)</f>
        <v>0</v>
      </c>
      <c r="L758" s="38"/>
      <c r="M758" s="29"/>
      <c r="N758" s="31">
        <f>IF(base!L758&lt;&gt;"",VLOOKUP(L758,de_para!$A$1:$B$31,2,0)*base!M758,0)</f>
        <v>0</v>
      </c>
      <c r="O758" s="38"/>
      <c r="P758" s="29"/>
      <c r="Q758" s="31">
        <f>IF(base!O758&lt;&gt;"",VLOOKUP(O758,de_para!$A$1:$B$31,2,0)*base!P758,0)</f>
        <v>0</v>
      </c>
      <c r="R758" s="38"/>
      <c r="S758" s="29"/>
      <c r="T758" s="31">
        <f>IF(base!R758&lt;&gt;"",VLOOKUP(R758,de_para!$A$1:$B$31,2,0)*base!S758,0)</f>
        <v>0</v>
      </c>
      <c r="U758" s="30">
        <f t="shared" si="12"/>
        <v>0</v>
      </c>
    </row>
    <row r="759" spans="1:21" x14ac:dyDescent="0.35">
      <c r="A759" s="29"/>
      <c r="B759" s="29"/>
      <c r="C759" s="29"/>
      <c r="D759" s="29"/>
      <c r="E759" s="29"/>
      <c r="F759" s="29"/>
      <c r="G759" s="29"/>
      <c r="H759" s="31">
        <f>IF(base!F759&lt;&gt;"",VLOOKUP(F759,de_para!$A$1:$B$31,2,0)*base!G759,0)</f>
        <v>0</v>
      </c>
      <c r="I759" s="38"/>
      <c r="J759" s="29"/>
      <c r="K759" s="31">
        <f>IF(base!I759&lt;&gt;"",VLOOKUP(I759,de_para!$A$1:$B$31,2,0)*base!J759,0)</f>
        <v>0</v>
      </c>
      <c r="L759" s="38"/>
      <c r="M759" s="29"/>
      <c r="N759" s="31">
        <f>IF(base!L759&lt;&gt;"",VLOOKUP(L759,de_para!$A$1:$B$31,2,0)*base!M759,0)</f>
        <v>0</v>
      </c>
      <c r="O759" s="38"/>
      <c r="P759" s="29"/>
      <c r="Q759" s="31">
        <f>IF(base!O759&lt;&gt;"",VLOOKUP(O759,de_para!$A$1:$B$31,2,0)*base!P759,0)</f>
        <v>0</v>
      </c>
      <c r="R759" s="38"/>
      <c r="S759" s="29"/>
      <c r="T759" s="31">
        <f>IF(base!R759&lt;&gt;"",VLOOKUP(R759,de_para!$A$1:$B$31,2,0)*base!S759,0)</f>
        <v>0</v>
      </c>
      <c r="U759" s="30">
        <f t="shared" ref="U759:U822" si="13">H759+K759+N759+Q759+T759</f>
        <v>0</v>
      </c>
    </row>
    <row r="760" spans="1:21" x14ac:dyDescent="0.35">
      <c r="A760" s="29"/>
      <c r="B760" s="29"/>
      <c r="C760" s="29"/>
      <c r="D760" s="29"/>
      <c r="E760" s="29"/>
      <c r="F760" s="29"/>
      <c r="G760" s="29"/>
      <c r="H760" s="31">
        <f>IF(base!F760&lt;&gt;"",VLOOKUP(F760,de_para!$A$1:$B$31,2,0)*base!G760,0)</f>
        <v>0</v>
      </c>
      <c r="I760" s="38"/>
      <c r="J760" s="29"/>
      <c r="K760" s="31">
        <f>IF(base!I760&lt;&gt;"",VLOOKUP(I760,de_para!$A$1:$B$31,2,0)*base!J760,0)</f>
        <v>0</v>
      </c>
      <c r="L760" s="38"/>
      <c r="M760" s="29"/>
      <c r="N760" s="31">
        <f>IF(base!L760&lt;&gt;"",VLOOKUP(L760,de_para!$A$1:$B$31,2,0)*base!M760,0)</f>
        <v>0</v>
      </c>
      <c r="O760" s="38"/>
      <c r="P760" s="29"/>
      <c r="Q760" s="31">
        <f>IF(base!O760&lt;&gt;"",VLOOKUP(O760,de_para!$A$1:$B$31,2,0)*base!P760,0)</f>
        <v>0</v>
      </c>
      <c r="R760" s="38"/>
      <c r="S760" s="29"/>
      <c r="T760" s="31">
        <f>IF(base!R760&lt;&gt;"",VLOOKUP(R760,de_para!$A$1:$B$31,2,0)*base!S760,0)</f>
        <v>0</v>
      </c>
      <c r="U760" s="30">
        <f t="shared" si="13"/>
        <v>0</v>
      </c>
    </row>
    <row r="761" spans="1:21" x14ac:dyDescent="0.35">
      <c r="A761" s="29"/>
      <c r="B761" s="29"/>
      <c r="C761" s="29"/>
      <c r="D761" s="29"/>
      <c r="E761" s="29"/>
      <c r="F761" s="29"/>
      <c r="G761" s="29"/>
      <c r="H761" s="31">
        <f>IF(base!F761&lt;&gt;"",VLOOKUP(F761,de_para!$A$1:$B$31,2,0)*base!G761,0)</f>
        <v>0</v>
      </c>
      <c r="I761" s="38"/>
      <c r="J761" s="29"/>
      <c r="K761" s="31">
        <f>IF(base!I761&lt;&gt;"",VLOOKUP(I761,de_para!$A$1:$B$31,2,0)*base!J761,0)</f>
        <v>0</v>
      </c>
      <c r="L761" s="38"/>
      <c r="M761" s="29"/>
      <c r="N761" s="31">
        <f>IF(base!L761&lt;&gt;"",VLOOKUP(L761,de_para!$A$1:$B$31,2,0)*base!M761,0)</f>
        <v>0</v>
      </c>
      <c r="O761" s="38"/>
      <c r="P761" s="29"/>
      <c r="Q761" s="31">
        <f>IF(base!O761&lt;&gt;"",VLOOKUP(O761,de_para!$A$1:$B$31,2,0)*base!P761,0)</f>
        <v>0</v>
      </c>
      <c r="R761" s="38"/>
      <c r="S761" s="29"/>
      <c r="T761" s="31">
        <f>IF(base!R761&lt;&gt;"",VLOOKUP(R761,de_para!$A$1:$B$31,2,0)*base!S761,0)</f>
        <v>0</v>
      </c>
      <c r="U761" s="30">
        <f t="shared" si="13"/>
        <v>0</v>
      </c>
    </row>
    <row r="762" spans="1:21" x14ac:dyDescent="0.35">
      <c r="A762" s="29"/>
      <c r="B762" s="29"/>
      <c r="C762" s="29"/>
      <c r="D762" s="29"/>
      <c r="E762" s="29"/>
      <c r="F762" s="29"/>
      <c r="G762" s="29"/>
      <c r="H762" s="31">
        <f>IF(base!F762&lt;&gt;"",VLOOKUP(F762,de_para!$A$1:$B$31,2,0)*base!G762,0)</f>
        <v>0</v>
      </c>
      <c r="I762" s="38"/>
      <c r="J762" s="29"/>
      <c r="K762" s="31">
        <f>IF(base!I762&lt;&gt;"",VLOOKUP(I762,de_para!$A$1:$B$31,2,0)*base!J762,0)</f>
        <v>0</v>
      </c>
      <c r="L762" s="38"/>
      <c r="M762" s="29"/>
      <c r="N762" s="31">
        <f>IF(base!L762&lt;&gt;"",VLOOKUP(L762,de_para!$A$1:$B$31,2,0)*base!M762,0)</f>
        <v>0</v>
      </c>
      <c r="O762" s="38"/>
      <c r="P762" s="29"/>
      <c r="Q762" s="31">
        <f>IF(base!O762&lt;&gt;"",VLOOKUP(O762,de_para!$A$1:$B$31,2,0)*base!P762,0)</f>
        <v>0</v>
      </c>
      <c r="R762" s="38"/>
      <c r="S762" s="29"/>
      <c r="T762" s="31">
        <f>IF(base!R762&lt;&gt;"",VLOOKUP(R762,de_para!$A$1:$B$31,2,0)*base!S762,0)</f>
        <v>0</v>
      </c>
      <c r="U762" s="30">
        <f t="shared" si="13"/>
        <v>0</v>
      </c>
    </row>
    <row r="763" spans="1:21" x14ac:dyDescent="0.35">
      <c r="A763" s="29"/>
      <c r="B763" s="29"/>
      <c r="C763" s="29"/>
      <c r="D763" s="29"/>
      <c r="E763" s="29"/>
      <c r="F763" s="29"/>
      <c r="G763" s="29"/>
      <c r="H763" s="31">
        <f>IF(base!F763&lt;&gt;"",VLOOKUP(F763,de_para!$A$1:$B$31,2,0)*base!G763,0)</f>
        <v>0</v>
      </c>
      <c r="I763" s="38"/>
      <c r="J763" s="29"/>
      <c r="K763" s="31">
        <f>IF(base!I763&lt;&gt;"",VLOOKUP(I763,de_para!$A$1:$B$31,2,0)*base!J763,0)</f>
        <v>0</v>
      </c>
      <c r="L763" s="38"/>
      <c r="M763" s="29"/>
      <c r="N763" s="31">
        <f>IF(base!L763&lt;&gt;"",VLOOKUP(L763,de_para!$A$1:$B$31,2,0)*base!M763,0)</f>
        <v>0</v>
      </c>
      <c r="O763" s="38"/>
      <c r="P763" s="29"/>
      <c r="Q763" s="31">
        <f>IF(base!O763&lt;&gt;"",VLOOKUP(O763,de_para!$A$1:$B$31,2,0)*base!P763,0)</f>
        <v>0</v>
      </c>
      <c r="R763" s="38"/>
      <c r="S763" s="29"/>
      <c r="T763" s="31">
        <f>IF(base!R763&lt;&gt;"",VLOOKUP(R763,de_para!$A$1:$B$31,2,0)*base!S763,0)</f>
        <v>0</v>
      </c>
      <c r="U763" s="30">
        <f t="shared" si="13"/>
        <v>0</v>
      </c>
    </row>
    <row r="764" spans="1:21" x14ac:dyDescent="0.35">
      <c r="A764" s="29"/>
      <c r="B764" s="29"/>
      <c r="C764" s="29"/>
      <c r="D764" s="29"/>
      <c r="E764" s="29"/>
      <c r="F764" s="29"/>
      <c r="G764" s="29"/>
      <c r="H764" s="31">
        <f>IF(base!F764&lt;&gt;"",VLOOKUP(F764,de_para!$A$1:$B$31,2,0)*base!G764,0)</f>
        <v>0</v>
      </c>
      <c r="I764" s="38"/>
      <c r="J764" s="29"/>
      <c r="K764" s="31">
        <f>IF(base!I764&lt;&gt;"",VLOOKUP(I764,de_para!$A$1:$B$31,2,0)*base!J764,0)</f>
        <v>0</v>
      </c>
      <c r="L764" s="38"/>
      <c r="M764" s="29"/>
      <c r="N764" s="31">
        <f>IF(base!L764&lt;&gt;"",VLOOKUP(L764,de_para!$A$1:$B$31,2,0)*base!M764,0)</f>
        <v>0</v>
      </c>
      <c r="O764" s="38"/>
      <c r="P764" s="29"/>
      <c r="Q764" s="31">
        <f>IF(base!O764&lt;&gt;"",VLOOKUP(O764,de_para!$A$1:$B$31,2,0)*base!P764,0)</f>
        <v>0</v>
      </c>
      <c r="R764" s="38"/>
      <c r="S764" s="29"/>
      <c r="T764" s="31">
        <f>IF(base!R764&lt;&gt;"",VLOOKUP(R764,de_para!$A$1:$B$31,2,0)*base!S764,0)</f>
        <v>0</v>
      </c>
      <c r="U764" s="30">
        <f t="shared" si="13"/>
        <v>0</v>
      </c>
    </row>
    <row r="765" spans="1:21" x14ac:dyDescent="0.35">
      <c r="A765" s="29"/>
      <c r="B765" s="29"/>
      <c r="C765" s="29"/>
      <c r="D765" s="29"/>
      <c r="E765" s="29"/>
      <c r="F765" s="29"/>
      <c r="G765" s="29"/>
      <c r="H765" s="31">
        <f>IF(base!F765&lt;&gt;"",VLOOKUP(F765,de_para!$A$1:$B$31,2,0)*base!G765,0)</f>
        <v>0</v>
      </c>
      <c r="I765" s="38"/>
      <c r="J765" s="29"/>
      <c r="K765" s="31">
        <f>IF(base!I765&lt;&gt;"",VLOOKUP(I765,de_para!$A$1:$B$31,2,0)*base!J765,0)</f>
        <v>0</v>
      </c>
      <c r="L765" s="38"/>
      <c r="M765" s="29"/>
      <c r="N765" s="31">
        <f>IF(base!L765&lt;&gt;"",VLOOKUP(L765,de_para!$A$1:$B$31,2,0)*base!M765,0)</f>
        <v>0</v>
      </c>
      <c r="O765" s="38"/>
      <c r="P765" s="29"/>
      <c r="Q765" s="31">
        <f>IF(base!O765&lt;&gt;"",VLOOKUP(O765,de_para!$A$1:$B$31,2,0)*base!P765,0)</f>
        <v>0</v>
      </c>
      <c r="R765" s="38"/>
      <c r="S765" s="29"/>
      <c r="T765" s="31">
        <f>IF(base!R765&lt;&gt;"",VLOOKUP(R765,de_para!$A$1:$B$31,2,0)*base!S765,0)</f>
        <v>0</v>
      </c>
      <c r="U765" s="30">
        <f t="shared" si="13"/>
        <v>0</v>
      </c>
    </row>
    <row r="766" spans="1:21" x14ac:dyDescent="0.35">
      <c r="A766" s="29"/>
      <c r="B766" s="29"/>
      <c r="C766" s="29"/>
      <c r="D766" s="29"/>
      <c r="E766" s="29"/>
      <c r="F766" s="29"/>
      <c r="G766" s="29"/>
      <c r="H766" s="31">
        <f>IF(base!F766&lt;&gt;"",VLOOKUP(F766,de_para!$A$1:$B$31,2,0)*base!G766,0)</f>
        <v>0</v>
      </c>
      <c r="I766" s="38"/>
      <c r="J766" s="29"/>
      <c r="K766" s="31">
        <f>IF(base!I766&lt;&gt;"",VLOOKUP(I766,de_para!$A$1:$B$31,2,0)*base!J766,0)</f>
        <v>0</v>
      </c>
      <c r="L766" s="38"/>
      <c r="M766" s="29"/>
      <c r="N766" s="31">
        <f>IF(base!L766&lt;&gt;"",VLOOKUP(L766,de_para!$A$1:$B$31,2,0)*base!M766,0)</f>
        <v>0</v>
      </c>
      <c r="O766" s="38"/>
      <c r="P766" s="29"/>
      <c r="Q766" s="31">
        <f>IF(base!O766&lt;&gt;"",VLOOKUP(O766,de_para!$A$1:$B$31,2,0)*base!P766,0)</f>
        <v>0</v>
      </c>
      <c r="R766" s="38"/>
      <c r="S766" s="29"/>
      <c r="T766" s="31">
        <f>IF(base!R766&lt;&gt;"",VLOOKUP(R766,de_para!$A$1:$B$31,2,0)*base!S766,0)</f>
        <v>0</v>
      </c>
      <c r="U766" s="30">
        <f t="shared" si="13"/>
        <v>0</v>
      </c>
    </row>
    <row r="767" spans="1:21" x14ac:dyDescent="0.35">
      <c r="A767" s="29"/>
      <c r="B767" s="29"/>
      <c r="C767" s="29"/>
      <c r="D767" s="29"/>
      <c r="E767" s="29"/>
      <c r="F767" s="29"/>
      <c r="G767" s="29"/>
      <c r="H767" s="31">
        <f>IF(base!F767&lt;&gt;"",VLOOKUP(F767,de_para!$A$1:$B$31,2,0)*base!G767,0)</f>
        <v>0</v>
      </c>
      <c r="I767" s="38"/>
      <c r="J767" s="29"/>
      <c r="K767" s="31">
        <f>IF(base!I767&lt;&gt;"",VLOOKUP(I767,de_para!$A$1:$B$31,2,0)*base!J767,0)</f>
        <v>0</v>
      </c>
      <c r="L767" s="38"/>
      <c r="M767" s="29"/>
      <c r="N767" s="31">
        <f>IF(base!L767&lt;&gt;"",VLOOKUP(L767,de_para!$A$1:$B$31,2,0)*base!M767,0)</f>
        <v>0</v>
      </c>
      <c r="O767" s="38"/>
      <c r="P767" s="29"/>
      <c r="Q767" s="31">
        <f>IF(base!O767&lt;&gt;"",VLOOKUP(O767,de_para!$A$1:$B$31,2,0)*base!P767,0)</f>
        <v>0</v>
      </c>
      <c r="R767" s="38"/>
      <c r="S767" s="29"/>
      <c r="T767" s="31">
        <f>IF(base!R767&lt;&gt;"",VLOOKUP(R767,de_para!$A$1:$B$31,2,0)*base!S767,0)</f>
        <v>0</v>
      </c>
      <c r="U767" s="30">
        <f t="shared" si="13"/>
        <v>0</v>
      </c>
    </row>
    <row r="768" spans="1:21" x14ac:dyDescent="0.35">
      <c r="A768" s="29"/>
      <c r="B768" s="29"/>
      <c r="C768" s="29"/>
      <c r="D768" s="29"/>
      <c r="E768" s="29"/>
      <c r="F768" s="29"/>
      <c r="G768" s="29"/>
      <c r="H768" s="31">
        <f>IF(base!F768&lt;&gt;"",VLOOKUP(F768,de_para!$A$1:$B$31,2,0)*base!G768,0)</f>
        <v>0</v>
      </c>
      <c r="I768" s="38"/>
      <c r="J768" s="29"/>
      <c r="K768" s="31">
        <f>IF(base!I768&lt;&gt;"",VLOOKUP(I768,de_para!$A$1:$B$31,2,0)*base!J768,0)</f>
        <v>0</v>
      </c>
      <c r="L768" s="38"/>
      <c r="M768" s="29"/>
      <c r="N768" s="31">
        <f>IF(base!L768&lt;&gt;"",VLOOKUP(L768,de_para!$A$1:$B$31,2,0)*base!M768,0)</f>
        <v>0</v>
      </c>
      <c r="O768" s="38"/>
      <c r="P768" s="29"/>
      <c r="Q768" s="31">
        <f>IF(base!O768&lt;&gt;"",VLOOKUP(O768,de_para!$A$1:$B$31,2,0)*base!P768,0)</f>
        <v>0</v>
      </c>
      <c r="R768" s="38"/>
      <c r="S768" s="29"/>
      <c r="T768" s="31">
        <f>IF(base!R768&lt;&gt;"",VLOOKUP(R768,de_para!$A$1:$B$31,2,0)*base!S768,0)</f>
        <v>0</v>
      </c>
      <c r="U768" s="30">
        <f t="shared" si="13"/>
        <v>0</v>
      </c>
    </row>
    <row r="769" spans="1:21" x14ac:dyDescent="0.35">
      <c r="A769" s="29"/>
      <c r="B769" s="29"/>
      <c r="C769" s="29"/>
      <c r="D769" s="29"/>
      <c r="E769" s="29"/>
      <c r="F769" s="29"/>
      <c r="G769" s="29"/>
      <c r="H769" s="31">
        <f>IF(base!F769&lt;&gt;"",VLOOKUP(F769,de_para!$A$1:$B$31,2,0)*base!G769,0)</f>
        <v>0</v>
      </c>
      <c r="I769" s="38"/>
      <c r="J769" s="29"/>
      <c r="K769" s="31">
        <f>IF(base!I769&lt;&gt;"",VLOOKUP(I769,de_para!$A$1:$B$31,2,0)*base!J769,0)</f>
        <v>0</v>
      </c>
      <c r="L769" s="38"/>
      <c r="M769" s="29"/>
      <c r="N769" s="31">
        <f>IF(base!L769&lt;&gt;"",VLOOKUP(L769,de_para!$A$1:$B$31,2,0)*base!M769,0)</f>
        <v>0</v>
      </c>
      <c r="O769" s="38"/>
      <c r="P769" s="29"/>
      <c r="Q769" s="31">
        <f>IF(base!O769&lt;&gt;"",VLOOKUP(O769,de_para!$A$1:$B$31,2,0)*base!P769,0)</f>
        <v>0</v>
      </c>
      <c r="R769" s="38"/>
      <c r="S769" s="29"/>
      <c r="T769" s="31">
        <f>IF(base!R769&lt;&gt;"",VLOOKUP(R769,de_para!$A$1:$B$31,2,0)*base!S769,0)</f>
        <v>0</v>
      </c>
      <c r="U769" s="30">
        <f t="shared" si="13"/>
        <v>0</v>
      </c>
    </row>
    <row r="770" spans="1:21" x14ac:dyDescent="0.35">
      <c r="A770" s="29"/>
      <c r="B770" s="29"/>
      <c r="C770" s="29"/>
      <c r="D770" s="29"/>
      <c r="E770" s="29"/>
      <c r="F770" s="29"/>
      <c r="G770" s="29"/>
      <c r="H770" s="31">
        <f>IF(base!F770&lt;&gt;"",VLOOKUP(F770,de_para!$A$1:$B$31,2,0)*base!G770,0)</f>
        <v>0</v>
      </c>
      <c r="I770" s="38"/>
      <c r="J770" s="29"/>
      <c r="K770" s="31">
        <f>IF(base!I770&lt;&gt;"",VLOOKUP(I770,de_para!$A$1:$B$31,2,0)*base!J770,0)</f>
        <v>0</v>
      </c>
      <c r="L770" s="38"/>
      <c r="M770" s="29"/>
      <c r="N770" s="31">
        <f>IF(base!L770&lt;&gt;"",VLOOKUP(L770,de_para!$A$1:$B$31,2,0)*base!M770,0)</f>
        <v>0</v>
      </c>
      <c r="O770" s="38"/>
      <c r="P770" s="29"/>
      <c r="Q770" s="31">
        <f>IF(base!O770&lt;&gt;"",VLOOKUP(O770,de_para!$A$1:$B$31,2,0)*base!P770,0)</f>
        <v>0</v>
      </c>
      <c r="R770" s="38"/>
      <c r="S770" s="29"/>
      <c r="T770" s="31">
        <f>IF(base!R770&lt;&gt;"",VLOOKUP(R770,de_para!$A$1:$B$31,2,0)*base!S770,0)</f>
        <v>0</v>
      </c>
      <c r="U770" s="30">
        <f t="shared" si="13"/>
        <v>0</v>
      </c>
    </row>
    <row r="771" spans="1:21" x14ac:dyDescent="0.35">
      <c r="A771" s="29"/>
      <c r="B771" s="29"/>
      <c r="C771" s="29"/>
      <c r="D771" s="29"/>
      <c r="E771" s="29"/>
      <c r="F771" s="29"/>
      <c r="G771" s="29"/>
      <c r="H771" s="31">
        <f>IF(base!F771&lt;&gt;"",VLOOKUP(F771,de_para!$A$1:$B$31,2,0)*base!G771,0)</f>
        <v>0</v>
      </c>
      <c r="I771" s="38"/>
      <c r="J771" s="29"/>
      <c r="K771" s="31">
        <f>IF(base!I771&lt;&gt;"",VLOOKUP(I771,de_para!$A$1:$B$31,2,0)*base!J771,0)</f>
        <v>0</v>
      </c>
      <c r="L771" s="38"/>
      <c r="M771" s="29"/>
      <c r="N771" s="31">
        <f>IF(base!L771&lt;&gt;"",VLOOKUP(L771,de_para!$A$1:$B$31,2,0)*base!M771,0)</f>
        <v>0</v>
      </c>
      <c r="O771" s="38"/>
      <c r="P771" s="29"/>
      <c r="Q771" s="31">
        <f>IF(base!O771&lt;&gt;"",VLOOKUP(O771,de_para!$A$1:$B$31,2,0)*base!P771,0)</f>
        <v>0</v>
      </c>
      <c r="R771" s="38"/>
      <c r="S771" s="29"/>
      <c r="T771" s="31">
        <f>IF(base!R771&lt;&gt;"",VLOOKUP(R771,de_para!$A$1:$B$31,2,0)*base!S771,0)</f>
        <v>0</v>
      </c>
      <c r="U771" s="30">
        <f t="shared" si="13"/>
        <v>0</v>
      </c>
    </row>
    <row r="772" spans="1:21" x14ac:dyDescent="0.35">
      <c r="A772" s="29"/>
      <c r="B772" s="29"/>
      <c r="C772" s="29"/>
      <c r="D772" s="29"/>
      <c r="E772" s="29"/>
      <c r="F772" s="29"/>
      <c r="G772" s="29"/>
      <c r="H772" s="31">
        <f>IF(base!F772&lt;&gt;"",VLOOKUP(F772,de_para!$A$1:$B$31,2,0)*base!G772,0)</f>
        <v>0</v>
      </c>
      <c r="I772" s="38"/>
      <c r="J772" s="29"/>
      <c r="K772" s="31">
        <f>IF(base!I772&lt;&gt;"",VLOOKUP(I772,de_para!$A$1:$B$31,2,0)*base!J772,0)</f>
        <v>0</v>
      </c>
      <c r="L772" s="38"/>
      <c r="M772" s="29"/>
      <c r="N772" s="31">
        <f>IF(base!L772&lt;&gt;"",VLOOKUP(L772,de_para!$A$1:$B$31,2,0)*base!M772,0)</f>
        <v>0</v>
      </c>
      <c r="O772" s="38"/>
      <c r="P772" s="29"/>
      <c r="Q772" s="31">
        <f>IF(base!O772&lt;&gt;"",VLOOKUP(O772,de_para!$A$1:$B$31,2,0)*base!P772,0)</f>
        <v>0</v>
      </c>
      <c r="R772" s="38"/>
      <c r="S772" s="29"/>
      <c r="T772" s="31">
        <f>IF(base!R772&lt;&gt;"",VLOOKUP(R772,de_para!$A$1:$B$31,2,0)*base!S772,0)</f>
        <v>0</v>
      </c>
      <c r="U772" s="30">
        <f t="shared" si="13"/>
        <v>0</v>
      </c>
    </row>
    <row r="773" spans="1:21" x14ac:dyDescent="0.35">
      <c r="A773" s="29"/>
      <c r="B773" s="29"/>
      <c r="C773" s="29"/>
      <c r="D773" s="29"/>
      <c r="E773" s="29"/>
      <c r="F773" s="29"/>
      <c r="G773" s="29"/>
      <c r="H773" s="31">
        <f>IF(base!F773&lt;&gt;"",VLOOKUP(F773,de_para!$A$1:$B$31,2,0)*base!G773,0)</f>
        <v>0</v>
      </c>
      <c r="I773" s="38"/>
      <c r="J773" s="29"/>
      <c r="K773" s="31">
        <f>IF(base!I773&lt;&gt;"",VLOOKUP(I773,de_para!$A$1:$B$31,2,0)*base!J773,0)</f>
        <v>0</v>
      </c>
      <c r="L773" s="38"/>
      <c r="M773" s="29"/>
      <c r="N773" s="31">
        <f>IF(base!L773&lt;&gt;"",VLOOKUP(L773,de_para!$A$1:$B$31,2,0)*base!M773,0)</f>
        <v>0</v>
      </c>
      <c r="O773" s="38"/>
      <c r="P773" s="29"/>
      <c r="Q773" s="31">
        <f>IF(base!O773&lt;&gt;"",VLOOKUP(O773,de_para!$A$1:$B$31,2,0)*base!P773,0)</f>
        <v>0</v>
      </c>
      <c r="R773" s="38"/>
      <c r="S773" s="29"/>
      <c r="T773" s="31">
        <f>IF(base!R773&lt;&gt;"",VLOOKUP(R773,de_para!$A$1:$B$31,2,0)*base!S773,0)</f>
        <v>0</v>
      </c>
      <c r="U773" s="30">
        <f t="shared" si="13"/>
        <v>0</v>
      </c>
    </row>
    <row r="774" spans="1:21" x14ac:dyDescent="0.35">
      <c r="A774" s="29"/>
      <c r="B774" s="29"/>
      <c r="C774" s="29"/>
      <c r="D774" s="29"/>
      <c r="E774" s="29"/>
      <c r="F774" s="29"/>
      <c r="G774" s="29"/>
      <c r="H774" s="31">
        <f>IF(base!F774&lt;&gt;"",VLOOKUP(F774,de_para!$A$1:$B$31,2,0)*base!G774,0)</f>
        <v>0</v>
      </c>
      <c r="I774" s="38"/>
      <c r="J774" s="29"/>
      <c r="K774" s="31">
        <f>IF(base!I774&lt;&gt;"",VLOOKUP(I774,de_para!$A$1:$B$31,2,0)*base!J774,0)</f>
        <v>0</v>
      </c>
      <c r="L774" s="38"/>
      <c r="M774" s="29"/>
      <c r="N774" s="31">
        <f>IF(base!L774&lt;&gt;"",VLOOKUP(L774,de_para!$A$1:$B$31,2,0)*base!M774,0)</f>
        <v>0</v>
      </c>
      <c r="O774" s="38"/>
      <c r="P774" s="29"/>
      <c r="Q774" s="31">
        <f>IF(base!O774&lt;&gt;"",VLOOKUP(O774,de_para!$A$1:$B$31,2,0)*base!P774,0)</f>
        <v>0</v>
      </c>
      <c r="R774" s="38"/>
      <c r="S774" s="29"/>
      <c r="T774" s="31">
        <f>IF(base!R774&lt;&gt;"",VLOOKUP(R774,de_para!$A$1:$B$31,2,0)*base!S774,0)</f>
        <v>0</v>
      </c>
      <c r="U774" s="30">
        <f t="shared" si="13"/>
        <v>0</v>
      </c>
    </row>
    <row r="775" spans="1:21" x14ac:dyDescent="0.35">
      <c r="A775" s="29"/>
      <c r="B775" s="29"/>
      <c r="C775" s="29"/>
      <c r="D775" s="29"/>
      <c r="E775" s="29"/>
      <c r="F775" s="29"/>
      <c r="G775" s="29"/>
      <c r="H775" s="31">
        <f>IF(base!F775&lt;&gt;"",VLOOKUP(F775,de_para!$A$1:$B$31,2,0)*base!G775,0)</f>
        <v>0</v>
      </c>
      <c r="I775" s="38"/>
      <c r="J775" s="29"/>
      <c r="K775" s="31">
        <f>IF(base!I775&lt;&gt;"",VLOOKUP(I775,de_para!$A$1:$B$31,2,0)*base!J775,0)</f>
        <v>0</v>
      </c>
      <c r="L775" s="38"/>
      <c r="M775" s="29"/>
      <c r="N775" s="31">
        <f>IF(base!L775&lt;&gt;"",VLOOKUP(L775,de_para!$A$1:$B$31,2,0)*base!M775,0)</f>
        <v>0</v>
      </c>
      <c r="O775" s="38"/>
      <c r="P775" s="29"/>
      <c r="Q775" s="31">
        <f>IF(base!O775&lt;&gt;"",VLOOKUP(O775,de_para!$A$1:$B$31,2,0)*base!P775,0)</f>
        <v>0</v>
      </c>
      <c r="R775" s="38"/>
      <c r="S775" s="29"/>
      <c r="T775" s="31">
        <f>IF(base!R775&lt;&gt;"",VLOOKUP(R775,de_para!$A$1:$B$31,2,0)*base!S775,0)</f>
        <v>0</v>
      </c>
      <c r="U775" s="30">
        <f t="shared" si="13"/>
        <v>0</v>
      </c>
    </row>
    <row r="776" spans="1:21" x14ac:dyDescent="0.35">
      <c r="A776" s="29"/>
      <c r="B776" s="29"/>
      <c r="C776" s="29"/>
      <c r="D776" s="29"/>
      <c r="E776" s="29"/>
      <c r="F776" s="29"/>
      <c r="G776" s="29"/>
      <c r="H776" s="31">
        <f>IF(base!F776&lt;&gt;"",VLOOKUP(F776,de_para!$A$1:$B$31,2,0)*base!G776,0)</f>
        <v>0</v>
      </c>
      <c r="I776" s="38"/>
      <c r="J776" s="29"/>
      <c r="K776" s="31">
        <f>IF(base!I776&lt;&gt;"",VLOOKUP(I776,de_para!$A$1:$B$31,2,0)*base!J776,0)</f>
        <v>0</v>
      </c>
      <c r="L776" s="38"/>
      <c r="M776" s="29"/>
      <c r="N776" s="31">
        <f>IF(base!L776&lt;&gt;"",VLOOKUP(L776,de_para!$A$1:$B$31,2,0)*base!M776,0)</f>
        <v>0</v>
      </c>
      <c r="O776" s="38"/>
      <c r="P776" s="29"/>
      <c r="Q776" s="31">
        <f>IF(base!O776&lt;&gt;"",VLOOKUP(O776,de_para!$A$1:$B$31,2,0)*base!P776,0)</f>
        <v>0</v>
      </c>
      <c r="R776" s="38"/>
      <c r="S776" s="29"/>
      <c r="T776" s="31">
        <f>IF(base!R776&lt;&gt;"",VLOOKUP(R776,de_para!$A$1:$B$31,2,0)*base!S776,0)</f>
        <v>0</v>
      </c>
      <c r="U776" s="30">
        <f t="shared" si="13"/>
        <v>0</v>
      </c>
    </row>
    <row r="777" spans="1:21" x14ac:dyDescent="0.35">
      <c r="A777" s="29"/>
      <c r="B777" s="29"/>
      <c r="C777" s="29"/>
      <c r="D777" s="29"/>
      <c r="E777" s="29"/>
      <c r="F777" s="29"/>
      <c r="G777" s="29"/>
      <c r="H777" s="31">
        <f>IF(base!F777&lt;&gt;"",VLOOKUP(F777,de_para!$A$1:$B$31,2,0)*base!G777,0)</f>
        <v>0</v>
      </c>
      <c r="I777" s="38"/>
      <c r="J777" s="29"/>
      <c r="K777" s="31">
        <f>IF(base!I777&lt;&gt;"",VLOOKUP(I777,de_para!$A$1:$B$31,2,0)*base!J777,0)</f>
        <v>0</v>
      </c>
      <c r="L777" s="38"/>
      <c r="M777" s="29"/>
      <c r="N777" s="31">
        <f>IF(base!L777&lt;&gt;"",VLOOKUP(L777,de_para!$A$1:$B$31,2,0)*base!M777,0)</f>
        <v>0</v>
      </c>
      <c r="O777" s="38"/>
      <c r="P777" s="29"/>
      <c r="Q777" s="31">
        <f>IF(base!O777&lt;&gt;"",VLOOKUP(O777,de_para!$A$1:$B$31,2,0)*base!P777,0)</f>
        <v>0</v>
      </c>
      <c r="R777" s="38"/>
      <c r="S777" s="29"/>
      <c r="T777" s="31">
        <f>IF(base!R777&lt;&gt;"",VLOOKUP(R777,de_para!$A$1:$B$31,2,0)*base!S777,0)</f>
        <v>0</v>
      </c>
      <c r="U777" s="30">
        <f t="shared" si="13"/>
        <v>0</v>
      </c>
    </row>
    <row r="778" spans="1:21" x14ac:dyDescent="0.35">
      <c r="A778" s="29"/>
      <c r="B778" s="29"/>
      <c r="C778" s="29"/>
      <c r="D778" s="29"/>
      <c r="E778" s="29"/>
      <c r="F778" s="29"/>
      <c r="G778" s="29"/>
      <c r="H778" s="31">
        <f>IF(base!F778&lt;&gt;"",VLOOKUP(F778,de_para!$A$1:$B$31,2,0)*base!G778,0)</f>
        <v>0</v>
      </c>
      <c r="I778" s="38"/>
      <c r="J778" s="29"/>
      <c r="K778" s="31">
        <f>IF(base!I778&lt;&gt;"",VLOOKUP(I778,de_para!$A$1:$B$31,2,0)*base!J778,0)</f>
        <v>0</v>
      </c>
      <c r="L778" s="38"/>
      <c r="M778" s="29"/>
      <c r="N778" s="31">
        <f>IF(base!L778&lt;&gt;"",VLOOKUP(L778,de_para!$A$1:$B$31,2,0)*base!M778,0)</f>
        <v>0</v>
      </c>
      <c r="O778" s="38"/>
      <c r="P778" s="29"/>
      <c r="Q778" s="31">
        <f>IF(base!O778&lt;&gt;"",VLOOKUP(O778,de_para!$A$1:$B$31,2,0)*base!P778,0)</f>
        <v>0</v>
      </c>
      <c r="R778" s="38"/>
      <c r="S778" s="29"/>
      <c r="T778" s="31">
        <f>IF(base!R778&lt;&gt;"",VLOOKUP(R778,de_para!$A$1:$B$31,2,0)*base!S778,0)</f>
        <v>0</v>
      </c>
      <c r="U778" s="30">
        <f t="shared" si="13"/>
        <v>0</v>
      </c>
    </row>
    <row r="779" spans="1:21" x14ac:dyDescent="0.35">
      <c r="A779" s="29"/>
      <c r="B779" s="29"/>
      <c r="C779" s="29"/>
      <c r="D779" s="29"/>
      <c r="E779" s="29"/>
      <c r="F779" s="29"/>
      <c r="G779" s="29"/>
      <c r="H779" s="31">
        <f>IF(base!F779&lt;&gt;"",VLOOKUP(F779,de_para!$A$1:$B$31,2,0)*base!G779,0)</f>
        <v>0</v>
      </c>
      <c r="I779" s="38"/>
      <c r="J779" s="29"/>
      <c r="K779" s="31">
        <f>IF(base!I779&lt;&gt;"",VLOOKUP(I779,de_para!$A$1:$B$31,2,0)*base!J779,0)</f>
        <v>0</v>
      </c>
      <c r="L779" s="38"/>
      <c r="M779" s="29"/>
      <c r="N779" s="31">
        <f>IF(base!L779&lt;&gt;"",VLOOKUP(L779,de_para!$A$1:$B$31,2,0)*base!M779,0)</f>
        <v>0</v>
      </c>
      <c r="O779" s="38"/>
      <c r="P779" s="29"/>
      <c r="Q779" s="31">
        <f>IF(base!O779&lt;&gt;"",VLOOKUP(O779,de_para!$A$1:$B$31,2,0)*base!P779,0)</f>
        <v>0</v>
      </c>
      <c r="R779" s="38"/>
      <c r="S779" s="29"/>
      <c r="T779" s="31">
        <f>IF(base!R779&lt;&gt;"",VLOOKUP(R779,de_para!$A$1:$B$31,2,0)*base!S779,0)</f>
        <v>0</v>
      </c>
      <c r="U779" s="30">
        <f t="shared" si="13"/>
        <v>0</v>
      </c>
    </row>
    <row r="780" spans="1:21" x14ac:dyDescent="0.35">
      <c r="A780" s="29"/>
      <c r="B780" s="29"/>
      <c r="C780" s="29"/>
      <c r="D780" s="29"/>
      <c r="E780" s="29"/>
      <c r="F780" s="29"/>
      <c r="G780" s="29"/>
      <c r="H780" s="31">
        <f>IF(base!F780&lt;&gt;"",VLOOKUP(F780,de_para!$A$1:$B$31,2,0)*base!G780,0)</f>
        <v>0</v>
      </c>
      <c r="I780" s="38"/>
      <c r="J780" s="29"/>
      <c r="K780" s="31">
        <f>IF(base!I780&lt;&gt;"",VLOOKUP(I780,de_para!$A$1:$B$31,2,0)*base!J780,0)</f>
        <v>0</v>
      </c>
      <c r="L780" s="38"/>
      <c r="M780" s="29"/>
      <c r="N780" s="31">
        <f>IF(base!L780&lt;&gt;"",VLOOKUP(L780,de_para!$A$1:$B$31,2,0)*base!M780,0)</f>
        <v>0</v>
      </c>
      <c r="O780" s="38"/>
      <c r="P780" s="29"/>
      <c r="Q780" s="31">
        <f>IF(base!O780&lt;&gt;"",VLOOKUP(O780,de_para!$A$1:$B$31,2,0)*base!P780,0)</f>
        <v>0</v>
      </c>
      <c r="R780" s="38"/>
      <c r="S780" s="29"/>
      <c r="T780" s="31">
        <f>IF(base!R780&lt;&gt;"",VLOOKUP(R780,de_para!$A$1:$B$31,2,0)*base!S780,0)</f>
        <v>0</v>
      </c>
      <c r="U780" s="30">
        <f t="shared" si="13"/>
        <v>0</v>
      </c>
    </row>
    <row r="781" spans="1:21" x14ac:dyDescent="0.35">
      <c r="A781" s="29"/>
      <c r="B781" s="29"/>
      <c r="C781" s="29"/>
      <c r="D781" s="29"/>
      <c r="E781" s="29"/>
      <c r="F781" s="29"/>
      <c r="G781" s="29"/>
      <c r="H781" s="31">
        <f>IF(base!F781&lt;&gt;"",VLOOKUP(F781,de_para!$A$1:$B$31,2,0)*base!G781,0)</f>
        <v>0</v>
      </c>
      <c r="I781" s="38"/>
      <c r="J781" s="29"/>
      <c r="K781" s="31">
        <f>IF(base!I781&lt;&gt;"",VLOOKUP(I781,de_para!$A$1:$B$31,2,0)*base!J781,0)</f>
        <v>0</v>
      </c>
      <c r="L781" s="38"/>
      <c r="M781" s="29"/>
      <c r="N781" s="31">
        <f>IF(base!L781&lt;&gt;"",VLOOKUP(L781,de_para!$A$1:$B$31,2,0)*base!M781,0)</f>
        <v>0</v>
      </c>
      <c r="O781" s="38"/>
      <c r="P781" s="29"/>
      <c r="Q781" s="31">
        <f>IF(base!O781&lt;&gt;"",VLOOKUP(O781,de_para!$A$1:$B$31,2,0)*base!P781,0)</f>
        <v>0</v>
      </c>
      <c r="R781" s="38"/>
      <c r="S781" s="29"/>
      <c r="T781" s="31">
        <f>IF(base!R781&lt;&gt;"",VLOOKUP(R781,de_para!$A$1:$B$31,2,0)*base!S781,0)</f>
        <v>0</v>
      </c>
      <c r="U781" s="30">
        <f t="shared" si="13"/>
        <v>0</v>
      </c>
    </row>
    <row r="782" spans="1:21" x14ac:dyDescent="0.35">
      <c r="A782" s="29"/>
      <c r="B782" s="29"/>
      <c r="C782" s="29"/>
      <c r="D782" s="29"/>
      <c r="E782" s="29"/>
      <c r="F782" s="29"/>
      <c r="G782" s="29"/>
      <c r="H782" s="31">
        <f>IF(base!F782&lt;&gt;"",VLOOKUP(F782,de_para!$A$1:$B$31,2,0)*base!G782,0)</f>
        <v>0</v>
      </c>
      <c r="I782" s="38"/>
      <c r="J782" s="29"/>
      <c r="K782" s="31">
        <f>IF(base!I782&lt;&gt;"",VLOOKUP(I782,de_para!$A$1:$B$31,2,0)*base!J782,0)</f>
        <v>0</v>
      </c>
      <c r="L782" s="38"/>
      <c r="M782" s="29"/>
      <c r="N782" s="31">
        <f>IF(base!L782&lt;&gt;"",VLOOKUP(L782,de_para!$A$1:$B$31,2,0)*base!M782,0)</f>
        <v>0</v>
      </c>
      <c r="O782" s="38"/>
      <c r="P782" s="29"/>
      <c r="Q782" s="31">
        <f>IF(base!O782&lt;&gt;"",VLOOKUP(O782,de_para!$A$1:$B$31,2,0)*base!P782,0)</f>
        <v>0</v>
      </c>
      <c r="R782" s="38"/>
      <c r="S782" s="29"/>
      <c r="T782" s="31">
        <f>IF(base!R782&lt;&gt;"",VLOOKUP(R782,de_para!$A$1:$B$31,2,0)*base!S782,0)</f>
        <v>0</v>
      </c>
      <c r="U782" s="30">
        <f t="shared" si="13"/>
        <v>0</v>
      </c>
    </row>
    <row r="783" spans="1:21" x14ac:dyDescent="0.35">
      <c r="A783" s="29"/>
      <c r="B783" s="29"/>
      <c r="C783" s="29"/>
      <c r="D783" s="29"/>
      <c r="E783" s="29"/>
      <c r="F783" s="29"/>
      <c r="G783" s="29"/>
      <c r="H783" s="31">
        <f>IF(base!F783&lt;&gt;"",VLOOKUP(F783,de_para!$A$1:$B$31,2,0)*base!G783,0)</f>
        <v>0</v>
      </c>
      <c r="I783" s="38"/>
      <c r="J783" s="29"/>
      <c r="K783" s="31">
        <f>IF(base!I783&lt;&gt;"",VLOOKUP(I783,de_para!$A$1:$B$31,2,0)*base!J783,0)</f>
        <v>0</v>
      </c>
      <c r="L783" s="38"/>
      <c r="M783" s="29"/>
      <c r="N783" s="31">
        <f>IF(base!L783&lt;&gt;"",VLOOKUP(L783,de_para!$A$1:$B$31,2,0)*base!M783,0)</f>
        <v>0</v>
      </c>
      <c r="O783" s="38"/>
      <c r="P783" s="29"/>
      <c r="Q783" s="31">
        <f>IF(base!O783&lt;&gt;"",VLOOKUP(O783,de_para!$A$1:$B$31,2,0)*base!P783,0)</f>
        <v>0</v>
      </c>
      <c r="R783" s="38"/>
      <c r="S783" s="29"/>
      <c r="T783" s="31">
        <f>IF(base!R783&lt;&gt;"",VLOOKUP(R783,de_para!$A$1:$B$31,2,0)*base!S783,0)</f>
        <v>0</v>
      </c>
      <c r="U783" s="30">
        <f t="shared" si="13"/>
        <v>0</v>
      </c>
    </row>
    <row r="784" spans="1:21" x14ac:dyDescent="0.35">
      <c r="A784" s="29"/>
      <c r="B784" s="29"/>
      <c r="C784" s="29"/>
      <c r="D784" s="29"/>
      <c r="E784" s="29"/>
      <c r="F784" s="29"/>
      <c r="G784" s="29"/>
      <c r="H784" s="31">
        <f>IF(base!F784&lt;&gt;"",VLOOKUP(F784,de_para!$A$1:$B$31,2,0)*base!G784,0)</f>
        <v>0</v>
      </c>
      <c r="I784" s="38"/>
      <c r="J784" s="29"/>
      <c r="K784" s="31">
        <f>IF(base!I784&lt;&gt;"",VLOOKUP(I784,de_para!$A$1:$B$31,2,0)*base!J784,0)</f>
        <v>0</v>
      </c>
      <c r="L784" s="38"/>
      <c r="M784" s="29"/>
      <c r="N784" s="31">
        <f>IF(base!L784&lt;&gt;"",VLOOKUP(L784,de_para!$A$1:$B$31,2,0)*base!M784,0)</f>
        <v>0</v>
      </c>
      <c r="O784" s="38"/>
      <c r="P784" s="29"/>
      <c r="Q784" s="31">
        <f>IF(base!O784&lt;&gt;"",VLOOKUP(O784,de_para!$A$1:$B$31,2,0)*base!P784,0)</f>
        <v>0</v>
      </c>
      <c r="R784" s="38"/>
      <c r="S784" s="29"/>
      <c r="T784" s="31">
        <f>IF(base!R784&lt;&gt;"",VLOOKUP(R784,de_para!$A$1:$B$31,2,0)*base!S784,0)</f>
        <v>0</v>
      </c>
      <c r="U784" s="30">
        <f t="shared" si="13"/>
        <v>0</v>
      </c>
    </row>
    <row r="785" spans="1:21" x14ac:dyDescent="0.35">
      <c r="A785" s="29"/>
      <c r="B785" s="29"/>
      <c r="C785" s="29"/>
      <c r="D785" s="29"/>
      <c r="E785" s="29"/>
      <c r="F785" s="29"/>
      <c r="G785" s="29"/>
      <c r="H785" s="31">
        <f>IF(base!F785&lt;&gt;"",VLOOKUP(F785,de_para!$A$1:$B$31,2,0)*base!G785,0)</f>
        <v>0</v>
      </c>
      <c r="I785" s="38"/>
      <c r="J785" s="29"/>
      <c r="K785" s="31">
        <f>IF(base!I785&lt;&gt;"",VLOOKUP(I785,de_para!$A$1:$B$31,2,0)*base!J785,0)</f>
        <v>0</v>
      </c>
      <c r="L785" s="38"/>
      <c r="M785" s="29"/>
      <c r="N785" s="31">
        <f>IF(base!L785&lt;&gt;"",VLOOKUP(L785,de_para!$A$1:$B$31,2,0)*base!M785,0)</f>
        <v>0</v>
      </c>
      <c r="O785" s="38"/>
      <c r="P785" s="29"/>
      <c r="Q785" s="31">
        <f>IF(base!O785&lt;&gt;"",VLOOKUP(O785,de_para!$A$1:$B$31,2,0)*base!P785,0)</f>
        <v>0</v>
      </c>
      <c r="R785" s="38"/>
      <c r="S785" s="29"/>
      <c r="T785" s="31">
        <f>IF(base!R785&lt;&gt;"",VLOOKUP(R785,de_para!$A$1:$B$31,2,0)*base!S785,0)</f>
        <v>0</v>
      </c>
      <c r="U785" s="30">
        <f t="shared" si="13"/>
        <v>0</v>
      </c>
    </row>
    <row r="786" spans="1:21" x14ac:dyDescent="0.35">
      <c r="A786" s="29"/>
      <c r="B786" s="29"/>
      <c r="C786" s="29"/>
      <c r="D786" s="29"/>
      <c r="E786" s="29"/>
      <c r="F786" s="29"/>
      <c r="G786" s="29"/>
      <c r="H786" s="31">
        <f>IF(base!F786&lt;&gt;"",VLOOKUP(F786,de_para!$A$1:$B$31,2,0)*base!G786,0)</f>
        <v>0</v>
      </c>
      <c r="I786" s="38"/>
      <c r="J786" s="29"/>
      <c r="K786" s="31">
        <f>IF(base!I786&lt;&gt;"",VLOOKUP(I786,de_para!$A$1:$B$31,2,0)*base!J786,0)</f>
        <v>0</v>
      </c>
      <c r="L786" s="38"/>
      <c r="M786" s="29"/>
      <c r="N786" s="31">
        <f>IF(base!L786&lt;&gt;"",VLOOKUP(L786,de_para!$A$1:$B$31,2,0)*base!M786,0)</f>
        <v>0</v>
      </c>
      <c r="O786" s="38"/>
      <c r="P786" s="29"/>
      <c r="Q786" s="31">
        <f>IF(base!O786&lt;&gt;"",VLOOKUP(O786,de_para!$A$1:$B$31,2,0)*base!P786,0)</f>
        <v>0</v>
      </c>
      <c r="R786" s="38"/>
      <c r="S786" s="29"/>
      <c r="T786" s="31">
        <f>IF(base!R786&lt;&gt;"",VLOOKUP(R786,de_para!$A$1:$B$31,2,0)*base!S786,0)</f>
        <v>0</v>
      </c>
      <c r="U786" s="30">
        <f t="shared" si="13"/>
        <v>0</v>
      </c>
    </row>
    <row r="787" spans="1:21" x14ac:dyDescent="0.35">
      <c r="A787" s="29"/>
      <c r="B787" s="29"/>
      <c r="C787" s="29"/>
      <c r="D787" s="29"/>
      <c r="E787" s="29"/>
      <c r="F787" s="29"/>
      <c r="G787" s="29"/>
      <c r="H787" s="31">
        <f>IF(base!F787&lt;&gt;"",VLOOKUP(F787,de_para!$A$1:$B$31,2,0)*base!G787,0)</f>
        <v>0</v>
      </c>
      <c r="I787" s="38"/>
      <c r="J787" s="29"/>
      <c r="K787" s="31">
        <f>IF(base!I787&lt;&gt;"",VLOOKUP(I787,de_para!$A$1:$B$31,2,0)*base!J787,0)</f>
        <v>0</v>
      </c>
      <c r="L787" s="38"/>
      <c r="M787" s="29"/>
      <c r="N787" s="31">
        <f>IF(base!L787&lt;&gt;"",VLOOKUP(L787,de_para!$A$1:$B$31,2,0)*base!M787,0)</f>
        <v>0</v>
      </c>
      <c r="O787" s="38"/>
      <c r="P787" s="29"/>
      <c r="Q787" s="31">
        <f>IF(base!O787&lt;&gt;"",VLOOKUP(O787,de_para!$A$1:$B$31,2,0)*base!P787,0)</f>
        <v>0</v>
      </c>
      <c r="R787" s="38"/>
      <c r="S787" s="29"/>
      <c r="T787" s="31">
        <f>IF(base!R787&lt;&gt;"",VLOOKUP(R787,de_para!$A$1:$B$31,2,0)*base!S787,0)</f>
        <v>0</v>
      </c>
      <c r="U787" s="30">
        <f t="shared" si="13"/>
        <v>0</v>
      </c>
    </row>
    <row r="788" spans="1:21" x14ac:dyDescent="0.35">
      <c r="A788" s="29"/>
      <c r="B788" s="29"/>
      <c r="C788" s="29"/>
      <c r="D788" s="29"/>
      <c r="E788" s="29"/>
      <c r="F788" s="29"/>
      <c r="G788" s="29"/>
      <c r="H788" s="31">
        <f>IF(base!F788&lt;&gt;"",VLOOKUP(F788,de_para!$A$1:$B$31,2,0)*base!G788,0)</f>
        <v>0</v>
      </c>
      <c r="I788" s="38"/>
      <c r="J788" s="29"/>
      <c r="K788" s="31">
        <f>IF(base!I788&lt;&gt;"",VLOOKUP(I788,de_para!$A$1:$B$31,2,0)*base!J788,0)</f>
        <v>0</v>
      </c>
      <c r="L788" s="38"/>
      <c r="M788" s="29"/>
      <c r="N788" s="31">
        <f>IF(base!L788&lt;&gt;"",VLOOKUP(L788,de_para!$A$1:$B$31,2,0)*base!M788,0)</f>
        <v>0</v>
      </c>
      <c r="O788" s="38"/>
      <c r="P788" s="29"/>
      <c r="Q788" s="31">
        <f>IF(base!O788&lt;&gt;"",VLOOKUP(O788,de_para!$A$1:$B$31,2,0)*base!P788,0)</f>
        <v>0</v>
      </c>
      <c r="R788" s="38"/>
      <c r="S788" s="29"/>
      <c r="T788" s="31">
        <f>IF(base!R788&lt;&gt;"",VLOOKUP(R788,de_para!$A$1:$B$31,2,0)*base!S788,0)</f>
        <v>0</v>
      </c>
      <c r="U788" s="30">
        <f t="shared" si="13"/>
        <v>0</v>
      </c>
    </row>
    <row r="789" spans="1:21" x14ac:dyDescent="0.35">
      <c r="A789" s="29"/>
      <c r="B789" s="29"/>
      <c r="C789" s="29"/>
      <c r="D789" s="29"/>
      <c r="E789" s="29"/>
      <c r="F789" s="29"/>
      <c r="G789" s="29"/>
      <c r="H789" s="31">
        <f>IF(base!F789&lt;&gt;"",VLOOKUP(F789,de_para!$A$1:$B$31,2,0)*base!G789,0)</f>
        <v>0</v>
      </c>
      <c r="I789" s="38"/>
      <c r="J789" s="29"/>
      <c r="K789" s="31">
        <f>IF(base!I789&lt;&gt;"",VLOOKUP(I789,de_para!$A$1:$B$31,2,0)*base!J789,0)</f>
        <v>0</v>
      </c>
      <c r="L789" s="38"/>
      <c r="M789" s="29"/>
      <c r="N789" s="31">
        <f>IF(base!L789&lt;&gt;"",VLOOKUP(L789,de_para!$A$1:$B$31,2,0)*base!M789,0)</f>
        <v>0</v>
      </c>
      <c r="O789" s="38"/>
      <c r="P789" s="29"/>
      <c r="Q789" s="31">
        <f>IF(base!O789&lt;&gt;"",VLOOKUP(O789,de_para!$A$1:$B$31,2,0)*base!P789,0)</f>
        <v>0</v>
      </c>
      <c r="R789" s="38"/>
      <c r="S789" s="29"/>
      <c r="T789" s="31">
        <f>IF(base!R789&lt;&gt;"",VLOOKUP(R789,de_para!$A$1:$B$31,2,0)*base!S789,0)</f>
        <v>0</v>
      </c>
      <c r="U789" s="30">
        <f t="shared" si="13"/>
        <v>0</v>
      </c>
    </row>
    <row r="790" spans="1:21" x14ac:dyDescent="0.35">
      <c r="A790" s="29"/>
      <c r="B790" s="29"/>
      <c r="C790" s="29"/>
      <c r="D790" s="29"/>
      <c r="E790" s="29"/>
      <c r="F790" s="29"/>
      <c r="G790" s="29"/>
      <c r="H790" s="31">
        <f>IF(base!F790&lt;&gt;"",VLOOKUP(F790,de_para!$A$1:$B$31,2,0)*base!G790,0)</f>
        <v>0</v>
      </c>
      <c r="I790" s="38"/>
      <c r="J790" s="29"/>
      <c r="K790" s="31">
        <f>IF(base!I790&lt;&gt;"",VLOOKUP(I790,de_para!$A$1:$B$31,2,0)*base!J790,0)</f>
        <v>0</v>
      </c>
      <c r="L790" s="38"/>
      <c r="M790" s="29"/>
      <c r="N790" s="31">
        <f>IF(base!L790&lt;&gt;"",VLOOKUP(L790,de_para!$A$1:$B$31,2,0)*base!M790,0)</f>
        <v>0</v>
      </c>
      <c r="O790" s="38"/>
      <c r="P790" s="29"/>
      <c r="Q790" s="31">
        <f>IF(base!O790&lt;&gt;"",VLOOKUP(O790,de_para!$A$1:$B$31,2,0)*base!P790,0)</f>
        <v>0</v>
      </c>
      <c r="R790" s="38"/>
      <c r="S790" s="29"/>
      <c r="T790" s="31">
        <f>IF(base!R790&lt;&gt;"",VLOOKUP(R790,de_para!$A$1:$B$31,2,0)*base!S790,0)</f>
        <v>0</v>
      </c>
      <c r="U790" s="30">
        <f t="shared" si="13"/>
        <v>0</v>
      </c>
    </row>
    <row r="791" spans="1:21" x14ac:dyDescent="0.35">
      <c r="A791" s="29"/>
      <c r="B791" s="29"/>
      <c r="C791" s="29"/>
      <c r="D791" s="29"/>
      <c r="E791" s="29"/>
      <c r="F791" s="29"/>
      <c r="G791" s="29"/>
      <c r="H791" s="31">
        <f>IF(base!F791&lt;&gt;"",VLOOKUP(F791,de_para!$A$1:$B$31,2,0)*base!G791,0)</f>
        <v>0</v>
      </c>
      <c r="I791" s="38"/>
      <c r="J791" s="29"/>
      <c r="K791" s="31">
        <f>IF(base!I791&lt;&gt;"",VLOOKUP(I791,de_para!$A$1:$B$31,2,0)*base!J791,0)</f>
        <v>0</v>
      </c>
      <c r="L791" s="38"/>
      <c r="M791" s="29"/>
      <c r="N791" s="31">
        <f>IF(base!L791&lt;&gt;"",VLOOKUP(L791,de_para!$A$1:$B$31,2,0)*base!M791,0)</f>
        <v>0</v>
      </c>
      <c r="O791" s="38"/>
      <c r="P791" s="29"/>
      <c r="Q791" s="31">
        <f>IF(base!O791&lt;&gt;"",VLOOKUP(O791,de_para!$A$1:$B$31,2,0)*base!P791,0)</f>
        <v>0</v>
      </c>
      <c r="R791" s="38"/>
      <c r="S791" s="29"/>
      <c r="T791" s="31">
        <f>IF(base!R791&lt;&gt;"",VLOOKUP(R791,de_para!$A$1:$B$31,2,0)*base!S791,0)</f>
        <v>0</v>
      </c>
      <c r="U791" s="30">
        <f t="shared" si="13"/>
        <v>0</v>
      </c>
    </row>
    <row r="792" spans="1:21" x14ac:dyDescent="0.35">
      <c r="A792" s="29"/>
      <c r="B792" s="29"/>
      <c r="C792" s="29"/>
      <c r="D792" s="29"/>
      <c r="E792" s="29"/>
      <c r="F792" s="29"/>
      <c r="G792" s="29"/>
      <c r="H792" s="31">
        <f>IF(base!F792&lt;&gt;"",VLOOKUP(F792,de_para!$A$1:$B$31,2,0)*base!G792,0)</f>
        <v>0</v>
      </c>
      <c r="I792" s="38"/>
      <c r="J792" s="29"/>
      <c r="K792" s="31">
        <f>IF(base!I792&lt;&gt;"",VLOOKUP(I792,de_para!$A$1:$B$31,2,0)*base!J792,0)</f>
        <v>0</v>
      </c>
      <c r="L792" s="38"/>
      <c r="M792" s="29"/>
      <c r="N792" s="31">
        <f>IF(base!L792&lt;&gt;"",VLOOKUP(L792,de_para!$A$1:$B$31,2,0)*base!M792,0)</f>
        <v>0</v>
      </c>
      <c r="O792" s="38"/>
      <c r="P792" s="29"/>
      <c r="Q792" s="31">
        <f>IF(base!O792&lt;&gt;"",VLOOKUP(O792,de_para!$A$1:$B$31,2,0)*base!P792,0)</f>
        <v>0</v>
      </c>
      <c r="R792" s="38"/>
      <c r="S792" s="29"/>
      <c r="T792" s="31">
        <f>IF(base!R792&lt;&gt;"",VLOOKUP(R792,de_para!$A$1:$B$31,2,0)*base!S792,0)</f>
        <v>0</v>
      </c>
      <c r="U792" s="30">
        <f t="shared" si="13"/>
        <v>0</v>
      </c>
    </row>
    <row r="793" spans="1:21" x14ac:dyDescent="0.35">
      <c r="A793" s="29"/>
      <c r="B793" s="29"/>
      <c r="C793" s="29"/>
      <c r="D793" s="29"/>
      <c r="E793" s="29"/>
      <c r="F793" s="29"/>
      <c r="G793" s="29"/>
      <c r="H793" s="31">
        <f>IF(base!F793&lt;&gt;"",VLOOKUP(F793,de_para!$A$1:$B$31,2,0)*base!G793,0)</f>
        <v>0</v>
      </c>
      <c r="I793" s="38"/>
      <c r="J793" s="29"/>
      <c r="K793" s="31">
        <f>IF(base!I793&lt;&gt;"",VLOOKUP(I793,de_para!$A$1:$B$31,2,0)*base!J793,0)</f>
        <v>0</v>
      </c>
      <c r="L793" s="38"/>
      <c r="M793" s="29"/>
      <c r="N793" s="31">
        <f>IF(base!L793&lt;&gt;"",VLOOKUP(L793,de_para!$A$1:$B$31,2,0)*base!M793,0)</f>
        <v>0</v>
      </c>
      <c r="O793" s="38"/>
      <c r="P793" s="29"/>
      <c r="Q793" s="31">
        <f>IF(base!O793&lt;&gt;"",VLOOKUP(O793,de_para!$A$1:$B$31,2,0)*base!P793,0)</f>
        <v>0</v>
      </c>
      <c r="R793" s="38"/>
      <c r="S793" s="29"/>
      <c r="T793" s="31">
        <f>IF(base!R793&lt;&gt;"",VLOOKUP(R793,de_para!$A$1:$B$31,2,0)*base!S793,0)</f>
        <v>0</v>
      </c>
      <c r="U793" s="30">
        <f t="shared" si="13"/>
        <v>0</v>
      </c>
    </row>
    <row r="794" spans="1:21" x14ac:dyDescent="0.35">
      <c r="A794" s="29"/>
      <c r="B794" s="29"/>
      <c r="C794" s="29"/>
      <c r="D794" s="29"/>
      <c r="E794" s="29"/>
      <c r="F794" s="29"/>
      <c r="G794" s="29"/>
      <c r="H794" s="31">
        <f>IF(base!F794&lt;&gt;"",VLOOKUP(F794,de_para!$A$1:$B$31,2,0)*base!G794,0)</f>
        <v>0</v>
      </c>
      <c r="I794" s="38"/>
      <c r="J794" s="29"/>
      <c r="K794" s="31">
        <f>IF(base!I794&lt;&gt;"",VLOOKUP(I794,de_para!$A$1:$B$31,2,0)*base!J794,0)</f>
        <v>0</v>
      </c>
      <c r="L794" s="38"/>
      <c r="M794" s="29"/>
      <c r="N794" s="31">
        <f>IF(base!L794&lt;&gt;"",VLOOKUP(L794,de_para!$A$1:$B$31,2,0)*base!M794,0)</f>
        <v>0</v>
      </c>
      <c r="O794" s="38"/>
      <c r="P794" s="29"/>
      <c r="Q794" s="31">
        <f>IF(base!O794&lt;&gt;"",VLOOKUP(O794,de_para!$A$1:$B$31,2,0)*base!P794,0)</f>
        <v>0</v>
      </c>
      <c r="R794" s="38"/>
      <c r="S794" s="29"/>
      <c r="T794" s="31">
        <f>IF(base!R794&lt;&gt;"",VLOOKUP(R794,de_para!$A$1:$B$31,2,0)*base!S794,0)</f>
        <v>0</v>
      </c>
      <c r="U794" s="30">
        <f t="shared" si="13"/>
        <v>0</v>
      </c>
    </row>
    <row r="795" spans="1:21" x14ac:dyDescent="0.35">
      <c r="A795" s="29"/>
      <c r="B795" s="29"/>
      <c r="C795" s="29"/>
      <c r="D795" s="29"/>
      <c r="E795" s="29"/>
      <c r="F795" s="29"/>
      <c r="G795" s="29"/>
      <c r="H795" s="31">
        <f>IF(base!F795&lt;&gt;"",VLOOKUP(F795,de_para!$A$1:$B$31,2,0)*base!G795,0)</f>
        <v>0</v>
      </c>
      <c r="I795" s="38"/>
      <c r="J795" s="29"/>
      <c r="K795" s="31">
        <f>IF(base!I795&lt;&gt;"",VLOOKUP(I795,de_para!$A$1:$B$31,2,0)*base!J795,0)</f>
        <v>0</v>
      </c>
      <c r="L795" s="38"/>
      <c r="M795" s="29"/>
      <c r="N795" s="31">
        <f>IF(base!L795&lt;&gt;"",VLOOKUP(L795,de_para!$A$1:$B$31,2,0)*base!M795,0)</f>
        <v>0</v>
      </c>
      <c r="O795" s="38"/>
      <c r="P795" s="29"/>
      <c r="Q795" s="31">
        <f>IF(base!O795&lt;&gt;"",VLOOKUP(O795,de_para!$A$1:$B$31,2,0)*base!P795,0)</f>
        <v>0</v>
      </c>
      <c r="R795" s="38"/>
      <c r="S795" s="29"/>
      <c r="T795" s="31">
        <f>IF(base!R795&lt;&gt;"",VLOOKUP(R795,de_para!$A$1:$B$31,2,0)*base!S795,0)</f>
        <v>0</v>
      </c>
      <c r="U795" s="30">
        <f t="shared" si="13"/>
        <v>0</v>
      </c>
    </row>
    <row r="796" spans="1:21" x14ac:dyDescent="0.35">
      <c r="A796" s="29"/>
      <c r="B796" s="29"/>
      <c r="C796" s="29"/>
      <c r="D796" s="29"/>
      <c r="E796" s="29"/>
      <c r="F796" s="29"/>
      <c r="G796" s="29"/>
      <c r="H796" s="31">
        <f>IF(base!F796&lt;&gt;"",VLOOKUP(F796,de_para!$A$1:$B$31,2,0)*base!G796,0)</f>
        <v>0</v>
      </c>
      <c r="I796" s="38"/>
      <c r="J796" s="29"/>
      <c r="K796" s="31">
        <f>IF(base!I796&lt;&gt;"",VLOOKUP(I796,de_para!$A$1:$B$31,2,0)*base!J796,0)</f>
        <v>0</v>
      </c>
      <c r="L796" s="38"/>
      <c r="M796" s="29"/>
      <c r="N796" s="31">
        <f>IF(base!L796&lt;&gt;"",VLOOKUP(L796,de_para!$A$1:$B$31,2,0)*base!M796,0)</f>
        <v>0</v>
      </c>
      <c r="O796" s="38"/>
      <c r="P796" s="29"/>
      <c r="Q796" s="31">
        <f>IF(base!O796&lt;&gt;"",VLOOKUP(O796,de_para!$A$1:$B$31,2,0)*base!P796,0)</f>
        <v>0</v>
      </c>
      <c r="R796" s="38"/>
      <c r="S796" s="29"/>
      <c r="T796" s="31">
        <f>IF(base!R796&lt;&gt;"",VLOOKUP(R796,de_para!$A$1:$B$31,2,0)*base!S796,0)</f>
        <v>0</v>
      </c>
      <c r="U796" s="30">
        <f t="shared" si="13"/>
        <v>0</v>
      </c>
    </row>
    <row r="797" spans="1:21" x14ac:dyDescent="0.35">
      <c r="A797" s="29"/>
      <c r="B797" s="29"/>
      <c r="C797" s="29"/>
      <c r="D797" s="29"/>
      <c r="E797" s="29"/>
      <c r="F797" s="29"/>
      <c r="G797" s="29"/>
      <c r="H797" s="31">
        <f>IF(base!F797&lt;&gt;"",VLOOKUP(F797,de_para!$A$1:$B$31,2,0)*base!G797,0)</f>
        <v>0</v>
      </c>
      <c r="I797" s="38"/>
      <c r="J797" s="29"/>
      <c r="K797" s="31">
        <f>IF(base!I797&lt;&gt;"",VLOOKUP(I797,de_para!$A$1:$B$31,2,0)*base!J797,0)</f>
        <v>0</v>
      </c>
      <c r="L797" s="38"/>
      <c r="M797" s="29"/>
      <c r="N797" s="31">
        <f>IF(base!L797&lt;&gt;"",VLOOKUP(L797,de_para!$A$1:$B$31,2,0)*base!M797,0)</f>
        <v>0</v>
      </c>
      <c r="O797" s="38"/>
      <c r="P797" s="29"/>
      <c r="Q797" s="31">
        <f>IF(base!O797&lt;&gt;"",VLOOKUP(O797,de_para!$A$1:$B$31,2,0)*base!P797,0)</f>
        <v>0</v>
      </c>
      <c r="R797" s="38"/>
      <c r="S797" s="29"/>
      <c r="T797" s="31">
        <f>IF(base!R797&lt;&gt;"",VLOOKUP(R797,de_para!$A$1:$B$31,2,0)*base!S797,0)</f>
        <v>0</v>
      </c>
      <c r="U797" s="30">
        <f t="shared" si="13"/>
        <v>0</v>
      </c>
    </row>
    <row r="798" spans="1:21" x14ac:dyDescent="0.35">
      <c r="A798" s="29"/>
      <c r="B798" s="29"/>
      <c r="C798" s="29"/>
      <c r="D798" s="29"/>
      <c r="E798" s="29"/>
      <c r="F798" s="29"/>
      <c r="G798" s="29"/>
      <c r="H798" s="31">
        <f>IF(base!F798&lt;&gt;"",VLOOKUP(F798,de_para!$A$1:$B$31,2,0)*base!G798,0)</f>
        <v>0</v>
      </c>
      <c r="I798" s="38"/>
      <c r="J798" s="29"/>
      <c r="K798" s="31">
        <f>IF(base!I798&lt;&gt;"",VLOOKUP(I798,de_para!$A$1:$B$31,2,0)*base!J798,0)</f>
        <v>0</v>
      </c>
      <c r="L798" s="38"/>
      <c r="M798" s="29"/>
      <c r="N798" s="31">
        <f>IF(base!L798&lt;&gt;"",VLOOKUP(L798,de_para!$A$1:$B$31,2,0)*base!M798,0)</f>
        <v>0</v>
      </c>
      <c r="O798" s="38"/>
      <c r="P798" s="29"/>
      <c r="Q798" s="31">
        <f>IF(base!O798&lt;&gt;"",VLOOKUP(O798,de_para!$A$1:$B$31,2,0)*base!P798,0)</f>
        <v>0</v>
      </c>
      <c r="R798" s="38"/>
      <c r="S798" s="29"/>
      <c r="T798" s="31">
        <f>IF(base!R798&lt;&gt;"",VLOOKUP(R798,de_para!$A$1:$B$31,2,0)*base!S798,0)</f>
        <v>0</v>
      </c>
      <c r="U798" s="30">
        <f t="shared" si="13"/>
        <v>0</v>
      </c>
    </row>
    <row r="799" spans="1:21" x14ac:dyDescent="0.35">
      <c r="A799" s="29"/>
      <c r="B799" s="29"/>
      <c r="C799" s="29"/>
      <c r="D799" s="29"/>
      <c r="E799" s="29"/>
      <c r="F799" s="29"/>
      <c r="G799" s="29"/>
      <c r="H799" s="31">
        <f>IF(base!F799&lt;&gt;"",VLOOKUP(F799,de_para!$A$1:$B$31,2,0)*base!G799,0)</f>
        <v>0</v>
      </c>
      <c r="I799" s="38"/>
      <c r="J799" s="29"/>
      <c r="K799" s="31">
        <f>IF(base!I799&lt;&gt;"",VLOOKUP(I799,de_para!$A$1:$B$31,2,0)*base!J799,0)</f>
        <v>0</v>
      </c>
      <c r="L799" s="38"/>
      <c r="M799" s="29"/>
      <c r="N799" s="31">
        <f>IF(base!L799&lt;&gt;"",VLOOKUP(L799,de_para!$A$1:$B$31,2,0)*base!M799,0)</f>
        <v>0</v>
      </c>
      <c r="O799" s="38"/>
      <c r="P799" s="29"/>
      <c r="Q799" s="31">
        <f>IF(base!O799&lt;&gt;"",VLOOKUP(O799,de_para!$A$1:$B$31,2,0)*base!P799,0)</f>
        <v>0</v>
      </c>
      <c r="R799" s="38"/>
      <c r="S799" s="29"/>
      <c r="T799" s="31">
        <f>IF(base!R799&lt;&gt;"",VLOOKUP(R799,de_para!$A$1:$B$31,2,0)*base!S799,0)</f>
        <v>0</v>
      </c>
      <c r="U799" s="30">
        <f t="shared" si="13"/>
        <v>0</v>
      </c>
    </row>
    <row r="800" spans="1:21" x14ac:dyDescent="0.35">
      <c r="A800" s="29"/>
      <c r="B800" s="29"/>
      <c r="C800" s="29"/>
      <c r="D800" s="29"/>
      <c r="E800" s="29"/>
      <c r="F800" s="29"/>
      <c r="G800" s="29"/>
      <c r="H800" s="31">
        <f>IF(base!F800&lt;&gt;"",VLOOKUP(F800,de_para!$A$1:$B$31,2,0)*base!G800,0)</f>
        <v>0</v>
      </c>
      <c r="I800" s="38"/>
      <c r="J800" s="29"/>
      <c r="K800" s="31">
        <f>IF(base!I800&lt;&gt;"",VLOOKUP(I800,de_para!$A$1:$B$31,2,0)*base!J800,0)</f>
        <v>0</v>
      </c>
      <c r="L800" s="38"/>
      <c r="M800" s="29"/>
      <c r="N800" s="31">
        <f>IF(base!L800&lt;&gt;"",VLOOKUP(L800,de_para!$A$1:$B$31,2,0)*base!M800,0)</f>
        <v>0</v>
      </c>
      <c r="O800" s="38"/>
      <c r="P800" s="29"/>
      <c r="Q800" s="31">
        <f>IF(base!O800&lt;&gt;"",VLOOKUP(O800,de_para!$A$1:$B$31,2,0)*base!P800,0)</f>
        <v>0</v>
      </c>
      <c r="R800" s="38"/>
      <c r="S800" s="29"/>
      <c r="T800" s="31">
        <f>IF(base!R800&lt;&gt;"",VLOOKUP(R800,de_para!$A$1:$B$31,2,0)*base!S800,0)</f>
        <v>0</v>
      </c>
      <c r="U800" s="30">
        <f t="shared" si="13"/>
        <v>0</v>
      </c>
    </row>
    <row r="801" spans="1:21" x14ac:dyDescent="0.35">
      <c r="A801" s="29"/>
      <c r="B801" s="29"/>
      <c r="C801" s="29"/>
      <c r="D801" s="29"/>
      <c r="E801" s="29"/>
      <c r="F801" s="29"/>
      <c r="G801" s="29"/>
      <c r="H801" s="31">
        <f>IF(base!F801&lt;&gt;"",VLOOKUP(F801,de_para!$A$1:$B$31,2,0)*base!G801,0)</f>
        <v>0</v>
      </c>
      <c r="I801" s="38"/>
      <c r="J801" s="29"/>
      <c r="K801" s="31">
        <f>IF(base!I801&lt;&gt;"",VLOOKUP(I801,de_para!$A$1:$B$31,2,0)*base!J801,0)</f>
        <v>0</v>
      </c>
      <c r="L801" s="38"/>
      <c r="M801" s="29"/>
      <c r="N801" s="31">
        <f>IF(base!L801&lt;&gt;"",VLOOKUP(L801,de_para!$A$1:$B$31,2,0)*base!M801,0)</f>
        <v>0</v>
      </c>
      <c r="O801" s="38"/>
      <c r="P801" s="29"/>
      <c r="Q801" s="31">
        <f>IF(base!O801&lt;&gt;"",VLOOKUP(O801,de_para!$A$1:$B$31,2,0)*base!P801,0)</f>
        <v>0</v>
      </c>
      <c r="R801" s="38"/>
      <c r="S801" s="29"/>
      <c r="T801" s="31">
        <f>IF(base!R801&lt;&gt;"",VLOOKUP(R801,de_para!$A$1:$B$31,2,0)*base!S801,0)</f>
        <v>0</v>
      </c>
      <c r="U801" s="30">
        <f t="shared" si="13"/>
        <v>0</v>
      </c>
    </row>
    <row r="802" spans="1:21" x14ac:dyDescent="0.35">
      <c r="A802" s="29"/>
      <c r="B802" s="29"/>
      <c r="C802" s="29"/>
      <c r="D802" s="29"/>
      <c r="E802" s="29"/>
      <c r="F802" s="29"/>
      <c r="G802" s="29"/>
      <c r="H802" s="31">
        <f>IF(base!F802&lt;&gt;"",VLOOKUP(F802,de_para!$A$1:$B$31,2,0)*base!G802,0)</f>
        <v>0</v>
      </c>
      <c r="I802" s="38"/>
      <c r="J802" s="29"/>
      <c r="K802" s="31">
        <f>IF(base!I802&lt;&gt;"",VLOOKUP(I802,de_para!$A$1:$B$31,2,0)*base!J802,0)</f>
        <v>0</v>
      </c>
      <c r="L802" s="38"/>
      <c r="M802" s="29"/>
      <c r="N802" s="31">
        <f>IF(base!L802&lt;&gt;"",VLOOKUP(L802,de_para!$A$1:$B$31,2,0)*base!M802,0)</f>
        <v>0</v>
      </c>
      <c r="O802" s="38"/>
      <c r="P802" s="29"/>
      <c r="Q802" s="31">
        <f>IF(base!O802&lt;&gt;"",VLOOKUP(O802,de_para!$A$1:$B$31,2,0)*base!P802,0)</f>
        <v>0</v>
      </c>
      <c r="R802" s="38"/>
      <c r="S802" s="29"/>
      <c r="T802" s="31">
        <f>IF(base!R802&lt;&gt;"",VLOOKUP(R802,de_para!$A$1:$B$31,2,0)*base!S802,0)</f>
        <v>0</v>
      </c>
      <c r="U802" s="30">
        <f t="shared" si="13"/>
        <v>0</v>
      </c>
    </row>
    <row r="803" spans="1:21" x14ac:dyDescent="0.35">
      <c r="A803" s="29"/>
      <c r="B803" s="29"/>
      <c r="C803" s="29"/>
      <c r="D803" s="29"/>
      <c r="E803" s="29"/>
      <c r="F803" s="29"/>
      <c r="G803" s="29"/>
      <c r="H803" s="31">
        <f>IF(base!F803&lt;&gt;"",VLOOKUP(F803,de_para!$A$1:$B$31,2,0)*base!G803,0)</f>
        <v>0</v>
      </c>
      <c r="I803" s="38"/>
      <c r="J803" s="29"/>
      <c r="K803" s="31">
        <f>IF(base!I803&lt;&gt;"",VLOOKUP(I803,de_para!$A$1:$B$31,2,0)*base!J803,0)</f>
        <v>0</v>
      </c>
      <c r="L803" s="38"/>
      <c r="M803" s="29"/>
      <c r="N803" s="31">
        <f>IF(base!L803&lt;&gt;"",VLOOKUP(L803,de_para!$A$1:$B$31,2,0)*base!M803,0)</f>
        <v>0</v>
      </c>
      <c r="O803" s="38"/>
      <c r="P803" s="29"/>
      <c r="Q803" s="31">
        <f>IF(base!O803&lt;&gt;"",VLOOKUP(O803,de_para!$A$1:$B$31,2,0)*base!P803,0)</f>
        <v>0</v>
      </c>
      <c r="R803" s="38"/>
      <c r="S803" s="29"/>
      <c r="T803" s="31">
        <f>IF(base!R803&lt;&gt;"",VLOOKUP(R803,de_para!$A$1:$B$31,2,0)*base!S803,0)</f>
        <v>0</v>
      </c>
      <c r="U803" s="30">
        <f t="shared" si="13"/>
        <v>0</v>
      </c>
    </row>
    <row r="804" spans="1:21" x14ac:dyDescent="0.35">
      <c r="A804" s="29"/>
      <c r="B804" s="29"/>
      <c r="C804" s="29"/>
      <c r="D804" s="29"/>
      <c r="E804" s="29"/>
      <c r="F804" s="29"/>
      <c r="G804" s="29"/>
      <c r="H804" s="31">
        <f>IF(base!F804&lt;&gt;"",VLOOKUP(F804,de_para!$A$1:$B$31,2,0)*base!G804,0)</f>
        <v>0</v>
      </c>
      <c r="I804" s="38"/>
      <c r="J804" s="29"/>
      <c r="K804" s="31">
        <f>IF(base!I804&lt;&gt;"",VLOOKUP(I804,de_para!$A$1:$B$31,2,0)*base!J804,0)</f>
        <v>0</v>
      </c>
      <c r="L804" s="38"/>
      <c r="M804" s="29"/>
      <c r="N804" s="31">
        <f>IF(base!L804&lt;&gt;"",VLOOKUP(L804,de_para!$A$1:$B$31,2,0)*base!M804,0)</f>
        <v>0</v>
      </c>
      <c r="O804" s="38"/>
      <c r="P804" s="29"/>
      <c r="Q804" s="31">
        <f>IF(base!O804&lt;&gt;"",VLOOKUP(O804,de_para!$A$1:$B$31,2,0)*base!P804,0)</f>
        <v>0</v>
      </c>
      <c r="R804" s="38"/>
      <c r="S804" s="29"/>
      <c r="T804" s="31">
        <f>IF(base!R804&lt;&gt;"",VLOOKUP(R804,de_para!$A$1:$B$31,2,0)*base!S804,0)</f>
        <v>0</v>
      </c>
      <c r="U804" s="30">
        <f t="shared" si="13"/>
        <v>0</v>
      </c>
    </row>
    <row r="805" spans="1:21" x14ac:dyDescent="0.35">
      <c r="A805" s="29"/>
      <c r="B805" s="29"/>
      <c r="C805" s="29"/>
      <c r="D805" s="29"/>
      <c r="E805" s="29"/>
      <c r="F805" s="29"/>
      <c r="G805" s="29"/>
      <c r="H805" s="31">
        <f>IF(base!F805&lt;&gt;"",VLOOKUP(F805,de_para!$A$1:$B$31,2,0)*base!G805,0)</f>
        <v>0</v>
      </c>
      <c r="I805" s="38"/>
      <c r="J805" s="29"/>
      <c r="K805" s="31">
        <f>IF(base!I805&lt;&gt;"",VLOOKUP(I805,de_para!$A$1:$B$31,2,0)*base!J805,0)</f>
        <v>0</v>
      </c>
      <c r="L805" s="38"/>
      <c r="M805" s="29"/>
      <c r="N805" s="31">
        <f>IF(base!L805&lt;&gt;"",VLOOKUP(L805,de_para!$A$1:$B$31,2,0)*base!M805,0)</f>
        <v>0</v>
      </c>
      <c r="O805" s="38"/>
      <c r="P805" s="29"/>
      <c r="Q805" s="31">
        <f>IF(base!O805&lt;&gt;"",VLOOKUP(O805,de_para!$A$1:$B$31,2,0)*base!P805,0)</f>
        <v>0</v>
      </c>
      <c r="R805" s="38"/>
      <c r="S805" s="29"/>
      <c r="T805" s="31">
        <f>IF(base!R805&lt;&gt;"",VLOOKUP(R805,de_para!$A$1:$B$31,2,0)*base!S805,0)</f>
        <v>0</v>
      </c>
      <c r="U805" s="30">
        <f t="shared" si="13"/>
        <v>0</v>
      </c>
    </row>
    <row r="806" spans="1:21" x14ac:dyDescent="0.35">
      <c r="A806" s="29"/>
      <c r="B806" s="29"/>
      <c r="C806" s="29"/>
      <c r="D806" s="29"/>
      <c r="E806" s="29"/>
      <c r="F806" s="29"/>
      <c r="G806" s="29"/>
      <c r="H806" s="31">
        <f>IF(base!F806&lt;&gt;"",VLOOKUP(F806,de_para!$A$1:$B$31,2,0)*base!G806,0)</f>
        <v>0</v>
      </c>
      <c r="I806" s="38"/>
      <c r="J806" s="29"/>
      <c r="K806" s="31">
        <f>IF(base!I806&lt;&gt;"",VLOOKUP(I806,de_para!$A$1:$B$31,2,0)*base!J806,0)</f>
        <v>0</v>
      </c>
      <c r="L806" s="38"/>
      <c r="M806" s="29"/>
      <c r="N806" s="31">
        <f>IF(base!L806&lt;&gt;"",VLOOKUP(L806,de_para!$A$1:$B$31,2,0)*base!M806,0)</f>
        <v>0</v>
      </c>
      <c r="O806" s="38"/>
      <c r="P806" s="29"/>
      <c r="Q806" s="31">
        <f>IF(base!O806&lt;&gt;"",VLOOKUP(O806,de_para!$A$1:$B$31,2,0)*base!P806,0)</f>
        <v>0</v>
      </c>
      <c r="R806" s="38"/>
      <c r="S806" s="29"/>
      <c r="T806" s="31">
        <f>IF(base!R806&lt;&gt;"",VLOOKUP(R806,de_para!$A$1:$B$31,2,0)*base!S806,0)</f>
        <v>0</v>
      </c>
      <c r="U806" s="30">
        <f t="shared" si="13"/>
        <v>0</v>
      </c>
    </row>
    <row r="807" spans="1:21" x14ac:dyDescent="0.35">
      <c r="A807" s="29"/>
      <c r="B807" s="29"/>
      <c r="C807" s="29"/>
      <c r="D807" s="29"/>
      <c r="E807" s="29"/>
      <c r="F807" s="29"/>
      <c r="G807" s="29"/>
      <c r="H807" s="31">
        <f>IF(base!F807&lt;&gt;"",VLOOKUP(F807,de_para!$A$1:$B$31,2,0)*base!G807,0)</f>
        <v>0</v>
      </c>
      <c r="I807" s="38"/>
      <c r="J807" s="29"/>
      <c r="K807" s="31">
        <f>IF(base!I807&lt;&gt;"",VLOOKUP(I807,de_para!$A$1:$B$31,2,0)*base!J807,0)</f>
        <v>0</v>
      </c>
      <c r="L807" s="38"/>
      <c r="M807" s="29"/>
      <c r="N807" s="31">
        <f>IF(base!L807&lt;&gt;"",VLOOKUP(L807,de_para!$A$1:$B$31,2,0)*base!M807,0)</f>
        <v>0</v>
      </c>
      <c r="O807" s="38"/>
      <c r="P807" s="29"/>
      <c r="Q807" s="31">
        <f>IF(base!O807&lt;&gt;"",VLOOKUP(O807,de_para!$A$1:$B$31,2,0)*base!P807,0)</f>
        <v>0</v>
      </c>
      <c r="R807" s="38"/>
      <c r="S807" s="29"/>
      <c r="T807" s="31">
        <f>IF(base!R807&lt;&gt;"",VLOOKUP(R807,de_para!$A$1:$B$31,2,0)*base!S807,0)</f>
        <v>0</v>
      </c>
      <c r="U807" s="30">
        <f t="shared" si="13"/>
        <v>0</v>
      </c>
    </row>
    <row r="808" spans="1:21" x14ac:dyDescent="0.35">
      <c r="A808" s="29"/>
      <c r="B808" s="29"/>
      <c r="C808" s="29"/>
      <c r="D808" s="29"/>
      <c r="E808" s="29"/>
      <c r="F808" s="29"/>
      <c r="G808" s="29"/>
      <c r="H808" s="31">
        <f>IF(base!F808&lt;&gt;"",VLOOKUP(F808,de_para!$A$1:$B$31,2,0)*base!G808,0)</f>
        <v>0</v>
      </c>
      <c r="I808" s="38"/>
      <c r="J808" s="29"/>
      <c r="K808" s="31">
        <f>IF(base!I808&lt;&gt;"",VLOOKUP(I808,de_para!$A$1:$B$31,2,0)*base!J808,0)</f>
        <v>0</v>
      </c>
      <c r="L808" s="38"/>
      <c r="M808" s="29"/>
      <c r="N808" s="31">
        <f>IF(base!L808&lt;&gt;"",VLOOKUP(L808,de_para!$A$1:$B$31,2,0)*base!M808,0)</f>
        <v>0</v>
      </c>
      <c r="O808" s="38"/>
      <c r="P808" s="29"/>
      <c r="Q808" s="31">
        <f>IF(base!O808&lt;&gt;"",VLOOKUP(O808,de_para!$A$1:$B$31,2,0)*base!P808,0)</f>
        <v>0</v>
      </c>
      <c r="R808" s="38"/>
      <c r="S808" s="29"/>
      <c r="T808" s="31">
        <f>IF(base!R808&lt;&gt;"",VLOOKUP(R808,de_para!$A$1:$B$31,2,0)*base!S808,0)</f>
        <v>0</v>
      </c>
      <c r="U808" s="30">
        <f t="shared" si="13"/>
        <v>0</v>
      </c>
    </row>
    <row r="809" spans="1:21" x14ac:dyDescent="0.35">
      <c r="A809" s="29"/>
      <c r="B809" s="29"/>
      <c r="C809" s="29"/>
      <c r="D809" s="29"/>
      <c r="E809" s="29"/>
      <c r="F809" s="29"/>
      <c r="G809" s="29"/>
      <c r="H809" s="31">
        <f>IF(base!F809&lt;&gt;"",VLOOKUP(F809,de_para!$A$1:$B$31,2,0)*base!G809,0)</f>
        <v>0</v>
      </c>
      <c r="I809" s="38"/>
      <c r="J809" s="29"/>
      <c r="K809" s="31">
        <f>IF(base!I809&lt;&gt;"",VLOOKUP(I809,de_para!$A$1:$B$31,2,0)*base!J809,0)</f>
        <v>0</v>
      </c>
      <c r="L809" s="38"/>
      <c r="M809" s="29"/>
      <c r="N809" s="31">
        <f>IF(base!L809&lt;&gt;"",VLOOKUP(L809,de_para!$A$1:$B$31,2,0)*base!M809,0)</f>
        <v>0</v>
      </c>
      <c r="O809" s="38"/>
      <c r="P809" s="29"/>
      <c r="Q809" s="31">
        <f>IF(base!O809&lt;&gt;"",VLOOKUP(O809,de_para!$A$1:$B$31,2,0)*base!P809,0)</f>
        <v>0</v>
      </c>
      <c r="R809" s="38"/>
      <c r="S809" s="29"/>
      <c r="T809" s="31">
        <f>IF(base!R809&lt;&gt;"",VLOOKUP(R809,de_para!$A$1:$B$31,2,0)*base!S809,0)</f>
        <v>0</v>
      </c>
      <c r="U809" s="30">
        <f t="shared" si="13"/>
        <v>0</v>
      </c>
    </row>
    <row r="810" spans="1:21" x14ac:dyDescent="0.35">
      <c r="A810" s="29"/>
      <c r="B810" s="29"/>
      <c r="C810" s="29"/>
      <c r="D810" s="29"/>
      <c r="E810" s="29"/>
      <c r="F810" s="29"/>
      <c r="G810" s="29"/>
      <c r="H810" s="31">
        <f>IF(base!F810&lt;&gt;"",VLOOKUP(F810,de_para!$A$1:$B$31,2,0)*base!G810,0)</f>
        <v>0</v>
      </c>
      <c r="I810" s="38"/>
      <c r="J810" s="29"/>
      <c r="K810" s="31">
        <f>IF(base!I810&lt;&gt;"",VLOOKUP(I810,de_para!$A$1:$B$31,2,0)*base!J810,0)</f>
        <v>0</v>
      </c>
      <c r="L810" s="38"/>
      <c r="M810" s="29"/>
      <c r="N810" s="31">
        <f>IF(base!L810&lt;&gt;"",VLOOKUP(L810,de_para!$A$1:$B$31,2,0)*base!M810,0)</f>
        <v>0</v>
      </c>
      <c r="O810" s="38"/>
      <c r="P810" s="29"/>
      <c r="Q810" s="31">
        <f>IF(base!O810&lt;&gt;"",VLOOKUP(O810,de_para!$A$1:$B$31,2,0)*base!P810,0)</f>
        <v>0</v>
      </c>
      <c r="R810" s="38"/>
      <c r="S810" s="29"/>
      <c r="T810" s="31">
        <f>IF(base!R810&lt;&gt;"",VLOOKUP(R810,de_para!$A$1:$B$31,2,0)*base!S810,0)</f>
        <v>0</v>
      </c>
      <c r="U810" s="30">
        <f t="shared" si="13"/>
        <v>0</v>
      </c>
    </row>
    <row r="811" spans="1:21" x14ac:dyDescent="0.35">
      <c r="A811" s="29"/>
      <c r="B811" s="29"/>
      <c r="C811" s="29"/>
      <c r="D811" s="29"/>
      <c r="E811" s="29"/>
      <c r="F811" s="29"/>
      <c r="G811" s="29"/>
      <c r="H811" s="31">
        <f>IF(base!F811&lt;&gt;"",VLOOKUP(F811,de_para!$A$1:$B$31,2,0)*base!G811,0)</f>
        <v>0</v>
      </c>
      <c r="I811" s="38"/>
      <c r="J811" s="29"/>
      <c r="K811" s="31">
        <f>IF(base!I811&lt;&gt;"",VLOOKUP(I811,de_para!$A$1:$B$31,2,0)*base!J811,0)</f>
        <v>0</v>
      </c>
      <c r="L811" s="38"/>
      <c r="M811" s="29"/>
      <c r="N811" s="31">
        <f>IF(base!L811&lt;&gt;"",VLOOKUP(L811,de_para!$A$1:$B$31,2,0)*base!M811,0)</f>
        <v>0</v>
      </c>
      <c r="O811" s="38"/>
      <c r="P811" s="29"/>
      <c r="Q811" s="31">
        <f>IF(base!O811&lt;&gt;"",VLOOKUP(O811,de_para!$A$1:$B$31,2,0)*base!P811,0)</f>
        <v>0</v>
      </c>
      <c r="R811" s="38"/>
      <c r="S811" s="29"/>
      <c r="T811" s="31">
        <f>IF(base!R811&lt;&gt;"",VLOOKUP(R811,de_para!$A$1:$B$31,2,0)*base!S811,0)</f>
        <v>0</v>
      </c>
      <c r="U811" s="30">
        <f t="shared" si="13"/>
        <v>0</v>
      </c>
    </row>
    <row r="812" spans="1:21" x14ac:dyDescent="0.35">
      <c r="A812" s="29"/>
      <c r="B812" s="29"/>
      <c r="C812" s="29"/>
      <c r="D812" s="29"/>
      <c r="E812" s="29"/>
      <c r="F812" s="29"/>
      <c r="G812" s="29"/>
      <c r="H812" s="31">
        <f>IF(base!F812&lt;&gt;"",VLOOKUP(F812,de_para!$A$1:$B$31,2,0)*base!G812,0)</f>
        <v>0</v>
      </c>
      <c r="I812" s="38"/>
      <c r="J812" s="29"/>
      <c r="K812" s="31">
        <f>IF(base!I812&lt;&gt;"",VLOOKUP(I812,de_para!$A$1:$B$31,2,0)*base!J812,0)</f>
        <v>0</v>
      </c>
      <c r="L812" s="38"/>
      <c r="M812" s="29"/>
      <c r="N812" s="31">
        <f>IF(base!L812&lt;&gt;"",VLOOKUP(L812,de_para!$A$1:$B$31,2,0)*base!M812,0)</f>
        <v>0</v>
      </c>
      <c r="O812" s="38"/>
      <c r="P812" s="29"/>
      <c r="Q812" s="31">
        <f>IF(base!O812&lt;&gt;"",VLOOKUP(O812,de_para!$A$1:$B$31,2,0)*base!P812,0)</f>
        <v>0</v>
      </c>
      <c r="R812" s="38"/>
      <c r="S812" s="29"/>
      <c r="T812" s="31">
        <f>IF(base!R812&lt;&gt;"",VLOOKUP(R812,de_para!$A$1:$B$31,2,0)*base!S812,0)</f>
        <v>0</v>
      </c>
      <c r="U812" s="30">
        <f t="shared" si="13"/>
        <v>0</v>
      </c>
    </row>
    <row r="813" spans="1:21" x14ac:dyDescent="0.35">
      <c r="A813" s="29"/>
      <c r="B813" s="29"/>
      <c r="C813" s="29"/>
      <c r="D813" s="29"/>
      <c r="E813" s="29"/>
      <c r="F813" s="29"/>
      <c r="G813" s="29"/>
      <c r="H813" s="31">
        <f>IF(base!F813&lt;&gt;"",VLOOKUP(F813,de_para!$A$1:$B$31,2,0)*base!G813,0)</f>
        <v>0</v>
      </c>
      <c r="I813" s="38"/>
      <c r="J813" s="29"/>
      <c r="K813" s="31">
        <f>IF(base!I813&lt;&gt;"",VLOOKUP(I813,de_para!$A$1:$B$31,2,0)*base!J813,0)</f>
        <v>0</v>
      </c>
      <c r="L813" s="38"/>
      <c r="M813" s="29"/>
      <c r="N813" s="31">
        <f>IF(base!L813&lt;&gt;"",VLOOKUP(L813,de_para!$A$1:$B$31,2,0)*base!M813,0)</f>
        <v>0</v>
      </c>
      <c r="O813" s="38"/>
      <c r="P813" s="29"/>
      <c r="Q813" s="31">
        <f>IF(base!O813&lt;&gt;"",VLOOKUP(O813,de_para!$A$1:$B$31,2,0)*base!P813,0)</f>
        <v>0</v>
      </c>
      <c r="R813" s="38"/>
      <c r="S813" s="29"/>
      <c r="T813" s="31">
        <f>IF(base!R813&lt;&gt;"",VLOOKUP(R813,de_para!$A$1:$B$31,2,0)*base!S813,0)</f>
        <v>0</v>
      </c>
      <c r="U813" s="30">
        <f t="shared" si="13"/>
        <v>0</v>
      </c>
    </row>
    <row r="814" spans="1:21" x14ac:dyDescent="0.35">
      <c r="A814" s="29"/>
      <c r="B814" s="29"/>
      <c r="C814" s="29"/>
      <c r="D814" s="29"/>
      <c r="E814" s="29"/>
      <c r="F814" s="29"/>
      <c r="G814" s="29"/>
      <c r="H814" s="31">
        <f>IF(base!F814&lt;&gt;"",VLOOKUP(F814,de_para!$A$1:$B$31,2,0)*base!G814,0)</f>
        <v>0</v>
      </c>
      <c r="I814" s="38"/>
      <c r="J814" s="29"/>
      <c r="K814" s="31">
        <f>IF(base!I814&lt;&gt;"",VLOOKUP(I814,de_para!$A$1:$B$31,2,0)*base!J814,0)</f>
        <v>0</v>
      </c>
      <c r="L814" s="38"/>
      <c r="M814" s="29"/>
      <c r="N814" s="31">
        <f>IF(base!L814&lt;&gt;"",VLOOKUP(L814,de_para!$A$1:$B$31,2,0)*base!M814,0)</f>
        <v>0</v>
      </c>
      <c r="O814" s="38"/>
      <c r="P814" s="29"/>
      <c r="Q814" s="31">
        <f>IF(base!O814&lt;&gt;"",VLOOKUP(O814,de_para!$A$1:$B$31,2,0)*base!P814,0)</f>
        <v>0</v>
      </c>
      <c r="R814" s="38"/>
      <c r="S814" s="29"/>
      <c r="T814" s="31">
        <f>IF(base!R814&lt;&gt;"",VLOOKUP(R814,de_para!$A$1:$B$31,2,0)*base!S814,0)</f>
        <v>0</v>
      </c>
      <c r="U814" s="30">
        <f t="shared" si="13"/>
        <v>0</v>
      </c>
    </row>
    <row r="815" spans="1:21" x14ac:dyDescent="0.35">
      <c r="A815" s="29"/>
      <c r="B815" s="29"/>
      <c r="C815" s="29"/>
      <c r="D815" s="29"/>
      <c r="E815" s="29"/>
      <c r="F815" s="29"/>
      <c r="G815" s="29"/>
      <c r="H815" s="31">
        <f>IF(base!F815&lt;&gt;"",VLOOKUP(F815,de_para!$A$1:$B$31,2,0)*base!G815,0)</f>
        <v>0</v>
      </c>
      <c r="I815" s="38"/>
      <c r="J815" s="29"/>
      <c r="K815" s="31">
        <f>IF(base!I815&lt;&gt;"",VLOOKUP(I815,de_para!$A$1:$B$31,2,0)*base!J815,0)</f>
        <v>0</v>
      </c>
      <c r="L815" s="38"/>
      <c r="M815" s="29"/>
      <c r="N815" s="31">
        <f>IF(base!L815&lt;&gt;"",VLOOKUP(L815,de_para!$A$1:$B$31,2,0)*base!M815,0)</f>
        <v>0</v>
      </c>
      <c r="O815" s="38"/>
      <c r="P815" s="29"/>
      <c r="Q815" s="31">
        <f>IF(base!O815&lt;&gt;"",VLOOKUP(O815,de_para!$A$1:$B$31,2,0)*base!P815,0)</f>
        <v>0</v>
      </c>
      <c r="R815" s="38"/>
      <c r="S815" s="29"/>
      <c r="T815" s="31">
        <f>IF(base!R815&lt;&gt;"",VLOOKUP(R815,de_para!$A$1:$B$31,2,0)*base!S815,0)</f>
        <v>0</v>
      </c>
      <c r="U815" s="30">
        <f t="shared" si="13"/>
        <v>0</v>
      </c>
    </row>
    <row r="816" spans="1:21" x14ac:dyDescent="0.35">
      <c r="A816" s="29"/>
      <c r="B816" s="29"/>
      <c r="C816" s="29"/>
      <c r="D816" s="29"/>
      <c r="E816" s="29"/>
      <c r="F816" s="29"/>
      <c r="G816" s="29"/>
      <c r="H816" s="31">
        <f>IF(base!F816&lt;&gt;"",VLOOKUP(F816,de_para!$A$1:$B$31,2,0)*base!G816,0)</f>
        <v>0</v>
      </c>
      <c r="I816" s="38"/>
      <c r="J816" s="29"/>
      <c r="K816" s="31">
        <f>IF(base!I816&lt;&gt;"",VLOOKUP(I816,de_para!$A$1:$B$31,2,0)*base!J816,0)</f>
        <v>0</v>
      </c>
      <c r="L816" s="38"/>
      <c r="M816" s="29"/>
      <c r="N816" s="31">
        <f>IF(base!L816&lt;&gt;"",VLOOKUP(L816,de_para!$A$1:$B$31,2,0)*base!M816,0)</f>
        <v>0</v>
      </c>
      <c r="O816" s="38"/>
      <c r="P816" s="29"/>
      <c r="Q816" s="31">
        <f>IF(base!O816&lt;&gt;"",VLOOKUP(O816,de_para!$A$1:$B$31,2,0)*base!P816,0)</f>
        <v>0</v>
      </c>
      <c r="R816" s="38"/>
      <c r="S816" s="29"/>
      <c r="T816" s="31">
        <f>IF(base!R816&lt;&gt;"",VLOOKUP(R816,de_para!$A$1:$B$31,2,0)*base!S816,0)</f>
        <v>0</v>
      </c>
      <c r="U816" s="30">
        <f t="shared" si="13"/>
        <v>0</v>
      </c>
    </row>
    <row r="817" spans="1:21" x14ac:dyDescent="0.35">
      <c r="A817" s="29"/>
      <c r="B817" s="29"/>
      <c r="C817" s="29"/>
      <c r="D817" s="29"/>
      <c r="E817" s="29"/>
      <c r="F817" s="29"/>
      <c r="G817" s="29"/>
      <c r="H817" s="31">
        <f>IF(base!F817&lt;&gt;"",VLOOKUP(F817,de_para!$A$1:$B$31,2,0)*base!G817,0)</f>
        <v>0</v>
      </c>
      <c r="I817" s="38"/>
      <c r="J817" s="29"/>
      <c r="K817" s="31">
        <f>IF(base!I817&lt;&gt;"",VLOOKUP(I817,de_para!$A$1:$B$31,2,0)*base!J817,0)</f>
        <v>0</v>
      </c>
      <c r="L817" s="38"/>
      <c r="M817" s="29"/>
      <c r="N817" s="31">
        <f>IF(base!L817&lt;&gt;"",VLOOKUP(L817,de_para!$A$1:$B$31,2,0)*base!M817,0)</f>
        <v>0</v>
      </c>
      <c r="O817" s="38"/>
      <c r="P817" s="29"/>
      <c r="Q817" s="31">
        <f>IF(base!O817&lt;&gt;"",VLOOKUP(O817,de_para!$A$1:$B$31,2,0)*base!P817,0)</f>
        <v>0</v>
      </c>
      <c r="R817" s="38"/>
      <c r="S817" s="29"/>
      <c r="T817" s="31">
        <f>IF(base!R817&lt;&gt;"",VLOOKUP(R817,de_para!$A$1:$B$31,2,0)*base!S817,0)</f>
        <v>0</v>
      </c>
      <c r="U817" s="30">
        <f t="shared" si="13"/>
        <v>0</v>
      </c>
    </row>
    <row r="818" spans="1:21" x14ac:dyDescent="0.35">
      <c r="A818" s="29"/>
      <c r="B818" s="29"/>
      <c r="C818" s="29"/>
      <c r="D818" s="29"/>
      <c r="E818" s="29"/>
      <c r="F818" s="29"/>
      <c r="G818" s="29"/>
      <c r="H818" s="31">
        <f>IF(base!F818&lt;&gt;"",VLOOKUP(F818,de_para!$A$1:$B$31,2,0)*base!G818,0)</f>
        <v>0</v>
      </c>
      <c r="I818" s="38"/>
      <c r="J818" s="29"/>
      <c r="K818" s="31">
        <f>IF(base!I818&lt;&gt;"",VLOOKUP(I818,de_para!$A$1:$B$31,2,0)*base!J818,0)</f>
        <v>0</v>
      </c>
      <c r="L818" s="38"/>
      <c r="M818" s="29"/>
      <c r="N818" s="31">
        <f>IF(base!L818&lt;&gt;"",VLOOKUP(L818,de_para!$A$1:$B$31,2,0)*base!M818,0)</f>
        <v>0</v>
      </c>
      <c r="O818" s="38"/>
      <c r="P818" s="29"/>
      <c r="Q818" s="31">
        <f>IF(base!O818&lt;&gt;"",VLOOKUP(O818,de_para!$A$1:$B$31,2,0)*base!P818,0)</f>
        <v>0</v>
      </c>
      <c r="R818" s="38"/>
      <c r="S818" s="29"/>
      <c r="T818" s="31">
        <f>IF(base!R818&lt;&gt;"",VLOOKUP(R818,de_para!$A$1:$B$31,2,0)*base!S818,0)</f>
        <v>0</v>
      </c>
      <c r="U818" s="30">
        <f t="shared" si="13"/>
        <v>0</v>
      </c>
    </row>
    <row r="819" spans="1:21" x14ac:dyDescent="0.35">
      <c r="A819" s="29"/>
      <c r="B819" s="29"/>
      <c r="C819" s="29"/>
      <c r="D819" s="29"/>
      <c r="E819" s="29"/>
      <c r="F819" s="29"/>
      <c r="G819" s="29"/>
      <c r="H819" s="31">
        <f>IF(base!F819&lt;&gt;"",VLOOKUP(F819,de_para!$A$1:$B$31,2,0)*base!G819,0)</f>
        <v>0</v>
      </c>
      <c r="I819" s="38"/>
      <c r="J819" s="29"/>
      <c r="K819" s="31">
        <f>IF(base!I819&lt;&gt;"",VLOOKUP(I819,de_para!$A$1:$B$31,2,0)*base!J819,0)</f>
        <v>0</v>
      </c>
      <c r="L819" s="38"/>
      <c r="M819" s="29"/>
      <c r="N819" s="31">
        <f>IF(base!L819&lt;&gt;"",VLOOKUP(L819,de_para!$A$1:$B$31,2,0)*base!M819,0)</f>
        <v>0</v>
      </c>
      <c r="O819" s="38"/>
      <c r="P819" s="29"/>
      <c r="Q819" s="31">
        <f>IF(base!O819&lt;&gt;"",VLOOKUP(O819,de_para!$A$1:$B$31,2,0)*base!P819,0)</f>
        <v>0</v>
      </c>
      <c r="R819" s="38"/>
      <c r="S819" s="29"/>
      <c r="T819" s="31">
        <f>IF(base!R819&lt;&gt;"",VLOOKUP(R819,de_para!$A$1:$B$31,2,0)*base!S819,0)</f>
        <v>0</v>
      </c>
      <c r="U819" s="30">
        <f t="shared" si="13"/>
        <v>0</v>
      </c>
    </row>
    <row r="820" spans="1:21" x14ac:dyDescent="0.35">
      <c r="A820" s="29"/>
      <c r="B820" s="29"/>
      <c r="C820" s="29"/>
      <c r="D820" s="29"/>
      <c r="E820" s="29"/>
      <c r="F820" s="29"/>
      <c r="G820" s="29"/>
      <c r="H820" s="31">
        <f>IF(base!F820&lt;&gt;"",VLOOKUP(F820,de_para!$A$1:$B$31,2,0)*base!G820,0)</f>
        <v>0</v>
      </c>
      <c r="I820" s="38"/>
      <c r="J820" s="29"/>
      <c r="K820" s="31">
        <f>IF(base!I820&lt;&gt;"",VLOOKUP(I820,de_para!$A$1:$B$31,2,0)*base!J820,0)</f>
        <v>0</v>
      </c>
      <c r="L820" s="38"/>
      <c r="M820" s="29"/>
      <c r="N820" s="31">
        <f>IF(base!L820&lt;&gt;"",VLOOKUP(L820,de_para!$A$1:$B$31,2,0)*base!M820,0)</f>
        <v>0</v>
      </c>
      <c r="O820" s="38"/>
      <c r="P820" s="29"/>
      <c r="Q820" s="31">
        <f>IF(base!O820&lt;&gt;"",VLOOKUP(O820,de_para!$A$1:$B$31,2,0)*base!P820,0)</f>
        <v>0</v>
      </c>
      <c r="R820" s="38"/>
      <c r="S820" s="29"/>
      <c r="T820" s="31">
        <f>IF(base!R820&lt;&gt;"",VLOOKUP(R820,de_para!$A$1:$B$31,2,0)*base!S820,0)</f>
        <v>0</v>
      </c>
      <c r="U820" s="30">
        <f t="shared" si="13"/>
        <v>0</v>
      </c>
    </row>
    <row r="821" spans="1:21" x14ac:dyDescent="0.35">
      <c r="A821" s="29"/>
      <c r="B821" s="29"/>
      <c r="C821" s="29"/>
      <c r="D821" s="29"/>
      <c r="E821" s="29"/>
      <c r="F821" s="29"/>
      <c r="G821" s="29"/>
      <c r="H821" s="31">
        <f>IF(base!F821&lt;&gt;"",VLOOKUP(F821,de_para!$A$1:$B$31,2,0)*base!G821,0)</f>
        <v>0</v>
      </c>
      <c r="I821" s="38"/>
      <c r="J821" s="29"/>
      <c r="K821" s="31">
        <f>IF(base!I821&lt;&gt;"",VLOOKUP(I821,de_para!$A$1:$B$31,2,0)*base!J821,0)</f>
        <v>0</v>
      </c>
      <c r="L821" s="38"/>
      <c r="M821" s="29"/>
      <c r="N821" s="31">
        <f>IF(base!L821&lt;&gt;"",VLOOKUP(L821,de_para!$A$1:$B$31,2,0)*base!M821,0)</f>
        <v>0</v>
      </c>
      <c r="O821" s="38"/>
      <c r="P821" s="29"/>
      <c r="Q821" s="31">
        <f>IF(base!O821&lt;&gt;"",VLOOKUP(O821,de_para!$A$1:$B$31,2,0)*base!P821,0)</f>
        <v>0</v>
      </c>
      <c r="R821" s="38"/>
      <c r="S821" s="29"/>
      <c r="T821" s="31">
        <f>IF(base!R821&lt;&gt;"",VLOOKUP(R821,de_para!$A$1:$B$31,2,0)*base!S821,0)</f>
        <v>0</v>
      </c>
      <c r="U821" s="30">
        <f t="shared" si="13"/>
        <v>0</v>
      </c>
    </row>
    <row r="822" spans="1:21" x14ac:dyDescent="0.35">
      <c r="A822" s="29"/>
      <c r="B822" s="29"/>
      <c r="C822" s="29"/>
      <c r="D822" s="29"/>
      <c r="E822" s="29"/>
      <c r="F822" s="29"/>
      <c r="G822" s="29"/>
      <c r="H822" s="31">
        <f>IF(base!F822&lt;&gt;"",VLOOKUP(F822,de_para!$A$1:$B$31,2,0)*base!G822,0)</f>
        <v>0</v>
      </c>
      <c r="I822" s="38"/>
      <c r="J822" s="29"/>
      <c r="K822" s="31">
        <f>IF(base!I822&lt;&gt;"",VLOOKUP(I822,de_para!$A$1:$B$31,2,0)*base!J822,0)</f>
        <v>0</v>
      </c>
      <c r="L822" s="38"/>
      <c r="M822" s="29"/>
      <c r="N822" s="31">
        <f>IF(base!L822&lt;&gt;"",VLOOKUP(L822,de_para!$A$1:$B$31,2,0)*base!M822,0)</f>
        <v>0</v>
      </c>
      <c r="O822" s="38"/>
      <c r="P822" s="29"/>
      <c r="Q822" s="31">
        <f>IF(base!O822&lt;&gt;"",VLOOKUP(O822,de_para!$A$1:$B$31,2,0)*base!P822,0)</f>
        <v>0</v>
      </c>
      <c r="R822" s="38"/>
      <c r="S822" s="29"/>
      <c r="T822" s="31">
        <f>IF(base!R822&lt;&gt;"",VLOOKUP(R822,de_para!$A$1:$B$31,2,0)*base!S822,0)</f>
        <v>0</v>
      </c>
      <c r="U822" s="30">
        <f t="shared" si="13"/>
        <v>0</v>
      </c>
    </row>
    <row r="823" spans="1:21" x14ac:dyDescent="0.35">
      <c r="A823" s="29"/>
      <c r="B823" s="29"/>
      <c r="C823" s="29"/>
      <c r="D823" s="29"/>
      <c r="E823" s="29"/>
      <c r="F823" s="29"/>
      <c r="G823" s="29"/>
      <c r="H823" s="31">
        <f>IF(base!F823&lt;&gt;"",VLOOKUP(F823,de_para!$A$1:$B$31,2,0)*base!G823,0)</f>
        <v>0</v>
      </c>
      <c r="I823" s="38"/>
      <c r="J823" s="29"/>
      <c r="K823" s="31">
        <f>IF(base!I823&lt;&gt;"",VLOOKUP(I823,de_para!$A$1:$B$31,2,0)*base!J823,0)</f>
        <v>0</v>
      </c>
      <c r="L823" s="38"/>
      <c r="M823" s="29"/>
      <c r="N823" s="31">
        <f>IF(base!L823&lt;&gt;"",VLOOKUP(L823,de_para!$A$1:$B$31,2,0)*base!M823,0)</f>
        <v>0</v>
      </c>
      <c r="O823" s="38"/>
      <c r="P823" s="29"/>
      <c r="Q823" s="31">
        <f>IF(base!O823&lt;&gt;"",VLOOKUP(O823,de_para!$A$1:$B$31,2,0)*base!P823,0)</f>
        <v>0</v>
      </c>
      <c r="R823" s="38"/>
      <c r="S823" s="29"/>
      <c r="T823" s="31">
        <f>IF(base!R823&lt;&gt;"",VLOOKUP(R823,de_para!$A$1:$B$31,2,0)*base!S823,0)</f>
        <v>0</v>
      </c>
      <c r="U823" s="30">
        <f t="shared" ref="U823:U886" si="14">H823+K823+N823+Q823+T823</f>
        <v>0</v>
      </c>
    </row>
    <row r="824" spans="1:21" x14ac:dyDescent="0.35">
      <c r="A824" s="29"/>
      <c r="B824" s="29"/>
      <c r="C824" s="29"/>
      <c r="D824" s="29"/>
      <c r="E824" s="29"/>
      <c r="F824" s="29"/>
      <c r="G824" s="29"/>
      <c r="H824" s="31">
        <f>IF(base!F824&lt;&gt;"",VLOOKUP(F824,de_para!$A$1:$B$31,2,0)*base!G824,0)</f>
        <v>0</v>
      </c>
      <c r="I824" s="38"/>
      <c r="J824" s="29"/>
      <c r="K824" s="31">
        <f>IF(base!I824&lt;&gt;"",VLOOKUP(I824,de_para!$A$1:$B$31,2,0)*base!J824,0)</f>
        <v>0</v>
      </c>
      <c r="L824" s="38"/>
      <c r="M824" s="29"/>
      <c r="N824" s="31">
        <f>IF(base!L824&lt;&gt;"",VLOOKUP(L824,de_para!$A$1:$B$31,2,0)*base!M824,0)</f>
        <v>0</v>
      </c>
      <c r="O824" s="38"/>
      <c r="P824" s="29"/>
      <c r="Q824" s="31">
        <f>IF(base!O824&lt;&gt;"",VLOOKUP(O824,de_para!$A$1:$B$31,2,0)*base!P824,0)</f>
        <v>0</v>
      </c>
      <c r="R824" s="38"/>
      <c r="S824" s="29"/>
      <c r="T824" s="31">
        <f>IF(base!R824&lt;&gt;"",VLOOKUP(R824,de_para!$A$1:$B$31,2,0)*base!S824,0)</f>
        <v>0</v>
      </c>
      <c r="U824" s="30">
        <f t="shared" si="14"/>
        <v>0</v>
      </c>
    </row>
    <row r="825" spans="1:21" x14ac:dyDescent="0.35">
      <c r="A825" s="29"/>
      <c r="B825" s="29"/>
      <c r="C825" s="29"/>
      <c r="D825" s="29"/>
      <c r="E825" s="29"/>
      <c r="F825" s="29"/>
      <c r="G825" s="29"/>
      <c r="H825" s="31">
        <f>IF(base!F825&lt;&gt;"",VLOOKUP(F825,de_para!$A$1:$B$31,2,0)*base!G825,0)</f>
        <v>0</v>
      </c>
      <c r="I825" s="38"/>
      <c r="J825" s="29"/>
      <c r="K825" s="31">
        <f>IF(base!I825&lt;&gt;"",VLOOKUP(I825,de_para!$A$1:$B$31,2,0)*base!J825,0)</f>
        <v>0</v>
      </c>
      <c r="L825" s="38"/>
      <c r="M825" s="29"/>
      <c r="N825" s="31">
        <f>IF(base!L825&lt;&gt;"",VLOOKUP(L825,de_para!$A$1:$B$31,2,0)*base!M825,0)</f>
        <v>0</v>
      </c>
      <c r="O825" s="38"/>
      <c r="P825" s="29"/>
      <c r="Q825" s="31">
        <f>IF(base!O825&lt;&gt;"",VLOOKUP(O825,de_para!$A$1:$B$31,2,0)*base!P825,0)</f>
        <v>0</v>
      </c>
      <c r="R825" s="38"/>
      <c r="S825" s="29"/>
      <c r="T825" s="31">
        <f>IF(base!R825&lt;&gt;"",VLOOKUP(R825,de_para!$A$1:$B$31,2,0)*base!S825,0)</f>
        <v>0</v>
      </c>
      <c r="U825" s="30">
        <f t="shared" si="14"/>
        <v>0</v>
      </c>
    </row>
    <row r="826" spans="1:21" x14ac:dyDescent="0.35">
      <c r="A826" s="29"/>
      <c r="B826" s="29"/>
      <c r="C826" s="29"/>
      <c r="D826" s="29"/>
      <c r="E826" s="29"/>
      <c r="F826" s="29"/>
      <c r="G826" s="29"/>
      <c r="H826" s="31">
        <f>IF(base!F826&lt;&gt;"",VLOOKUP(F826,de_para!$A$1:$B$31,2,0)*base!G826,0)</f>
        <v>0</v>
      </c>
      <c r="I826" s="38"/>
      <c r="J826" s="29"/>
      <c r="K826" s="31">
        <f>IF(base!I826&lt;&gt;"",VLOOKUP(I826,de_para!$A$1:$B$31,2,0)*base!J826,0)</f>
        <v>0</v>
      </c>
      <c r="L826" s="38"/>
      <c r="M826" s="29"/>
      <c r="N826" s="31">
        <f>IF(base!L826&lt;&gt;"",VLOOKUP(L826,de_para!$A$1:$B$31,2,0)*base!M826,0)</f>
        <v>0</v>
      </c>
      <c r="O826" s="38"/>
      <c r="P826" s="29"/>
      <c r="Q826" s="31">
        <f>IF(base!O826&lt;&gt;"",VLOOKUP(O826,de_para!$A$1:$B$31,2,0)*base!P826,0)</f>
        <v>0</v>
      </c>
      <c r="R826" s="38"/>
      <c r="S826" s="29"/>
      <c r="T826" s="31">
        <f>IF(base!R826&lt;&gt;"",VLOOKUP(R826,de_para!$A$1:$B$31,2,0)*base!S826,0)</f>
        <v>0</v>
      </c>
      <c r="U826" s="30">
        <f t="shared" si="14"/>
        <v>0</v>
      </c>
    </row>
    <row r="827" spans="1:21" x14ac:dyDescent="0.35">
      <c r="A827" s="29"/>
      <c r="B827" s="29"/>
      <c r="C827" s="29"/>
      <c r="D827" s="29"/>
      <c r="E827" s="29"/>
      <c r="F827" s="29"/>
      <c r="G827" s="29"/>
      <c r="H827" s="31">
        <f>IF(base!F827&lt;&gt;"",VLOOKUP(F827,de_para!$A$1:$B$31,2,0)*base!G827,0)</f>
        <v>0</v>
      </c>
      <c r="I827" s="38"/>
      <c r="J827" s="29"/>
      <c r="K827" s="31">
        <f>IF(base!I827&lt;&gt;"",VLOOKUP(I827,de_para!$A$1:$B$31,2,0)*base!J827,0)</f>
        <v>0</v>
      </c>
      <c r="L827" s="38"/>
      <c r="M827" s="29"/>
      <c r="N827" s="31">
        <f>IF(base!L827&lt;&gt;"",VLOOKUP(L827,de_para!$A$1:$B$31,2,0)*base!M827,0)</f>
        <v>0</v>
      </c>
      <c r="O827" s="38"/>
      <c r="P827" s="29"/>
      <c r="Q827" s="31">
        <f>IF(base!O827&lt;&gt;"",VLOOKUP(O827,de_para!$A$1:$B$31,2,0)*base!P827,0)</f>
        <v>0</v>
      </c>
      <c r="R827" s="38"/>
      <c r="S827" s="29"/>
      <c r="T827" s="31">
        <f>IF(base!R827&lt;&gt;"",VLOOKUP(R827,de_para!$A$1:$B$31,2,0)*base!S827,0)</f>
        <v>0</v>
      </c>
      <c r="U827" s="30">
        <f t="shared" si="14"/>
        <v>0</v>
      </c>
    </row>
    <row r="828" spans="1:21" x14ac:dyDescent="0.35">
      <c r="A828" s="29"/>
      <c r="B828" s="29"/>
      <c r="C828" s="29"/>
      <c r="D828" s="29"/>
      <c r="E828" s="29"/>
      <c r="F828" s="29"/>
      <c r="G828" s="29"/>
      <c r="H828" s="31">
        <f>IF(base!F828&lt;&gt;"",VLOOKUP(F828,de_para!$A$1:$B$31,2,0)*base!G828,0)</f>
        <v>0</v>
      </c>
      <c r="I828" s="38"/>
      <c r="J828" s="29"/>
      <c r="K828" s="31">
        <f>IF(base!I828&lt;&gt;"",VLOOKUP(I828,de_para!$A$1:$B$31,2,0)*base!J828,0)</f>
        <v>0</v>
      </c>
      <c r="L828" s="38"/>
      <c r="M828" s="29"/>
      <c r="N828" s="31">
        <f>IF(base!L828&lt;&gt;"",VLOOKUP(L828,de_para!$A$1:$B$31,2,0)*base!M828,0)</f>
        <v>0</v>
      </c>
      <c r="O828" s="38"/>
      <c r="P828" s="29"/>
      <c r="Q828" s="31">
        <f>IF(base!O828&lt;&gt;"",VLOOKUP(O828,de_para!$A$1:$B$31,2,0)*base!P828,0)</f>
        <v>0</v>
      </c>
      <c r="R828" s="38"/>
      <c r="S828" s="29"/>
      <c r="T828" s="31">
        <f>IF(base!R828&lt;&gt;"",VLOOKUP(R828,de_para!$A$1:$B$31,2,0)*base!S828,0)</f>
        <v>0</v>
      </c>
      <c r="U828" s="30">
        <f t="shared" si="14"/>
        <v>0</v>
      </c>
    </row>
    <row r="829" spans="1:21" x14ac:dyDescent="0.35">
      <c r="A829" s="29"/>
      <c r="B829" s="29"/>
      <c r="C829" s="29"/>
      <c r="D829" s="29"/>
      <c r="E829" s="29"/>
      <c r="F829" s="29"/>
      <c r="G829" s="29"/>
      <c r="H829" s="31">
        <f>IF(base!F829&lt;&gt;"",VLOOKUP(F829,de_para!$A$1:$B$31,2,0)*base!G829,0)</f>
        <v>0</v>
      </c>
      <c r="I829" s="38"/>
      <c r="J829" s="29"/>
      <c r="K829" s="31">
        <f>IF(base!I829&lt;&gt;"",VLOOKUP(I829,de_para!$A$1:$B$31,2,0)*base!J829,0)</f>
        <v>0</v>
      </c>
      <c r="L829" s="38"/>
      <c r="M829" s="29"/>
      <c r="N829" s="31">
        <f>IF(base!L829&lt;&gt;"",VLOOKUP(L829,de_para!$A$1:$B$31,2,0)*base!M829,0)</f>
        <v>0</v>
      </c>
      <c r="O829" s="38"/>
      <c r="P829" s="29"/>
      <c r="Q829" s="31">
        <f>IF(base!O829&lt;&gt;"",VLOOKUP(O829,de_para!$A$1:$B$31,2,0)*base!P829,0)</f>
        <v>0</v>
      </c>
      <c r="R829" s="38"/>
      <c r="S829" s="29"/>
      <c r="T829" s="31">
        <f>IF(base!R829&lt;&gt;"",VLOOKUP(R829,de_para!$A$1:$B$31,2,0)*base!S829,0)</f>
        <v>0</v>
      </c>
      <c r="U829" s="30">
        <f t="shared" si="14"/>
        <v>0</v>
      </c>
    </row>
    <row r="830" spans="1:21" x14ac:dyDescent="0.35">
      <c r="A830" s="29"/>
      <c r="B830" s="29"/>
      <c r="C830" s="29"/>
      <c r="D830" s="29"/>
      <c r="E830" s="29"/>
      <c r="F830" s="29"/>
      <c r="G830" s="29"/>
      <c r="H830" s="31">
        <f>IF(base!F830&lt;&gt;"",VLOOKUP(F830,de_para!$A$1:$B$31,2,0)*base!G830,0)</f>
        <v>0</v>
      </c>
      <c r="I830" s="38"/>
      <c r="J830" s="29"/>
      <c r="K830" s="31">
        <f>IF(base!I830&lt;&gt;"",VLOOKUP(I830,de_para!$A$1:$B$31,2,0)*base!J830,0)</f>
        <v>0</v>
      </c>
      <c r="L830" s="38"/>
      <c r="M830" s="29"/>
      <c r="N830" s="31">
        <f>IF(base!L830&lt;&gt;"",VLOOKUP(L830,de_para!$A$1:$B$31,2,0)*base!M830,0)</f>
        <v>0</v>
      </c>
      <c r="O830" s="38"/>
      <c r="P830" s="29"/>
      <c r="Q830" s="31">
        <f>IF(base!O830&lt;&gt;"",VLOOKUP(O830,de_para!$A$1:$B$31,2,0)*base!P830,0)</f>
        <v>0</v>
      </c>
      <c r="R830" s="38"/>
      <c r="S830" s="29"/>
      <c r="T830" s="31">
        <f>IF(base!R830&lt;&gt;"",VLOOKUP(R830,de_para!$A$1:$B$31,2,0)*base!S830,0)</f>
        <v>0</v>
      </c>
      <c r="U830" s="30">
        <f t="shared" si="14"/>
        <v>0</v>
      </c>
    </row>
    <row r="831" spans="1:21" x14ac:dyDescent="0.35">
      <c r="A831" s="29"/>
      <c r="B831" s="29"/>
      <c r="C831" s="29"/>
      <c r="D831" s="29"/>
      <c r="E831" s="29"/>
      <c r="F831" s="29"/>
      <c r="G831" s="29"/>
      <c r="H831" s="31">
        <f>IF(base!F831&lt;&gt;"",VLOOKUP(F831,de_para!$A$1:$B$31,2,0)*base!G831,0)</f>
        <v>0</v>
      </c>
      <c r="I831" s="38"/>
      <c r="J831" s="29"/>
      <c r="K831" s="31">
        <f>IF(base!I831&lt;&gt;"",VLOOKUP(I831,de_para!$A$1:$B$31,2,0)*base!J831,0)</f>
        <v>0</v>
      </c>
      <c r="L831" s="38"/>
      <c r="M831" s="29"/>
      <c r="N831" s="31">
        <f>IF(base!L831&lt;&gt;"",VLOOKUP(L831,de_para!$A$1:$B$31,2,0)*base!M831,0)</f>
        <v>0</v>
      </c>
      <c r="O831" s="38"/>
      <c r="P831" s="29"/>
      <c r="Q831" s="31">
        <f>IF(base!O831&lt;&gt;"",VLOOKUP(O831,de_para!$A$1:$B$31,2,0)*base!P831,0)</f>
        <v>0</v>
      </c>
      <c r="R831" s="38"/>
      <c r="S831" s="29"/>
      <c r="T831" s="31">
        <f>IF(base!R831&lt;&gt;"",VLOOKUP(R831,de_para!$A$1:$B$31,2,0)*base!S831,0)</f>
        <v>0</v>
      </c>
      <c r="U831" s="30">
        <f t="shared" si="14"/>
        <v>0</v>
      </c>
    </row>
    <row r="832" spans="1:21" x14ac:dyDescent="0.35">
      <c r="A832" s="29"/>
      <c r="B832" s="29"/>
      <c r="C832" s="29"/>
      <c r="D832" s="29"/>
      <c r="E832" s="29"/>
      <c r="F832" s="29"/>
      <c r="G832" s="29"/>
      <c r="H832" s="31">
        <f>IF(base!F832&lt;&gt;"",VLOOKUP(F832,de_para!$A$1:$B$31,2,0)*base!G832,0)</f>
        <v>0</v>
      </c>
      <c r="I832" s="38"/>
      <c r="J832" s="29"/>
      <c r="K832" s="31">
        <f>IF(base!I832&lt;&gt;"",VLOOKUP(I832,de_para!$A$1:$B$31,2,0)*base!J832,0)</f>
        <v>0</v>
      </c>
      <c r="L832" s="38"/>
      <c r="M832" s="29"/>
      <c r="N832" s="31">
        <f>IF(base!L832&lt;&gt;"",VLOOKUP(L832,de_para!$A$1:$B$31,2,0)*base!M832,0)</f>
        <v>0</v>
      </c>
      <c r="O832" s="38"/>
      <c r="P832" s="29"/>
      <c r="Q832" s="31">
        <f>IF(base!O832&lt;&gt;"",VLOOKUP(O832,de_para!$A$1:$B$31,2,0)*base!P832,0)</f>
        <v>0</v>
      </c>
      <c r="R832" s="38"/>
      <c r="S832" s="29"/>
      <c r="T832" s="31">
        <f>IF(base!R832&lt;&gt;"",VLOOKUP(R832,de_para!$A$1:$B$31,2,0)*base!S832,0)</f>
        <v>0</v>
      </c>
      <c r="U832" s="30">
        <f t="shared" si="14"/>
        <v>0</v>
      </c>
    </row>
    <row r="833" spans="1:21" x14ac:dyDescent="0.35">
      <c r="A833" s="29"/>
      <c r="B833" s="29"/>
      <c r="C833" s="29"/>
      <c r="D833" s="29"/>
      <c r="E833" s="29"/>
      <c r="F833" s="29"/>
      <c r="G833" s="29"/>
      <c r="H833" s="31">
        <f>IF(base!F833&lt;&gt;"",VLOOKUP(F833,de_para!$A$1:$B$31,2,0)*base!G833,0)</f>
        <v>0</v>
      </c>
      <c r="I833" s="38"/>
      <c r="J833" s="29"/>
      <c r="K833" s="31">
        <f>IF(base!I833&lt;&gt;"",VLOOKUP(I833,de_para!$A$1:$B$31,2,0)*base!J833,0)</f>
        <v>0</v>
      </c>
      <c r="L833" s="38"/>
      <c r="M833" s="29"/>
      <c r="N833" s="31">
        <f>IF(base!L833&lt;&gt;"",VLOOKUP(L833,de_para!$A$1:$B$31,2,0)*base!M833,0)</f>
        <v>0</v>
      </c>
      <c r="O833" s="38"/>
      <c r="P833" s="29"/>
      <c r="Q833" s="31">
        <f>IF(base!O833&lt;&gt;"",VLOOKUP(O833,de_para!$A$1:$B$31,2,0)*base!P833,0)</f>
        <v>0</v>
      </c>
      <c r="R833" s="38"/>
      <c r="S833" s="29"/>
      <c r="T833" s="31">
        <f>IF(base!R833&lt;&gt;"",VLOOKUP(R833,de_para!$A$1:$B$31,2,0)*base!S833,0)</f>
        <v>0</v>
      </c>
      <c r="U833" s="30">
        <f t="shared" si="14"/>
        <v>0</v>
      </c>
    </row>
    <row r="834" spans="1:21" x14ac:dyDescent="0.35">
      <c r="A834" s="29"/>
      <c r="B834" s="29"/>
      <c r="C834" s="29"/>
      <c r="D834" s="29"/>
      <c r="E834" s="29"/>
      <c r="F834" s="29"/>
      <c r="G834" s="29"/>
      <c r="H834" s="31">
        <f>IF(base!F834&lt;&gt;"",VLOOKUP(F834,de_para!$A$1:$B$31,2,0)*base!G834,0)</f>
        <v>0</v>
      </c>
      <c r="I834" s="38"/>
      <c r="J834" s="29"/>
      <c r="K834" s="31">
        <f>IF(base!I834&lt;&gt;"",VLOOKUP(I834,de_para!$A$1:$B$31,2,0)*base!J834,0)</f>
        <v>0</v>
      </c>
      <c r="L834" s="38"/>
      <c r="M834" s="29"/>
      <c r="N834" s="31">
        <f>IF(base!L834&lt;&gt;"",VLOOKUP(L834,de_para!$A$1:$B$31,2,0)*base!M834,0)</f>
        <v>0</v>
      </c>
      <c r="O834" s="38"/>
      <c r="P834" s="29"/>
      <c r="Q834" s="31">
        <f>IF(base!O834&lt;&gt;"",VLOOKUP(O834,de_para!$A$1:$B$31,2,0)*base!P834,0)</f>
        <v>0</v>
      </c>
      <c r="R834" s="38"/>
      <c r="S834" s="29"/>
      <c r="T834" s="31">
        <f>IF(base!R834&lt;&gt;"",VLOOKUP(R834,de_para!$A$1:$B$31,2,0)*base!S834,0)</f>
        <v>0</v>
      </c>
      <c r="U834" s="30">
        <f t="shared" si="14"/>
        <v>0</v>
      </c>
    </row>
    <row r="835" spans="1:21" x14ac:dyDescent="0.35">
      <c r="A835" s="29"/>
      <c r="B835" s="29"/>
      <c r="C835" s="29"/>
      <c r="D835" s="29"/>
      <c r="E835" s="29"/>
      <c r="F835" s="29"/>
      <c r="G835" s="29"/>
      <c r="H835" s="31">
        <f>IF(base!F835&lt;&gt;"",VLOOKUP(F835,de_para!$A$1:$B$31,2,0)*base!G835,0)</f>
        <v>0</v>
      </c>
      <c r="I835" s="38"/>
      <c r="J835" s="29"/>
      <c r="K835" s="31">
        <f>IF(base!I835&lt;&gt;"",VLOOKUP(I835,de_para!$A$1:$B$31,2,0)*base!J835,0)</f>
        <v>0</v>
      </c>
      <c r="L835" s="38"/>
      <c r="M835" s="29"/>
      <c r="N835" s="31">
        <f>IF(base!L835&lt;&gt;"",VLOOKUP(L835,de_para!$A$1:$B$31,2,0)*base!M835,0)</f>
        <v>0</v>
      </c>
      <c r="O835" s="38"/>
      <c r="P835" s="29"/>
      <c r="Q835" s="31">
        <f>IF(base!O835&lt;&gt;"",VLOOKUP(O835,de_para!$A$1:$B$31,2,0)*base!P835,0)</f>
        <v>0</v>
      </c>
      <c r="R835" s="38"/>
      <c r="S835" s="29"/>
      <c r="T835" s="31">
        <f>IF(base!R835&lt;&gt;"",VLOOKUP(R835,de_para!$A$1:$B$31,2,0)*base!S835,0)</f>
        <v>0</v>
      </c>
      <c r="U835" s="30">
        <f t="shared" si="14"/>
        <v>0</v>
      </c>
    </row>
    <row r="836" spans="1:21" x14ac:dyDescent="0.35">
      <c r="A836" s="29"/>
      <c r="B836" s="29"/>
      <c r="C836" s="29"/>
      <c r="D836" s="29"/>
      <c r="E836" s="29"/>
      <c r="F836" s="29"/>
      <c r="G836" s="29"/>
      <c r="H836" s="31">
        <f>IF(base!F836&lt;&gt;"",VLOOKUP(F836,de_para!$A$1:$B$31,2,0)*base!G836,0)</f>
        <v>0</v>
      </c>
      <c r="I836" s="38"/>
      <c r="J836" s="29"/>
      <c r="K836" s="31">
        <f>IF(base!I836&lt;&gt;"",VLOOKUP(I836,de_para!$A$1:$B$31,2,0)*base!J836,0)</f>
        <v>0</v>
      </c>
      <c r="L836" s="38"/>
      <c r="M836" s="29"/>
      <c r="N836" s="31">
        <f>IF(base!L836&lt;&gt;"",VLOOKUP(L836,de_para!$A$1:$B$31,2,0)*base!M836,0)</f>
        <v>0</v>
      </c>
      <c r="O836" s="38"/>
      <c r="P836" s="29"/>
      <c r="Q836" s="31">
        <f>IF(base!O836&lt;&gt;"",VLOOKUP(O836,de_para!$A$1:$B$31,2,0)*base!P836,0)</f>
        <v>0</v>
      </c>
      <c r="R836" s="38"/>
      <c r="S836" s="29"/>
      <c r="T836" s="31">
        <f>IF(base!R836&lt;&gt;"",VLOOKUP(R836,de_para!$A$1:$B$31,2,0)*base!S836,0)</f>
        <v>0</v>
      </c>
      <c r="U836" s="30">
        <f t="shared" si="14"/>
        <v>0</v>
      </c>
    </row>
    <row r="837" spans="1:21" x14ac:dyDescent="0.35">
      <c r="A837" s="29"/>
      <c r="B837" s="29"/>
      <c r="C837" s="29"/>
      <c r="D837" s="29"/>
      <c r="E837" s="29"/>
      <c r="F837" s="29"/>
      <c r="G837" s="29"/>
      <c r="H837" s="31">
        <f>IF(base!F837&lt;&gt;"",VLOOKUP(F837,de_para!$A$1:$B$31,2,0)*base!G837,0)</f>
        <v>0</v>
      </c>
      <c r="I837" s="38"/>
      <c r="J837" s="29"/>
      <c r="K837" s="31">
        <f>IF(base!I837&lt;&gt;"",VLOOKUP(I837,de_para!$A$1:$B$31,2,0)*base!J837,0)</f>
        <v>0</v>
      </c>
      <c r="L837" s="38"/>
      <c r="M837" s="29"/>
      <c r="N837" s="31">
        <f>IF(base!L837&lt;&gt;"",VLOOKUP(L837,de_para!$A$1:$B$31,2,0)*base!M837,0)</f>
        <v>0</v>
      </c>
      <c r="O837" s="38"/>
      <c r="P837" s="29"/>
      <c r="Q837" s="31">
        <f>IF(base!O837&lt;&gt;"",VLOOKUP(O837,de_para!$A$1:$B$31,2,0)*base!P837,0)</f>
        <v>0</v>
      </c>
      <c r="R837" s="38"/>
      <c r="S837" s="29"/>
      <c r="T837" s="31">
        <f>IF(base!R837&lt;&gt;"",VLOOKUP(R837,de_para!$A$1:$B$31,2,0)*base!S837,0)</f>
        <v>0</v>
      </c>
      <c r="U837" s="30">
        <f t="shared" si="14"/>
        <v>0</v>
      </c>
    </row>
    <row r="838" spans="1:21" x14ac:dyDescent="0.35">
      <c r="A838" s="29"/>
      <c r="B838" s="29"/>
      <c r="C838" s="29"/>
      <c r="D838" s="29"/>
      <c r="E838" s="29"/>
      <c r="F838" s="29"/>
      <c r="G838" s="29"/>
      <c r="H838" s="31">
        <f>IF(base!F838&lt;&gt;"",VLOOKUP(F838,de_para!$A$1:$B$31,2,0)*base!G838,0)</f>
        <v>0</v>
      </c>
      <c r="I838" s="38"/>
      <c r="J838" s="29"/>
      <c r="K838" s="31">
        <f>IF(base!I838&lt;&gt;"",VLOOKUP(I838,de_para!$A$1:$B$31,2,0)*base!J838,0)</f>
        <v>0</v>
      </c>
      <c r="L838" s="38"/>
      <c r="M838" s="29"/>
      <c r="N838" s="31">
        <f>IF(base!L838&lt;&gt;"",VLOOKUP(L838,de_para!$A$1:$B$31,2,0)*base!M838,0)</f>
        <v>0</v>
      </c>
      <c r="O838" s="38"/>
      <c r="P838" s="29"/>
      <c r="Q838" s="31">
        <f>IF(base!O838&lt;&gt;"",VLOOKUP(O838,de_para!$A$1:$B$31,2,0)*base!P838,0)</f>
        <v>0</v>
      </c>
      <c r="R838" s="38"/>
      <c r="S838" s="29"/>
      <c r="T838" s="31">
        <f>IF(base!R838&lt;&gt;"",VLOOKUP(R838,de_para!$A$1:$B$31,2,0)*base!S838,0)</f>
        <v>0</v>
      </c>
      <c r="U838" s="30">
        <f t="shared" si="14"/>
        <v>0</v>
      </c>
    </row>
    <row r="839" spans="1:21" x14ac:dyDescent="0.35">
      <c r="A839" s="29"/>
      <c r="B839" s="29"/>
      <c r="C839" s="29"/>
      <c r="D839" s="29"/>
      <c r="E839" s="29"/>
      <c r="F839" s="29"/>
      <c r="G839" s="29"/>
      <c r="H839" s="31">
        <f>IF(base!F839&lt;&gt;"",VLOOKUP(F839,de_para!$A$1:$B$31,2,0)*base!G839,0)</f>
        <v>0</v>
      </c>
      <c r="I839" s="38"/>
      <c r="J839" s="29"/>
      <c r="K839" s="31">
        <f>IF(base!I839&lt;&gt;"",VLOOKUP(I839,de_para!$A$1:$B$31,2,0)*base!J839,0)</f>
        <v>0</v>
      </c>
      <c r="L839" s="38"/>
      <c r="M839" s="29"/>
      <c r="N839" s="31">
        <f>IF(base!L839&lt;&gt;"",VLOOKUP(L839,de_para!$A$1:$B$31,2,0)*base!M839,0)</f>
        <v>0</v>
      </c>
      <c r="O839" s="38"/>
      <c r="P839" s="29"/>
      <c r="Q839" s="31">
        <f>IF(base!O839&lt;&gt;"",VLOOKUP(O839,de_para!$A$1:$B$31,2,0)*base!P839,0)</f>
        <v>0</v>
      </c>
      <c r="R839" s="38"/>
      <c r="S839" s="29"/>
      <c r="T839" s="31">
        <f>IF(base!R839&lt;&gt;"",VLOOKUP(R839,de_para!$A$1:$B$31,2,0)*base!S839,0)</f>
        <v>0</v>
      </c>
      <c r="U839" s="30">
        <f t="shared" si="14"/>
        <v>0</v>
      </c>
    </row>
    <row r="840" spans="1:21" x14ac:dyDescent="0.35">
      <c r="A840" s="29"/>
      <c r="B840" s="29"/>
      <c r="C840" s="29"/>
      <c r="D840" s="29"/>
      <c r="E840" s="29"/>
      <c r="F840" s="29"/>
      <c r="G840" s="29"/>
      <c r="H840" s="31">
        <f>IF(base!F840&lt;&gt;"",VLOOKUP(F840,de_para!$A$1:$B$31,2,0)*base!G840,0)</f>
        <v>0</v>
      </c>
      <c r="I840" s="38"/>
      <c r="J840" s="29"/>
      <c r="K840" s="31">
        <f>IF(base!I840&lt;&gt;"",VLOOKUP(I840,de_para!$A$1:$B$31,2,0)*base!J840,0)</f>
        <v>0</v>
      </c>
      <c r="L840" s="38"/>
      <c r="M840" s="29"/>
      <c r="N840" s="31">
        <f>IF(base!L840&lt;&gt;"",VLOOKUP(L840,de_para!$A$1:$B$31,2,0)*base!M840,0)</f>
        <v>0</v>
      </c>
      <c r="O840" s="38"/>
      <c r="P840" s="29"/>
      <c r="Q840" s="31">
        <f>IF(base!O840&lt;&gt;"",VLOOKUP(O840,de_para!$A$1:$B$31,2,0)*base!P840,0)</f>
        <v>0</v>
      </c>
      <c r="R840" s="38"/>
      <c r="S840" s="29"/>
      <c r="T840" s="31">
        <f>IF(base!R840&lt;&gt;"",VLOOKUP(R840,de_para!$A$1:$B$31,2,0)*base!S840,0)</f>
        <v>0</v>
      </c>
      <c r="U840" s="30">
        <f t="shared" si="14"/>
        <v>0</v>
      </c>
    </row>
    <row r="841" spans="1:21" x14ac:dyDescent="0.35">
      <c r="A841" s="29"/>
      <c r="B841" s="29"/>
      <c r="C841" s="29"/>
      <c r="D841" s="29"/>
      <c r="E841" s="29"/>
      <c r="F841" s="29"/>
      <c r="G841" s="29"/>
      <c r="H841" s="31">
        <f>IF(base!F841&lt;&gt;"",VLOOKUP(F841,de_para!$A$1:$B$31,2,0)*base!G841,0)</f>
        <v>0</v>
      </c>
      <c r="I841" s="38"/>
      <c r="J841" s="29"/>
      <c r="K841" s="31">
        <f>IF(base!I841&lt;&gt;"",VLOOKUP(I841,de_para!$A$1:$B$31,2,0)*base!J841,0)</f>
        <v>0</v>
      </c>
      <c r="L841" s="38"/>
      <c r="M841" s="29"/>
      <c r="N841" s="31">
        <f>IF(base!L841&lt;&gt;"",VLOOKUP(L841,de_para!$A$1:$B$31,2,0)*base!M841,0)</f>
        <v>0</v>
      </c>
      <c r="O841" s="38"/>
      <c r="P841" s="29"/>
      <c r="Q841" s="31">
        <f>IF(base!O841&lt;&gt;"",VLOOKUP(O841,de_para!$A$1:$B$31,2,0)*base!P841,0)</f>
        <v>0</v>
      </c>
      <c r="R841" s="38"/>
      <c r="S841" s="29"/>
      <c r="T841" s="31">
        <f>IF(base!R841&lt;&gt;"",VLOOKUP(R841,de_para!$A$1:$B$31,2,0)*base!S841,0)</f>
        <v>0</v>
      </c>
      <c r="U841" s="30">
        <f t="shared" si="14"/>
        <v>0</v>
      </c>
    </row>
    <row r="842" spans="1:21" x14ac:dyDescent="0.35">
      <c r="A842" s="29"/>
      <c r="B842" s="29"/>
      <c r="C842" s="29"/>
      <c r="D842" s="29"/>
      <c r="E842" s="29"/>
      <c r="F842" s="29"/>
      <c r="G842" s="29"/>
      <c r="H842" s="31">
        <f>IF(base!F842&lt;&gt;"",VLOOKUP(F842,de_para!$A$1:$B$31,2,0)*base!G842,0)</f>
        <v>0</v>
      </c>
      <c r="I842" s="38"/>
      <c r="J842" s="29"/>
      <c r="K842" s="31">
        <f>IF(base!I842&lt;&gt;"",VLOOKUP(I842,de_para!$A$1:$B$31,2,0)*base!J842,0)</f>
        <v>0</v>
      </c>
      <c r="L842" s="38"/>
      <c r="M842" s="29"/>
      <c r="N842" s="31">
        <f>IF(base!L842&lt;&gt;"",VLOOKUP(L842,de_para!$A$1:$B$31,2,0)*base!M842,0)</f>
        <v>0</v>
      </c>
      <c r="O842" s="38"/>
      <c r="P842" s="29"/>
      <c r="Q842" s="31">
        <f>IF(base!O842&lt;&gt;"",VLOOKUP(O842,de_para!$A$1:$B$31,2,0)*base!P842,0)</f>
        <v>0</v>
      </c>
      <c r="R842" s="38"/>
      <c r="S842" s="29"/>
      <c r="T842" s="31">
        <f>IF(base!R842&lt;&gt;"",VLOOKUP(R842,de_para!$A$1:$B$31,2,0)*base!S842,0)</f>
        <v>0</v>
      </c>
      <c r="U842" s="30">
        <f t="shared" si="14"/>
        <v>0</v>
      </c>
    </row>
    <row r="843" spans="1:21" x14ac:dyDescent="0.35">
      <c r="A843" s="29"/>
      <c r="B843" s="29"/>
      <c r="C843" s="29"/>
      <c r="D843" s="29"/>
      <c r="E843" s="29"/>
      <c r="F843" s="29"/>
      <c r="G843" s="29"/>
      <c r="H843" s="31">
        <f>IF(base!F843&lt;&gt;"",VLOOKUP(F843,de_para!$A$1:$B$31,2,0)*base!G843,0)</f>
        <v>0</v>
      </c>
      <c r="I843" s="38"/>
      <c r="J843" s="29"/>
      <c r="K843" s="31">
        <f>IF(base!I843&lt;&gt;"",VLOOKUP(I843,de_para!$A$1:$B$31,2,0)*base!J843,0)</f>
        <v>0</v>
      </c>
      <c r="L843" s="38"/>
      <c r="M843" s="29"/>
      <c r="N843" s="31">
        <f>IF(base!L843&lt;&gt;"",VLOOKUP(L843,de_para!$A$1:$B$31,2,0)*base!M843,0)</f>
        <v>0</v>
      </c>
      <c r="O843" s="38"/>
      <c r="P843" s="29"/>
      <c r="Q843" s="31">
        <f>IF(base!O843&lt;&gt;"",VLOOKUP(O843,de_para!$A$1:$B$31,2,0)*base!P843,0)</f>
        <v>0</v>
      </c>
      <c r="R843" s="38"/>
      <c r="S843" s="29"/>
      <c r="T843" s="31">
        <f>IF(base!R843&lt;&gt;"",VLOOKUP(R843,de_para!$A$1:$B$31,2,0)*base!S843,0)</f>
        <v>0</v>
      </c>
      <c r="U843" s="30">
        <f t="shared" si="14"/>
        <v>0</v>
      </c>
    </row>
    <row r="844" spans="1:21" x14ac:dyDescent="0.35">
      <c r="A844" s="29"/>
      <c r="B844" s="29"/>
      <c r="C844" s="29"/>
      <c r="D844" s="29"/>
      <c r="E844" s="29"/>
      <c r="F844" s="29"/>
      <c r="G844" s="29"/>
      <c r="H844" s="31">
        <f>IF(base!F844&lt;&gt;"",VLOOKUP(F844,de_para!$A$1:$B$31,2,0)*base!G844,0)</f>
        <v>0</v>
      </c>
      <c r="I844" s="38"/>
      <c r="J844" s="29"/>
      <c r="K844" s="31">
        <f>IF(base!I844&lt;&gt;"",VLOOKUP(I844,de_para!$A$1:$B$31,2,0)*base!J844,0)</f>
        <v>0</v>
      </c>
      <c r="L844" s="38"/>
      <c r="M844" s="29"/>
      <c r="N844" s="31">
        <f>IF(base!L844&lt;&gt;"",VLOOKUP(L844,de_para!$A$1:$B$31,2,0)*base!M844,0)</f>
        <v>0</v>
      </c>
      <c r="O844" s="38"/>
      <c r="P844" s="29"/>
      <c r="Q844" s="31">
        <f>IF(base!O844&lt;&gt;"",VLOOKUP(O844,de_para!$A$1:$B$31,2,0)*base!P844,0)</f>
        <v>0</v>
      </c>
      <c r="R844" s="38"/>
      <c r="S844" s="29"/>
      <c r="T844" s="31">
        <f>IF(base!R844&lt;&gt;"",VLOOKUP(R844,de_para!$A$1:$B$31,2,0)*base!S844,0)</f>
        <v>0</v>
      </c>
      <c r="U844" s="30">
        <f t="shared" si="14"/>
        <v>0</v>
      </c>
    </row>
    <row r="845" spans="1:21" x14ac:dyDescent="0.35">
      <c r="A845" s="29"/>
      <c r="B845" s="29"/>
      <c r="C845" s="29"/>
      <c r="D845" s="29"/>
      <c r="E845" s="29"/>
      <c r="F845" s="29"/>
      <c r="G845" s="29"/>
      <c r="H845" s="31">
        <f>IF(base!F845&lt;&gt;"",VLOOKUP(F845,de_para!$A$1:$B$31,2,0)*base!G845,0)</f>
        <v>0</v>
      </c>
      <c r="I845" s="38"/>
      <c r="J845" s="29"/>
      <c r="K845" s="31">
        <f>IF(base!I845&lt;&gt;"",VLOOKUP(I845,de_para!$A$1:$B$31,2,0)*base!J845,0)</f>
        <v>0</v>
      </c>
      <c r="L845" s="38"/>
      <c r="M845" s="29"/>
      <c r="N845" s="31">
        <f>IF(base!L845&lt;&gt;"",VLOOKUP(L845,de_para!$A$1:$B$31,2,0)*base!M845,0)</f>
        <v>0</v>
      </c>
      <c r="O845" s="38"/>
      <c r="P845" s="29"/>
      <c r="Q845" s="31">
        <f>IF(base!O845&lt;&gt;"",VLOOKUP(O845,de_para!$A$1:$B$31,2,0)*base!P845,0)</f>
        <v>0</v>
      </c>
      <c r="R845" s="38"/>
      <c r="S845" s="29"/>
      <c r="T845" s="31">
        <f>IF(base!R845&lt;&gt;"",VLOOKUP(R845,de_para!$A$1:$B$31,2,0)*base!S845,0)</f>
        <v>0</v>
      </c>
      <c r="U845" s="30">
        <f t="shared" si="14"/>
        <v>0</v>
      </c>
    </row>
    <row r="846" spans="1:21" x14ac:dyDescent="0.35">
      <c r="A846" s="29"/>
      <c r="B846" s="29"/>
      <c r="C846" s="29"/>
      <c r="D846" s="29"/>
      <c r="E846" s="29"/>
      <c r="F846" s="29"/>
      <c r="G846" s="29"/>
      <c r="H846" s="31">
        <f>IF(base!F846&lt;&gt;"",VLOOKUP(F846,de_para!$A$1:$B$31,2,0)*base!G846,0)</f>
        <v>0</v>
      </c>
      <c r="I846" s="38"/>
      <c r="J846" s="29"/>
      <c r="K846" s="31">
        <f>IF(base!I846&lt;&gt;"",VLOOKUP(I846,de_para!$A$1:$B$31,2,0)*base!J846,0)</f>
        <v>0</v>
      </c>
      <c r="L846" s="38"/>
      <c r="M846" s="29"/>
      <c r="N846" s="31">
        <f>IF(base!L846&lt;&gt;"",VLOOKUP(L846,de_para!$A$1:$B$31,2,0)*base!M846,0)</f>
        <v>0</v>
      </c>
      <c r="O846" s="38"/>
      <c r="P846" s="29"/>
      <c r="Q846" s="31">
        <f>IF(base!O846&lt;&gt;"",VLOOKUP(O846,de_para!$A$1:$B$31,2,0)*base!P846,0)</f>
        <v>0</v>
      </c>
      <c r="R846" s="38"/>
      <c r="S846" s="29"/>
      <c r="T846" s="31">
        <f>IF(base!R846&lt;&gt;"",VLOOKUP(R846,de_para!$A$1:$B$31,2,0)*base!S846,0)</f>
        <v>0</v>
      </c>
      <c r="U846" s="30">
        <f t="shared" si="14"/>
        <v>0</v>
      </c>
    </row>
    <row r="847" spans="1:21" x14ac:dyDescent="0.35">
      <c r="A847" s="29"/>
      <c r="B847" s="29"/>
      <c r="C847" s="29"/>
      <c r="D847" s="29"/>
      <c r="E847" s="29"/>
      <c r="F847" s="29"/>
      <c r="G847" s="29"/>
      <c r="H847" s="31">
        <f>IF(base!F847&lt;&gt;"",VLOOKUP(F847,de_para!$A$1:$B$31,2,0)*base!G847,0)</f>
        <v>0</v>
      </c>
      <c r="I847" s="38"/>
      <c r="J847" s="29"/>
      <c r="K847" s="31">
        <f>IF(base!I847&lt;&gt;"",VLOOKUP(I847,de_para!$A$1:$B$31,2,0)*base!J847,0)</f>
        <v>0</v>
      </c>
      <c r="L847" s="38"/>
      <c r="M847" s="29"/>
      <c r="N847" s="31">
        <f>IF(base!L847&lt;&gt;"",VLOOKUP(L847,de_para!$A$1:$B$31,2,0)*base!M847,0)</f>
        <v>0</v>
      </c>
      <c r="O847" s="38"/>
      <c r="P847" s="29"/>
      <c r="Q847" s="31">
        <f>IF(base!O847&lt;&gt;"",VLOOKUP(O847,de_para!$A$1:$B$31,2,0)*base!P847,0)</f>
        <v>0</v>
      </c>
      <c r="R847" s="38"/>
      <c r="S847" s="29"/>
      <c r="T847" s="31">
        <f>IF(base!R847&lt;&gt;"",VLOOKUP(R847,de_para!$A$1:$B$31,2,0)*base!S847,0)</f>
        <v>0</v>
      </c>
      <c r="U847" s="30">
        <f t="shared" si="14"/>
        <v>0</v>
      </c>
    </row>
    <row r="848" spans="1:21" x14ac:dyDescent="0.35">
      <c r="A848" s="29"/>
      <c r="B848" s="29"/>
      <c r="C848" s="29"/>
      <c r="D848" s="29"/>
      <c r="E848" s="29"/>
      <c r="F848" s="29"/>
      <c r="G848" s="29"/>
      <c r="H848" s="31">
        <f>IF(base!F848&lt;&gt;"",VLOOKUP(F848,de_para!$A$1:$B$31,2,0)*base!G848,0)</f>
        <v>0</v>
      </c>
      <c r="I848" s="38"/>
      <c r="J848" s="29"/>
      <c r="K848" s="31">
        <f>IF(base!I848&lt;&gt;"",VLOOKUP(I848,de_para!$A$1:$B$31,2,0)*base!J848,0)</f>
        <v>0</v>
      </c>
      <c r="L848" s="38"/>
      <c r="M848" s="29"/>
      <c r="N848" s="31">
        <f>IF(base!L848&lt;&gt;"",VLOOKUP(L848,de_para!$A$1:$B$31,2,0)*base!M848,0)</f>
        <v>0</v>
      </c>
      <c r="O848" s="38"/>
      <c r="P848" s="29"/>
      <c r="Q848" s="31">
        <f>IF(base!O848&lt;&gt;"",VLOOKUP(O848,de_para!$A$1:$B$31,2,0)*base!P848,0)</f>
        <v>0</v>
      </c>
      <c r="R848" s="38"/>
      <c r="S848" s="29"/>
      <c r="T848" s="31">
        <f>IF(base!R848&lt;&gt;"",VLOOKUP(R848,de_para!$A$1:$B$31,2,0)*base!S848,0)</f>
        <v>0</v>
      </c>
      <c r="U848" s="30">
        <f t="shared" si="14"/>
        <v>0</v>
      </c>
    </row>
    <row r="849" spans="1:21" x14ac:dyDescent="0.35">
      <c r="A849" s="29"/>
      <c r="B849" s="29"/>
      <c r="C849" s="29"/>
      <c r="D849" s="29"/>
      <c r="E849" s="29"/>
      <c r="F849" s="29"/>
      <c r="G849" s="29"/>
      <c r="H849" s="31">
        <f>IF(base!F849&lt;&gt;"",VLOOKUP(F849,de_para!$A$1:$B$31,2,0)*base!G849,0)</f>
        <v>0</v>
      </c>
      <c r="I849" s="38"/>
      <c r="J849" s="29"/>
      <c r="K849" s="31">
        <f>IF(base!I849&lt;&gt;"",VLOOKUP(I849,de_para!$A$1:$B$31,2,0)*base!J849,0)</f>
        <v>0</v>
      </c>
      <c r="L849" s="38"/>
      <c r="M849" s="29"/>
      <c r="N849" s="31">
        <f>IF(base!L849&lt;&gt;"",VLOOKUP(L849,de_para!$A$1:$B$31,2,0)*base!M849,0)</f>
        <v>0</v>
      </c>
      <c r="O849" s="38"/>
      <c r="P849" s="29"/>
      <c r="Q849" s="31">
        <f>IF(base!O849&lt;&gt;"",VLOOKUP(O849,de_para!$A$1:$B$31,2,0)*base!P849,0)</f>
        <v>0</v>
      </c>
      <c r="R849" s="38"/>
      <c r="S849" s="29"/>
      <c r="T849" s="31">
        <f>IF(base!R849&lt;&gt;"",VLOOKUP(R849,de_para!$A$1:$B$31,2,0)*base!S849,0)</f>
        <v>0</v>
      </c>
      <c r="U849" s="30">
        <f t="shared" si="14"/>
        <v>0</v>
      </c>
    </row>
    <row r="850" spans="1:21" x14ac:dyDescent="0.35">
      <c r="A850" s="29"/>
      <c r="B850" s="29"/>
      <c r="C850" s="29"/>
      <c r="D850" s="29"/>
      <c r="E850" s="29"/>
      <c r="F850" s="29"/>
      <c r="G850" s="29"/>
      <c r="H850" s="31">
        <f>IF(base!F850&lt;&gt;"",VLOOKUP(F850,de_para!$A$1:$B$31,2,0)*base!G850,0)</f>
        <v>0</v>
      </c>
      <c r="I850" s="38"/>
      <c r="J850" s="29"/>
      <c r="K850" s="31">
        <f>IF(base!I850&lt;&gt;"",VLOOKUP(I850,de_para!$A$1:$B$31,2,0)*base!J850,0)</f>
        <v>0</v>
      </c>
      <c r="L850" s="38"/>
      <c r="M850" s="29"/>
      <c r="N850" s="31">
        <f>IF(base!L850&lt;&gt;"",VLOOKUP(L850,de_para!$A$1:$B$31,2,0)*base!M850,0)</f>
        <v>0</v>
      </c>
      <c r="O850" s="38"/>
      <c r="P850" s="29"/>
      <c r="Q850" s="31">
        <f>IF(base!O850&lt;&gt;"",VLOOKUP(O850,de_para!$A$1:$B$31,2,0)*base!P850,0)</f>
        <v>0</v>
      </c>
      <c r="R850" s="38"/>
      <c r="S850" s="29"/>
      <c r="T850" s="31">
        <f>IF(base!R850&lt;&gt;"",VLOOKUP(R850,de_para!$A$1:$B$31,2,0)*base!S850,0)</f>
        <v>0</v>
      </c>
      <c r="U850" s="30">
        <f t="shared" si="14"/>
        <v>0</v>
      </c>
    </row>
    <row r="851" spans="1:21" x14ac:dyDescent="0.35">
      <c r="A851" s="29"/>
      <c r="B851" s="29"/>
      <c r="C851" s="29"/>
      <c r="D851" s="29"/>
      <c r="E851" s="29"/>
      <c r="F851" s="29"/>
      <c r="G851" s="29"/>
      <c r="H851" s="31">
        <f>IF(base!F851&lt;&gt;"",VLOOKUP(F851,de_para!$A$1:$B$31,2,0)*base!G851,0)</f>
        <v>0</v>
      </c>
      <c r="I851" s="38"/>
      <c r="J851" s="29"/>
      <c r="K851" s="31">
        <f>IF(base!I851&lt;&gt;"",VLOOKUP(I851,de_para!$A$1:$B$31,2,0)*base!J851,0)</f>
        <v>0</v>
      </c>
      <c r="L851" s="38"/>
      <c r="M851" s="29"/>
      <c r="N851" s="31">
        <f>IF(base!L851&lt;&gt;"",VLOOKUP(L851,de_para!$A$1:$B$31,2,0)*base!M851,0)</f>
        <v>0</v>
      </c>
      <c r="O851" s="38"/>
      <c r="P851" s="29"/>
      <c r="Q851" s="31">
        <f>IF(base!O851&lt;&gt;"",VLOOKUP(O851,de_para!$A$1:$B$31,2,0)*base!P851,0)</f>
        <v>0</v>
      </c>
      <c r="R851" s="38"/>
      <c r="S851" s="29"/>
      <c r="T851" s="31">
        <f>IF(base!R851&lt;&gt;"",VLOOKUP(R851,de_para!$A$1:$B$31,2,0)*base!S851,0)</f>
        <v>0</v>
      </c>
      <c r="U851" s="30">
        <f t="shared" si="14"/>
        <v>0</v>
      </c>
    </row>
    <row r="852" spans="1:21" x14ac:dyDescent="0.35">
      <c r="A852" s="29"/>
      <c r="B852" s="29"/>
      <c r="C852" s="29"/>
      <c r="D852" s="29"/>
      <c r="E852" s="29"/>
      <c r="F852" s="29"/>
      <c r="G852" s="29"/>
      <c r="H852" s="31">
        <f>IF(base!F852&lt;&gt;"",VLOOKUP(F852,de_para!$A$1:$B$31,2,0)*base!G852,0)</f>
        <v>0</v>
      </c>
      <c r="I852" s="38"/>
      <c r="J852" s="29"/>
      <c r="K852" s="31">
        <f>IF(base!I852&lt;&gt;"",VLOOKUP(I852,de_para!$A$1:$B$31,2,0)*base!J852,0)</f>
        <v>0</v>
      </c>
      <c r="L852" s="38"/>
      <c r="M852" s="29"/>
      <c r="N852" s="31">
        <f>IF(base!L852&lt;&gt;"",VLOOKUP(L852,de_para!$A$1:$B$31,2,0)*base!M852,0)</f>
        <v>0</v>
      </c>
      <c r="O852" s="38"/>
      <c r="P852" s="29"/>
      <c r="Q852" s="31">
        <f>IF(base!O852&lt;&gt;"",VLOOKUP(O852,de_para!$A$1:$B$31,2,0)*base!P852,0)</f>
        <v>0</v>
      </c>
      <c r="R852" s="38"/>
      <c r="S852" s="29"/>
      <c r="T852" s="31">
        <f>IF(base!R852&lt;&gt;"",VLOOKUP(R852,de_para!$A$1:$B$31,2,0)*base!S852,0)</f>
        <v>0</v>
      </c>
      <c r="U852" s="30">
        <f t="shared" si="14"/>
        <v>0</v>
      </c>
    </row>
    <row r="853" spans="1:21" x14ac:dyDescent="0.35">
      <c r="A853" s="29"/>
      <c r="B853" s="29"/>
      <c r="C853" s="29"/>
      <c r="D853" s="29"/>
      <c r="E853" s="29"/>
      <c r="F853" s="29"/>
      <c r="G853" s="29"/>
      <c r="H853" s="31">
        <f>IF(base!F853&lt;&gt;"",VLOOKUP(F853,de_para!$A$1:$B$31,2,0)*base!G853,0)</f>
        <v>0</v>
      </c>
      <c r="I853" s="38"/>
      <c r="J853" s="29"/>
      <c r="K853" s="31">
        <f>IF(base!I853&lt;&gt;"",VLOOKUP(I853,de_para!$A$1:$B$31,2,0)*base!J853,0)</f>
        <v>0</v>
      </c>
      <c r="L853" s="38"/>
      <c r="M853" s="29"/>
      <c r="N853" s="31">
        <f>IF(base!L853&lt;&gt;"",VLOOKUP(L853,de_para!$A$1:$B$31,2,0)*base!M853,0)</f>
        <v>0</v>
      </c>
      <c r="O853" s="38"/>
      <c r="P853" s="29"/>
      <c r="Q853" s="31">
        <f>IF(base!O853&lt;&gt;"",VLOOKUP(O853,de_para!$A$1:$B$31,2,0)*base!P853,0)</f>
        <v>0</v>
      </c>
      <c r="R853" s="38"/>
      <c r="S853" s="29"/>
      <c r="T853" s="31">
        <f>IF(base!R853&lt;&gt;"",VLOOKUP(R853,de_para!$A$1:$B$31,2,0)*base!S853,0)</f>
        <v>0</v>
      </c>
      <c r="U853" s="30">
        <f t="shared" si="14"/>
        <v>0</v>
      </c>
    </row>
    <row r="854" spans="1:21" x14ac:dyDescent="0.35">
      <c r="A854" s="29"/>
      <c r="B854" s="29"/>
      <c r="C854" s="29"/>
      <c r="D854" s="29"/>
      <c r="E854" s="29"/>
      <c r="F854" s="29"/>
      <c r="G854" s="29"/>
      <c r="H854" s="31">
        <f>IF(base!F854&lt;&gt;"",VLOOKUP(F854,de_para!$A$1:$B$31,2,0)*base!G854,0)</f>
        <v>0</v>
      </c>
      <c r="I854" s="38"/>
      <c r="J854" s="29"/>
      <c r="K854" s="31">
        <f>IF(base!I854&lt;&gt;"",VLOOKUP(I854,de_para!$A$1:$B$31,2,0)*base!J854,0)</f>
        <v>0</v>
      </c>
      <c r="L854" s="38"/>
      <c r="M854" s="29"/>
      <c r="N854" s="31">
        <f>IF(base!L854&lt;&gt;"",VLOOKUP(L854,de_para!$A$1:$B$31,2,0)*base!M854,0)</f>
        <v>0</v>
      </c>
      <c r="O854" s="38"/>
      <c r="P854" s="29"/>
      <c r="Q854" s="31">
        <f>IF(base!O854&lt;&gt;"",VLOOKUP(O854,de_para!$A$1:$B$31,2,0)*base!P854,0)</f>
        <v>0</v>
      </c>
      <c r="R854" s="38"/>
      <c r="S854" s="29"/>
      <c r="T854" s="31">
        <f>IF(base!R854&lt;&gt;"",VLOOKUP(R854,de_para!$A$1:$B$31,2,0)*base!S854,0)</f>
        <v>0</v>
      </c>
      <c r="U854" s="30">
        <f t="shared" si="14"/>
        <v>0</v>
      </c>
    </row>
    <row r="855" spans="1:21" x14ac:dyDescent="0.35">
      <c r="A855" s="29"/>
      <c r="B855" s="29"/>
      <c r="C855" s="29"/>
      <c r="D855" s="29"/>
      <c r="E855" s="29"/>
      <c r="F855" s="29"/>
      <c r="G855" s="29"/>
      <c r="H855" s="31">
        <f>IF(base!F855&lt;&gt;"",VLOOKUP(F855,de_para!$A$1:$B$31,2,0)*base!G855,0)</f>
        <v>0</v>
      </c>
      <c r="I855" s="38"/>
      <c r="J855" s="29"/>
      <c r="K855" s="31">
        <f>IF(base!I855&lt;&gt;"",VLOOKUP(I855,de_para!$A$1:$B$31,2,0)*base!J855,0)</f>
        <v>0</v>
      </c>
      <c r="L855" s="38"/>
      <c r="M855" s="29"/>
      <c r="N855" s="31">
        <f>IF(base!L855&lt;&gt;"",VLOOKUP(L855,de_para!$A$1:$B$31,2,0)*base!M855,0)</f>
        <v>0</v>
      </c>
      <c r="O855" s="38"/>
      <c r="P855" s="29"/>
      <c r="Q855" s="31">
        <f>IF(base!O855&lt;&gt;"",VLOOKUP(O855,de_para!$A$1:$B$31,2,0)*base!P855,0)</f>
        <v>0</v>
      </c>
      <c r="R855" s="38"/>
      <c r="S855" s="29"/>
      <c r="T855" s="31">
        <f>IF(base!R855&lt;&gt;"",VLOOKUP(R855,de_para!$A$1:$B$31,2,0)*base!S855,0)</f>
        <v>0</v>
      </c>
      <c r="U855" s="30">
        <f t="shared" si="14"/>
        <v>0</v>
      </c>
    </row>
    <row r="856" spans="1:21" x14ac:dyDescent="0.35">
      <c r="A856" s="29"/>
      <c r="B856" s="29"/>
      <c r="C856" s="29"/>
      <c r="D856" s="29"/>
      <c r="E856" s="29"/>
      <c r="F856" s="29"/>
      <c r="G856" s="29"/>
      <c r="H856" s="31">
        <f>IF(base!F856&lt;&gt;"",VLOOKUP(F856,de_para!$A$1:$B$31,2,0)*base!G856,0)</f>
        <v>0</v>
      </c>
      <c r="I856" s="38"/>
      <c r="J856" s="29"/>
      <c r="K856" s="31">
        <f>IF(base!I856&lt;&gt;"",VLOOKUP(I856,de_para!$A$1:$B$31,2,0)*base!J856,0)</f>
        <v>0</v>
      </c>
      <c r="L856" s="38"/>
      <c r="M856" s="29"/>
      <c r="N856" s="31">
        <f>IF(base!L856&lt;&gt;"",VLOOKUP(L856,de_para!$A$1:$B$31,2,0)*base!M856,0)</f>
        <v>0</v>
      </c>
      <c r="O856" s="38"/>
      <c r="P856" s="29"/>
      <c r="Q856" s="31">
        <f>IF(base!O856&lt;&gt;"",VLOOKUP(O856,de_para!$A$1:$B$31,2,0)*base!P856,0)</f>
        <v>0</v>
      </c>
      <c r="R856" s="38"/>
      <c r="S856" s="29"/>
      <c r="T856" s="31">
        <f>IF(base!R856&lt;&gt;"",VLOOKUP(R856,de_para!$A$1:$B$31,2,0)*base!S856,0)</f>
        <v>0</v>
      </c>
      <c r="U856" s="30">
        <f t="shared" si="14"/>
        <v>0</v>
      </c>
    </row>
    <row r="857" spans="1:21" x14ac:dyDescent="0.35">
      <c r="A857" s="29"/>
      <c r="B857" s="29"/>
      <c r="C857" s="29"/>
      <c r="D857" s="29"/>
      <c r="E857" s="29"/>
      <c r="F857" s="29"/>
      <c r="G857" s="29"/>
      <c r="H857" s="31">
        <f>IF(base!F857&lt;&gt;"",VLOOKUP(F857,de_para!$A$1:$B$31,2,0)*base!G857,0)</f>
        <v>0</v>
      </c>
      <c r="I857" s="38"/>
      <c r="J857" s="29"/>
      <c r="K857" s="31">
        <f>IF(base!I857&lt;&gt;"",VLOOKUP(I857,de_para!$A$1:$B$31,2,0)*base!J857,0)</f>
        <v>0</v>
      </c>
      <c r="L857" s="38"/>
      <c r="M857" s="29"/>
      <c r="N857" s="31">
        <f>IF(base!L857&lt;&gt;"",VLOOKUP(L857,de_para!$A$1:$B$31,2,0)*base!M857,0)</f>
        <v>0</v>
      </c>
      <c r="O857" s="38"/>
      <c r="P857" s="29"/>
      <c r="Q857" s="31">
        <f>IF(base!O857&lt;&gt;"",VLOOKUP(O857,de_para!$A$1:$B$31,2,0)*base!P857,0)</f>
        <v>0</v>
      </c>
      <c r="R857" s="38"/>
      <c r="S857" s="29"/>
      <c r="T857" s="31">
        <f>IF(base!R857&lt;&gt;"",VLOOKUP(R857,de_para!$A$1:$B$31,2,0)*base!S857,0)</f>
        <v>0</v>
      </c>
      <c r="U857" s="30">
        <f t="shared" si="14"/>
        <v>0</v>
      </c>
    </row>
    <row r="858" spans="1:21" x14ac:dyDescent="0.35">
      <c r="A858" s="29"/>
      <c r="B858" s="29"/>
      <c r="C858" s="29"/>
      <c r="D858" s="29"/>
      <c r="E858" s="29"/>
      <c r="F858" s="29"/>
      <c r="G858" s="29"/>
      <c r="H858" s="31">
        <f>IF(base!F858&lt;&gt;"",VLOOKUP(F858,de_para!$A$1:$B$31,2,0)*base!G858,0)</f>
        <v>0</v>
      </c>
      <c r="I858" s="38"/>
      <c r="J858" s="29"/>
      <c r="K858" s="31">
        <f>IF(base!I858&lt;&gt;"",VLOOKUP(I858,de_para!$A$1:$B$31,2,0)*base!J858,0)</f>
        <v>0</v>
      </c>
      <c r="L858" s="38"/>
      <c r="M858" s="29"/>
      <c r="N858" s="31">
        <f>IF(base!L858&lt;&gt;"",VLOOKUP(L858,de_para!$A$1:$B$31,2,0)*base!M858,0)</f>
        <v>0</v>
      </c>
      <c r="O858" s="38"/>
      <c r="P858" s="29"/>
      <c r="Q858" s="31">
        <f>IF(base!O858&lt;&gt;"",VLOOKUP(O858,de_para!$A$1:$B$31,2,0)*base!P858,0)</f>
        <v>0</v>
      </c>
      <c r="R858" s="38"/>
      <c r="S858" s="29"/>
      <c r="T858" s="31">
        <f>IF(base!R858&lt;&gt;"",VLOOKUP(R858,de_para!$A$1:$B$31,2,0)*base!S858,0)</f>
        <v>0</v>
      </c>
      <c r="U858" s="30">
        <f t="shared" si="14"/>
        <v>0</v>
      </c>
    </row>
    <row r="859" spans="1:21" x14ac:dyDescent="0.35">
      <c r="A859" s="29"/>
      <c r="B859" s="29"/>
      <c r="C859" s="29"/>
      <c r="D859" s="29"/>
      <c r="E859" s="29"/>
      <c r="F859" s="29"/>
      <c r="G859" s="29"/>
      <c r="H859" s="31">
        <f>IF(base!F859&lt;&gt;"",VLOOKUP(F859,de_para!$A$1:$B$31,2,0)*base!G859,0)</f>
        <v>0</v>
      </c>
      <c r="I859" s="38"/>
      <c r="J859" s="29"/>
      <c r="K859" s="31">
        <f>IF(base!I859&lt;&gt;"",VLOOKUP(I859,de_para!$A$1:$B$31,2,0)*base!J859,0)</f>
        <v>0</v>
      </c>
      <c r="L859" s="38"/>
      <c r="M859" s="29"/>
      <c r="N859" s="31">
        <f>IF(base!L859&lt;&gt;"",VLOOKUP(L859,de_para!$A$1:$B$31,2,0)*base!M859,0)</f>
        <v>0</v>
      </c>
      <c r="O859" s="38"/>
      <c r="P859" s="29"/>
      <c r="Q859" s="31">
        <f>IF(base!O859&lt;&gt;"",VLOOKUP(O859,de_para!$A$1:$B$31,2,0)*base!P859,0)</f>
        <v>0</v>
      </c>
      <c r="R859" s="38"/>
      <c r="S859" s="29"/>
      <c r="T859" s="31">
        <f>IF(base!R859&lt;&gt;"",VLOOKUP(R859,de_para!$A$1:$B$31,2,0)*base!S859,0)</f>
        <v>0</v>
      </c>
      <c r="U859" s="30">
        <f t="shared" si="14"/>
        <v>0</v>
      </c>
    </row>
    <row r="860" spans="1:21" x14ac:dyDescent="0.35">
      <c r="A860" s="29"/>
      <c r="B860" s="29"/>
      <c r="C860" s="29"/>
      <c r="D860" s="29"/>
      <c r="E860" s="29"/>
      <c r="F860" s="29"/>
      <c r="G860" s="29"/>
      <c r="H860" s="31">
        <f>IF(base!F860&lt;&gt;"",VLOOKUP(F860,de_para!$A$1:$B$31,2,0)*base!G860,0)</f>
        <v>0</v>
      </c>
      <c r="I860" s="38"/>
      <c r="J860" s="29"/>
      <c r="K860" s="31">
        <f>IF(base!I860&lt;&gt;"",VLOOKUP(I860,de_para!$A$1:$B$31,2,0)*base!J860,0)</f>
        <v>0</v>
      </c>
      <c r="L860" s="38"/>
      <c r="M860" s="29"/>
      <c r="N860" s="31">
        <f>IF(base!L860&lt;&gt;"",VLOOKUP(L860,de_para!$A$1:$B$31,2,0)*base!M860,0)</f>
        <v>0</v>
      </c>
      <c r="O860" s="38"/>
      <c r="P860" s="29"/>
      <c r="Q860" s="31">
        <f>IF(base!O860&lt;&gt;"",VLOOKUP(O860,de_para!$A$1:$B$31,2,0)*base!P860,0)</f>
        <v>0</v>
      </c>
      <c r="R860" s="38"/>
      <c r="S860" s="29"/>
      <c r="T860" s="31">
        <f>IF(base!R860&lt;&gt;"",VLOOKUP(R860,de_para!$A$1:$B$31,2,0)*base!S860,0)</f>
        <v>0</v>
      </c>
      <c r="U860" s="30">
        <f t="shared" si="14"/>
        <v>0</v>
      </c>
    </row>
    <row r="861" spans="1:21" x14ac:dyDescent="0.35">
      <c r="A861" s="29"/>
      <c r="B861" s="29"/>
      <c r="C861" s="29"/>
      <c r="D861" s="29"/>
      <c r="E861" s="29"/>
      <c r="F861" s="29"/>
      <c r="G861" s="29"/>
      <c r="H861" s="31">
        <f>IF(base!F861&lt;&gt;"",VLOOKUP(F861,de_para!$A$1:$B$31,2,0)*base!G861,0)</f>
        <v>0</v>
      </c>
      <c r="I861" s="38"/>
      <c r="J861" s="29"/>
      <c r="K861" s="31">
        <f>IF(base!I861&lt;&gt;"",VLOOKUP(I861,de_para!$A$1:$B$31,2,0)*base!J861,0)</f>
        <v>0</v>
      </c>
      <c r="L861" s="38"/>
      <c r="M861" s="29"/>
      <c r="N861" s="31">
        <f>IF(base!L861&lt;&gt;"",VLOOKUP(L861,de_para!$A$1:$B$31,2,0)*base!M861,0)</f>
        <v>0</v>
      </c>
      <c r="O861" s="38"/>
      <c r="P861" s="29"/>
      <c r="Q861" s="31">
        <f>IF(base!O861&lt;&gt;"",VLOOKUP(O861,de_para!$A$1:$B$31,2,0)*base!P861,0)</f>
        <v>0</v>
      </c>
      <c r="R861" s="38"/>
      <c r="S861" s="29"/>
      <c r="T861" s="31">
        <f>IF(base!R861&lt;&gt;"",VLOOKUP(R861,de_para!$A$1:$B$31,2,0)*base!S861,0)</f>
        <v>0</v>
      </c>
      <c r="U861" s="30">
        <f t="shared" si="14"/>
        <v>0</v>
      </c>
    </row>
    <row r="862" spans="1:21" x14ac:dyDescent="0.35">
      <c r="A862" s="29"/>
      <c r="B862" s="29"/>
      <c r="C862" s="29"/>
      <c r="D862" s="29"/>
      <c r="E862" s="29"/>
      <c r="F862" s="29"/>
      <c r="G862" s="29"/>
      <c r="H862" s="31">
        <f>IF(base!F862&lt;&gt;"",VLOOKUP(F862,de_para!$A$1:$B$31,2,0)*base!G862,0)</f>
        <v>0</v>
      </c>
      <c r="I862" s="38"/>
      <c r="J862" s="29"/>
      <c r="K862" s="31">
        <f>IF(base!I862&lt;&gt;"",VLOOKUP(I862,de_para!$A$1:$B$31,2,0)*base!J862,0)</f>
        <v>0</v>
      </c>
      <c r="L862" s="38"/>
      <c r="M862" s="29"/>
      <c r="N862" s="31">
        <f>IF(base!L862&lt;&gt;"",VLOOKUP(L862,de_para!$A$1:$B$31,2,0)*base!M862,0)</f>
        <v>0</v>
      </c>
      <c r="O862" s="38"/>
      <c r="P862" s="29"/>
      <c r="Q862" s="31">
        <f>IF(base!O862&lt;&gt;"",VLOOKUP(O862,de_para!$A$1:$B$31,2,0)*base!P862,0)</f>
        <v>0</v>
      </c>
      <c r="R862" s="38"/>
      <c r="S862" s="29"/>
      <c r="T862" s="31">
        <f>IF(base!R862&lt;&gt;"",VLOOKUP(R862,de_para!$A$1:$B$31,2,0)*base!S862,0)</f>
        <v>0</v>
      </c>
      <c r="U862" s="30">
        <f t="shared" si="14"/>
        <v>0</v>
      </c>
    </row>
    <row r="863" spans="1:21" x14ac:dyDescent="0.35">
      <c r="A863" s="29"/>
      <c r="B863" s="29"/>
      <c r="C863" s="29"/>
      <c r="D863" s="29"/>
      <c r="E863" s="29"/>
      <c r="F863" s="29"/>
      <c r="G863" s="29"/>
      <c r="H863" s="31">
        <f>IF(base!F863&lt;&gt;"",VLOOKUP(F863,de_para!$A$1:$B$31,2,0)*base!G863,0)</f>
        <v>0</v>
      </c>
      <c r="I863" s="38"/>
      <c r="J863" s="29"/>
      <c r="K863" s="31">
        <f>IF(base!I863&lt;&gt;"",VLOOKUP(I863,de_para!$A$1:$B$31,2,0)*base!J863,0)</f>
        <v>0</v>
      </c>
      <c r="L863" s="38"/>
      <c r="M863" s="29"/>
      <c r="N863" s="31">
        <f>IF(base!L863&lt;&gt;"",VLOOKUP(L863,de_para!$A$1:$B$31,2,0)*base!M863,0)</f>
        <v>0</v>
      </c>
      <c r="O863" s="38"/>
      <c r="P863" s="29"/>
      <c r="Q863" s="31">
        <f>IF(base!O863&lt;&gt;"",VLOOKUP(O863,de_para!$A$1:$B$31,2,0)*base!P863,0)</f>
        <v>0</v>
      </c>
      <c r="R863" s="38"/>
      <c r="S863" s="29"/>
      <c r="T863" s="31">
        <f>IF(base!R863&lt;&gt;"",VLOOKUP(R863,de_para!$A$1:$B$31,2,0)*base!S863,0)</f>
        <v>0</v>
      </c>
      <c r="U863" s="30">
        <f t="shared" si="14"/>
        <v>0</v>
      </c>
    </row>
    <row r="864" spans="1:21" x14ac:dyDescent="0.35">
      <c r="A864" s="29"/>
      <c r="B864" s="29"/>
      <c r="C864" s="29"/>
      <c r="D864" s="29"/>
      <c r="E864" s="29"/>
      <c r="F864" s="29"/>
      <c r="G864" s="29"/>
      <c r="H864" s="31">
        <f>IF(base!F864&lt;&gt;"",VLOOKUP(F864,de_para!$A$1:$B$31,2,0)*base!G864,0)</f>
        <v>0</v>
      </c>
      <c r="I864" s="38"/>
      <c r="J864" s="29"/>
      <c r="K864" s="31">
        <f>IF(base!I864&lt;&gt;"",VLOOKUP(I864,de_para!$A$1:$B$31,2,0)*base!J864,0)</f>
        <v>0</v>
      </c>
      <c r="L864" s="38"/>
      <c r="M864" s="29"/>
      <c r="N864" s="31">
        <f>IF(base!L864&lt;&gt;"",VLOOKUP(L864,de_para!$A$1:$B$31,2,0)*base!M864,0)</f>
        <v>0</v>
      </c>
      <c r="O864" s="38"/>
      <c r="P864" s="29"/>
      <c r="Q864" s="31">
        <f>IF(base!O864&lt;&gt;"",VLOOKUP(O864,de_para!$A$1:$B$31,2,0)*base!P864,0)</f>
        <v>0</v>
      </c>
      <c r="R864" s="38"/>
      <c r="S864" s="29"/>
      <c r="T864" s="31">
        <f>IF(base!R864&lt;&gt;"",VLOOKUP(R864,de_para!$A$1:$B$31,2,0)*base!S864,0)</f>
        <v>0</v>
      </c>
      <c r="U864" s="30">
        <f t="shared" si="14"/>
        <v>0</v>
      </c>
    </row>
    <row r="865" spans="1:21" x14ac:dyDescent="0.35">
      <c r="A865" s="29"/>
      <c r="B865" s="29"/>
      <c r="C865" s="29"/>
      <c r="D865" s="29"/>
      <c r="E865" s="29"/>
      <c r="F865" s="29"/>
      <c r="G865" s="29"/>
      <c r="H865" s="31">
        <f>IF(base!F865&lt;&gt;"",VLOOKUP(F865,de_para!$A$1:$B$31,2,0)*base!G865,0)</f>
        <v>0</v>
      </c>
      <c r="I865" s="38"/>
      <c r="J865" s="29"/>
      <c r="K865" s="31">
        <f>IF(base!I865&lt;&gt;"",VLOOKUP(I865,de_para!$A$1:$B$31,2,0)*base!J865,0)</f>
        <v>0</v>
      </c>
      <c r="L865" s="38"/>
      <c r="M865" s="29"/>
      <c r="N865" s="31">
        <f>IF(base!L865&lt;&gt;"",VLOOKUP(L865,de_para!$A$1:$B$31,2,0)*base!M865,0)</f>
        <v>0</v>
      </c>
      <c r="O865" s="38"/>
      <c r="P865" s="29"/>
      <c r="Q865" s="31">
        <f>IF(base!O865&lt;&gt;"",VLOOKUP(O865,de_para!$A$1:$B$31,2,0)*base!P865,0)</f>
        <v>0</v>
      </c>
      <c r="R865" s="38"/>
      <c r="S865" s="29"/>
      <c r="T865" s="31">
        <f>IF(base!R865&lt;&gt;"",VLOOKUP(R865,de_para!$A$1:$B$31,2,0)*base!S865,0)</f>
        <v>0</v>
      </c>
      <c r="U865" s="30">
        <f t="shared" si="14"/>
        <v>0</v>
      </c>
    </row>
    <row r="866" spans="1:21" x14ac:dyDescent="0.35">
      <c r="A866" s="29"/>
      <c r="B866" s="29"/>
      <c r="C866" s="29"/>
      <c r="D866" s="29"/>
      <c r="E866" s="29"/>
      <c r="F866" s="29"/>
      <c r="G866" s="29"/>
      <c r="H866" s="31">
        <f>IF(base!F866&lt;&gt;"",VLOOKUP(F866,de_para!$A$1:$B$31,2,0)*base!G866,0)</f>
        <v>0</v>
      </c>
      <c r="I866" s="38"/>
      <c r="J866" s="29"/>
      <c r="K866" s="31">
        <f>IF(base!I866&lt;&gt;"",VLOOKUP(I866,de_para!$A$1:$B$31,2,0)*base!J866,0)</f>
        <v>0</v>
      </c>
      <c r="L866" s="38"/>
      <c r="M866" s="29"/>
      <c r="N866" s="31">
        <f>IF(base!L866&lt;&gt;"",VLOOKUP(L866,de_para!$A$1:$B$31,2,0)*base!M866,0)</f>
        <v>0</v>
      </c>
      <c r="O866" s="38"/>
      <c r="P866" s="29"/>
      <c r="Q866" s="31">
        <f>IF(base!O866&lt;&gt;"",VLOOKUP(O866,de_para!$A$1:$B$31,2,0)*base!P866,0)</f>
        <v>0</v>
      </c>
      <c r="R866" s="38"/>
      <c r="S866" s="29"/>
      <c r="T866" s="31">
        <f>IF(base!R866&lt;&gt;"",VLOOKUP(R866,de_para!$A$1:$B$31,2,0)*base!S866,0)</f>
        <v>0</v>
      </c>
      <c r="U866" s="30">
        <f t="shared" si="14"/>
        <v>0</v>
      </c>
    </row>
    <row r="867" spans="1:21" x14ac:dyDescent="0.35">
      <c r="A867" s="29"/>
      <c r="B867" s="29"/>
      <c r="C867" s="29"/>
      <c r="D867" s="29"/>
      <c r="E867" s="29"/>
      <c r="F867" s="29"/>
      <c r="G867" s="29"/>
      <c r="H867" s="31">
        <f>IF(base!F867&lt;&gt;"",VLOOKUP(F867,de_para!$A$1:$B$31,2,0)*base!G867,0)</f>
        <v>0</v>
      </c>
      <c r="I867" s="38"/>
      <c r="J867" s="29"/>
      <c r="K867" s="31">
        <f>IF(base!I867&lt;&gt;"",VLOOKUP(I867,de_para!$A$1:$B$31,2,0)*base!J867,0)</f>
        <v>0</v>
      </c>
      <c r="L867" s="38"/>
      <c r="M867" s="29"/>
      <c r="N867" s="31">
        <f>IF(base!L867&lt;&gt;"",VLOOKUP(L867,de_para!$A$1:$B$31,2,0)*base!M867,0)</f>
        <v>0</v>
      </c>
      <c r="O867" s="38"/>
      <c r="P867" s="29"/>
      <c r="Q867" s="31">
        <f>IF(base!O867&lt;&gt;"",VLOOKUP(O867,de_para!$A$1:$B$31,2,0)*base!P867,0)</f>
        <v>0</v>
      </c>
      <c r="R867" s="38"/>
      <c r="S867" s="29"/>
      <c r="T867" s="31">
        <f>IF(base!R867&lt;&gt;"",VLOOKUP(R867,de_para!$A$1:$B$31,2,0)*base!S867,0)</f>
        <v>0</v>
      </c>
      <c r="U867" s="30">
        <f t="shared" si="14"/>
        <v>0</v>
      </c>
    </row>
    <row r="868" spans="1:21" x14ac:dyDescent="0.35">
      <c r="A868" s="29"/>
      <c r="B868" s="29"/>
      <c r="C868" s="29"/>
      <c r="D868" s="29"/>
      <c r="E868" s="29"/>
      <c r="F868" s="29"/>
      <c r="G868" s="29"/>
      <c r="H868" s="31">
        <f>IF(base!F868&lt;&gt;"",VLOOKUP(F868,de_para!$A$1:$B$31,2,0)*base!G868,0)</f>
        <v>0</v>
      </c>
      <c r="I868" s="38"/>
      <c r="J868" s="29"/>
      <c r="K868" s="31">
        <f>IF(base!I868&lt;&gt;"",VLOOKUP(I868,de_para!$A$1:$B$31,2,0)*base!J868,0)</f>
        <v>0</v>
      </c>
      <c r="L868" s="38"/>
      <c r="M868" s="29"/>
      <c r="N868" s="31">
        <f>IF(base!L868&lt;&gt;"",VLOOKUP(L868,de_para!$A$1:$B$31,2,0)*base!M868,0)</f>
        <v>0</v>
      </c>
      <c r="O868" s="38"/>
      <c r="P868" s="29"/>
      <c r="Q868" s="31">
        <f>IF(base!O868&lt;&gt;"",VLOOKUP(O868,de_para!$A$1:$B$31,2,0)*base!P868,0)</f>
        <v>0</v>
      </c>
      <c r="R868" s="38"/>
      <c r="S868" s="29"/>
      <c r="T868" s="31">
        <f>IF(base!R868&lt;&gt;"",VLOOKUP(R868,de_para!$A$1:$B$31,2,0)*base!S868,0)</f>
        <v>0</v>
      </c>
      <c r="U868" s="30">
        <f t="shared" si="14"/>
        <v>0</v>
      </c>
    </row>
    <row r="869" spans="1:21" x14ac:dyDescent="0.35">
      <c r="A869" s="29"/>
      <c r="B869" s="29"/>
      <c r="C869" s="29"/>
      <c r="D869" s="29"/>
      <c r="E869" s="29"/>
      <c r="F869" s="29"/>
      <c r="G869" s="29"/>
      <c r="H869" s="31">
        <f>IF(base!F869&lt;&gt;"",VLOOKUP(F869,de_para!$A$1:$B$31,2,0)*base!G869,0)</f>
        <v>0</v>
      </c>
      <c r="I869" s="38"/>
      <c r="J869" s="29"/>
      <c r="K869" s="31">
        <f>IF(base!I869&lt;&gt;"",VLOOKUP(I869,de_para!$A$1:$B$31,2,0)*base!J869,0)</f>
        <v>0</v>
      </c>
      <c r="L869" s="38"/>
      <c r="M869" s="29"/>
      <c r="N869" s="31">
        <f>IF(base!L869&lt;&gt;"",VLOOKUP(L869,de_para!$A$1:$B$31,2,0)*base!M869,0)</f>
        <v>0</v>
      </c>
      <c r="O869" s="38"/>
      <c r="P869" s="29"/>
      <c r="Q869" s="31">
        <f>IF(base!O869&lt;&gt;"",VLOOKUP(O869,de_para!$A$1:$B$31,2,0)*base!P869,0)</f>
        <v>0</v>
      </c>
      <c r="R869" s="38"/>
      <c r="S869" s="29"/>
      <c r="T869" s="31">
        <f>IF(base!R869&lt;&gt;"",VLOOKUP(R869,de_para!$A$1:$B$31,2,0)*base!S869,0)</f>
        <v>0</v>
      </c>
      <c r="U869" s="30">
        <f t="shared" si="14"/>
        <v>0</v>
      </c>
    </row>
    <row r="870" spans="1:21" x14ac:dyDescent="0.35">
      <c r="A870" s="29"/>
      <c r="B870" s="29"/>
      <c r="C870" s="29"/>
      <c r="D870" s="29"/>
      <c r="E870" s="29"/>
      <c r="F870" s="29"/>
      <c r="G870" s="29"/>
      <c r="H870" s="31">
        <f>IF(base!F870&lt;&gt;"",VLOOKUP(F870,de_para!$A$1:$B$31,2,0)*base!G870,0)</f>
        <v>0</v>
      </c>
      <c r="I870" s="38"/>
      <c r="J870" s="29"/>
      <c r="K870" s="31">
        <f>IF(base!I870&lt;&gt;"",VLOOKUP(I870,de_para!$A$1:$B$31,2,0)*base!J870,0)</f>
        <v>0</v>
      </c>
      <c r="L870" s="38"/>
      <c r="M870" s="29"/>
      <c r="N870" s="31">
        <f>IF(base!L870&lt;&gt;"",VLOOKUP(L870,de_para!$A$1:$B$31,2,0)*base!M870,0)</f>
        <v>0</v>
      </c>
      <c r="O870" s="38"/>
      <c r="P870" s="29"/>
      <c r="Q870" s="31">
        <f>IF(base!O870&lt;&gt;"",VLOOKUP(O870,de_para!$A$1:$B$31,2,0)*base!P870,0)</f>
        <v>0</v>
      </c>
      <c r="R870" s="38"/>
      <c r="S870" s="29"/>
      <c r="T870" s="31">
        <f>IF(base!R870&lt;&gt;"",VLOOKUP(R870,de_para!$A$1:$B$31,2,0)*base!S870,0)</f>
        <v>0</v>
      </c>
      <c r="U870" s="30">
        <f t="shared" si="14"/>
        <v>0</v>
      </c>
    </row>
    <row r="871" spans="1:21" x14ac:dyDescent="0.35">
      <c r="A871" s="29"/>
      <c r="B871" s="29"/>
      <c r="C871" s="29"/>
      <c r="D871" s="29"/>
      <c r="E871" s="29"/>
      <c r="F871" s="29"/>
      <c r="G871" s="29"/>
      <c r="H871" s="31">
        <f>IF(base!F871&lt;&gt;"",VLOOKUP(F871,de_para!$A$1:$B$31,2,0)*base!G871,0)</f>
        <v>0</v>
      </c>
      <c r="I871" s="38"/>
      <c r="J871" s="29"/>
      <c r="K871" s="31">
        <f>IF(base!I871&lt;&gt;"",VLOOKUP(I871,de_para!$A$1:$B$31,2,0)*base!J871,0)</f>
        <v>0</v>
      </c>
      <c r="L871" s="38"/>
      <c r="M871" s="29"/>
      <c r="N871" s="31">
        <f>IF(base!L871&lt;&gt;"",VLOOKUP(L871,de_para!$A$1:$B$31,2,0)*base!M871,0)</f>
        <v>0</v>
      </c>
      <c r="O871" s="38"/>
      <c r="P871" s="29"/>
      <c r="Q871" s="31">
        <f>IF(base!O871&lt;&gt;"",VLOOKUP(O871,de_para!$A$1:$B$31,2,0)*base!P871,0)</f>
        <v>0</v>
      </c>
      <c r="R871" s="38"/>
      <c r="S871" s="29"/>
      <c r="T871" s="31">
        <f>IF(base!R871&lt;&gt;"",VLOOKUP(R871,de_para!$A$1:$B$31,2,0)*base!S871,0)</f>
        <v>0</v>
      </c>
      <c r="U871" s="30">
        <f t="shared" si="14"/>
        <v>0</v>
      </c>
    </row>
    <row r="872" spans="1:21" x14ac:dyDescent="0.35">
      <c r="A872" s="29"/>
      <c r="B872" s="29"/>
      <c r="C872" s="29"/>
      <c r="D872" s="29"/>
      <c r="E872" s="29"/>
      <c r="F872" s="29"/>
      <c r="G872" s="29"/>
      <c r="H872" s="31">
        <f>IF(base!F872&lt;&gt;"",VLOOKUP(F872,de_para!$A$1:$B$31,2,0)*base!G872,0)</f>
        <v>0</v>
      </c>
      <c r="I872" s="38"/>
      <c r="J872" s="29"/>
      <c r="K872" s="31">
        <f>IF(base!I872&lt;&gt;"",VLOOKUP(I872,de_para!$A$1:$B$31,2,0)*base!J872,0)</f>
        <v>0</v>
      </c>
      <c r="L872" s="38"/>
      <c r="M872" s="29"/>
      <c r="N872" s="31">
        <f>IF(base!L872&lt;&gt;"",VLOOKUP(L872,de_para!$A$1:$B$31,2,0)*base!M872,0)</f>
        <v>0</v>
      </c>
      <c r="O872" s="38"/>
      <c r="P872" s="29"/>
      <c r="Q872" s="31">
        <f>IF(base!O872&lt;&gt;"",VLOOKUP(O872,de_para!$A$1:$B$31,2,0)*base!P872,0)</f>
        <v>0</v>
      </c>
      <c r="R872" s="38"/>
      <c r="S872" s="29"/>
      <c r="T872" s="31">
        <f>IF(base!R872&lt;&gt;"",VLOOKUP(R872,de_para!$A$1:$B$31,2,0)*base!S872,0)</f>
        <v>0</v>
      </c>
      <c r="U872" s="30">
        <f t="shared" si="14"/>
        <v>0</v>
      </c>
    </row>
    <row r="873" spans="1:21" x14ac:dyDescent="0.35">
      <c r="A873" s="29"/>
      <c r="B873" s="29"/>
      <c r="C873" s="29"/>
      <c r="D873" s="29"/>
      <c r="E873" s="29"/>
      <c r="F873" s="29"/>
      <c r="G873" s="29"/>
      <c r="H873" s="31">
        <f>IF(base!F873&lt;&gt;"",VLOOKUP(F873,de_para!$A$1:$B$31,2,0)*base!G873,0)</f>
        <v>0</v>
      </c>
      <c r="I873" s="38"/>
      <c r="J873" s="29"/>
      <c r="K873" s="31">
        <f>IF(base!I873&lt;&gt;"",VLOOKUP(I873,de_para!$A$1:$B$31,2,0)*base!J873,0)</f>
        <v>0</v>
      </c>
      <c r="L873" s="38"/>
      <c r="M873" s="29"/>
      <c r="N873" s="31">
        <f>IF(base!L873&lt;&gt;"",VLOOKUP(L873,de_para!$A$1:$B$31,2,0)*base!M873,0)</f>
        <v>0</v>
      </c>
      <c r="O873" s="38"/>
      <c r="P873" s="29"/>
      <c r="Q873" s="31">
        <f>IF(base!O873&lt;&gt;"",VLOOKUP(O873,de_para!$A$1:$B$31,2,0)*base!P873,0)</f>
        <v>0</v>
      </c>
      <c r="R873" s="38"/>
      <c r="S873" s="29"/>
      <c r="T873" s="31">
        <f>IF(base!R873&lt;&gt;"",VLOOKUP(R873,de_para!$A$1:$B$31,2,0)*base!S873,0)</f>
        <v>0</v>
      </c>
      <c r="U873" s="30">
        <f t="shared" si="14"/>
        <v>0</v>
      </c>
    </row>
    <row r="874" spans="1:21" x14ac:dyDescent="0.35">
      <c r="A874" s="29"/>
      <c r="B874" s="29"/>
      <c r="C874" s="29"/>
      <c r="D874" s="29"/>
      <c r="E874" s="29"/>
      <c r="F874" s="29"/>
      <c r="G874" s="29"/>
      <c r="H874" s="31">
        <f>IF(base!F874&lt;&gt;"",VLOOKUP(F874,de_para!$A$1:$B$31,2,0)*base!G874,0)</f>
        <v>0</v>
      </c>
      <c r="I874" s="38"/>
      <c r="J874" s="29"/>
      <c r="K874" s="31">
        <f>IF(base!I874&lt;&gt;"",VLOOKUP(I874,de_para!$A$1:$B$31,2,0)*base!J874,0)</f>
        <v>0</v>
      </c>
      <c r="L874" s="38"/>
      <c r="M874" s="29"/>
      <c r="N874" s="31">
        <f>IF(base!L874&lt;&gt;"",VLOOKUP(L874,de_para!$A$1:$B$31,2,0)*base!M874,0)</f>
        <v>0</v>
      </c>
      <c r="O874" s="38"/>
      <c r="P874" s="29"/>
      <c r="Q874" s="31">
        <f>IF(base!O874&lt;&gt;"",VLOOKUP(O874,de_para!$A$1:$B$31,2,0)*base!P874,0)</f>
        <v>0</v>
      </c>
      <c r="R874" s="38"/>
      <c r="S874" s="29"/>
      <c r="T874" s="31">
        <f>IF(base!R874&lt;&gt;"",VLOOKUP(R874,de_para!$A$1:$B$31,2,0)*base!S874,0)</f>
        <v>0</v>
      </c>
      <c r="U874" s="30">
        <f t="shared" si="14"/>
        <v>0</v>
      </c>
    </row>
    <row r="875" spans="1:21" x14ac:dyDescent="0.35">
      <c r="A875" s="29"/>
      <c r="B875" s="29"/>
      <c r="C875" s="29"/>
      <c r="D875" s="29"/>
      <c r="E875" s="29"/>
      <c r="F875" s="29"/>
      <c r="G875" s="29"/>
      <c r="H875" s="31">
        <f>IF(base!F875&lt;&gt;"",VLOOKUP(F875,de_para!$A$1:$B$31,2,0)*base!G875,0)</f>
        <v>0</v>
      </c>
      <c r="I875" s="38"/>
      <c r="J875" s="29"/>
      <c r="K875" s="31">
        <f>IF(base!I875&lt;&gt;"",VLOOKUP(I875,de_para!$A$1:$B$31,2,0)*base!J875,0)</f>
        <v>0</v>
      </c>
      <c r="L875" s="38"/>
      <c r="M875" s="29"/>
      <c r="N875" s="31">
        <f>IF(base!L875&lt;&gt;"",VLOOKUP(L875,de_para!$A$1:$B$31,2,0)*base!M875,0)</f>
        <v>0</v>
      </c>
      <c r="O875" s="38"/>
      <c r="P875" s="29"/>
      <c r="Q875" s="31">
        <f>IF(base!O875&lt;&gt;"",VLOOKUP(O875,de_para!$A$1:$B$31,2,0)*base!P875,0)</f>
        <v>0</v>
      </c>
      <c r="R875" s="38"/>
      <c r="S875" s="29"/>
      <c r="T875" s="31">
        <f>IF(base!R875&lt;&gt;"",VLOOKUP(R875,de_para!$A$1:$B$31,2,0)*base!S875,0)</f>
        <v>0</v>
      </c>
      <c r="U875" s="30">
        <f t="shared" si="14"/>
        <v>0</v>
      </c>
    </row>
    <row r="876" spans="1:21" x14ac:dyDescent="0.35">
      <c r="A876" s="29"/>
      <c r="B876" s="29"/>
      <c r="C876" s="29"/>
      <c r="D876" s="29"/>
      <c r="E876" s="29"/>
      <c r="F876" s="29"/>
      <c r="G876" s="29"/>
      <c r="H876" s="31">
        <f>IF(base!F876&lt;&gt;"",VLOOKUP(F876,de_para!$A$1:$B$31,2,0)*base!G876,0)</f>
        <v>0</v>
      </c>
      <c r="I876" s="38"/>
      <c r="J876" s="29"/>
      <c r="K876" s="31">
        <f>IF(base!I876&lt;&gt;"",VLOOKUP(I876,de_para!$A$1:$B$31,2,0)*base!J876,0)</f>
        <v>0</v>
      </c>
      <c r="L876" s="38"/>
      <c r="M876" s="29"/>
      <c r="N876" s="31">
        <f>IF(base!L876&lt;&gt;"",VLOOKUP(L876,de_para!$A$1:$B$31,2,0)*base!M876,0)</f>
        <v>0</v>
      </c>
      <c r="O876" s="38"/>
      <c r="P876" s="29"/>
      <c r="Q876" s="31">
        <f>IF(base!O876&lt;&gt;"",VLOOKUP(O876,de_para!$A$1:$B$31,2,0)*base!P876,0)</f>
        <v>0</v>
      </c>
      <c r="R876" s="38"/>
      <c r="S876" s="29"/>
      <c r="T876" s="31">
        <f>IF(base!R876&lt;&gt;"",VLOOKUP(R876,de_para!$A$1:$B$31,2,0)*base!S876,0)</f>
        <v>0</v>
      </c>
      <c r="U876" s="30">
        <f t="shared" si="14"/>
        <v>0</v>
      </c>
    </row>
    <row r="877" spans="1:21" x14ac:dyDescent="0.35">
      <c r="A877" s="29"/>
      <c r="B877" s="29"/>
      <c r="C877" s="29"/>
      <c r="D877" s="29"/>
      <c r="E877" s="29"/>
      <c r="F877" s="29"/>
      <c r="G877" s="29"/>
      <c r="H877" s="31">
        <f>IF(base!F877&lt;&gt;"",VLOOKUP(F877,de_para!$A$1:$B$31,2,0)*base!G877,0)</f>
        <v>0</v>
      </c>
      <c r="I877" s="38"/>
      <c r="J877" s="29"/>
      <c r="K877" s="31">
        <f>IF(base!I877&lt;&gt;"",VLOOKUP(I877,de_para!$A$1:$B$31,2,0)*base!J877,0)</f>
        <v>0</v>
      </c>
      <c r="L877" s="38"/>
      <c r="M877" s="29"/>
      <c r="N877" s="31">
        <f>IF(base!L877&lt;&gt;"",VLOOKUP(L877,de_para!$A$1:$B$31,2,0)*base!M877,0)</f>
        <v>0</v>
      </c>
      <c r="O877" s="38"/>
      <c r="P877" s="29"/>
      <c r="Q877" s="31">
        <f>IF(base!O877&lt;&gt;"",VLOOKUP(O877,de_para!$A$1:$B$31,2,0)*base!P877,0)</f>
        <v>0</v>
      </c>
      <c r="R877" s="38"/>
      <c r="S877" s="29"/>
      <c r="T877" s="31">
        <f>IF(base!R877&lt;&gt;"",VLOOKUP(R877,de_para!$A$1:$B$31,2,0)*base!S877,0)</f>
        <v>0</v>
      </c>
      <c r="U877" s="30">
        <f t="shared" si="14"/>
        <v>0</v>
      </c>
    </row>
    <row r="878" spans="1:21" x14ac:dyDescent="0.35">
      <c r="A878" s="29"/>
      <c r="B878" s="29"/>
      <c r="C878" s="29"/>
      <c r="D878" s="29"/>
      <c r="E878" s="29"/>
      <c r="F878" s="29"/>
      <c r="G878" s="29"/>
      <c r="H878" s="31">
        <f>IF(base!F878&lt;&gt;"",VLOOKUP(F878,de_para!$A$1:$B$31,2,0)*base!G878,0)</f>
        <v>0</v>
      </c>
      <c r="I878" s="38"/>
      <c r="J878" s="29"/>
      <c r="K878" s="31">
        <f>IF(base!I878&lt;&gt;"",VLOOKUP(I878,de_para!$A$1:$B$31,2,0)*base!J878,0)</f>
        <v>0</v>
      </c>
      <c r="L878" s="38"/>
      <c r="M878" s="29"/>
      <c r="N878" s="31">
        <f>IF(base!L878&lt;&gt;"",VLOOKUP(L878,de_para!$A$1:$B$31,2,0)*base!M878,0)</f>
        <v>0</v>
      </c>
      <c r="O878" s="38"/>
      <c r="P878" s="29"/>
      <c r="Q878" s="31">
        <f>IF(base!O878&lt;&gt;"",VLOOKUP(O878,de_para!$A$1:$B$31,2,0)*base!P878,0)</f>
        <v>0</v>
      </c>
      <c r="R878" s="38"/>
      <c r="S878" s="29"/>
      <c r="T878" s="31">
        <f>IF(base!R878&lt;&gt;"",VLOOKUP(R878,de_para!$A$1:$B$31,2,0)*base!S878,0)</f>
        <v>0</v>
      </c>
      <c r="U878" s="30">
        <f t="shared" si="14"/>
        <v>0</v>
      </c>
    </row>
    <row r="879" spans="1:21" x14ac:dyDescent="0.35">
      <c r="A879" s="29"/>
      <c r="B879" s="29"/>
      <c r="C879" s="29"/>
      <c r="D879" s="29"/>
      <c r="E879" s="29"/>
      <c r="F879" s="29"/>
      <c r="G879" s="29"/>
      <c r="H879" s="31">
        <f>IF(base!F879&lt;&gt;"",VLOOKUP(F879,de_para!$A$1:$B$31,2,0)*base!G879,0)</f>
        <v>0</v>
      </c>
      <c r="I879" s="38"/>
      <c r="J879" s="29"/>
      <c r="K879" s="31">
        <f>IF(base!I879&lt;&gt;"",VLOOKUP(I879,de_para!$A$1:$B$31,2,0)*base!J879,0)</f>
        <v>0</v>
      </c>
      <c r="L879" s="38"/>
      <c r="M879" s="29"/>
      <c r="N879" s="31">
        <f>IF(base!L879&lt;&gt;"",VLOOKUP(L879,de_para!$A$1:$B$31,2,0)*base!M879,0)</f>
        <v>0</v>
      </c>
      <c r="O879" s="38"/>
      <c r="P879" s="29"/>
      <c r="Q879" s="31">
        <f>IF(base!O879&lt;&gt;"",VLOOKUP(O879,de_para!$A$1:$B$31,2,0)*base!P879,0)</f>
        <v>0</v>
      </c>
      <c r="R879" s="38"/>
      <c r="S879" s="29"/>
      <c r="T879" s="31">
        <f>IF(base!R879&lt;&gt;"",VLOOKUP(R879,de_para!$A$1:$B$31,2,0)*base!S879,0)</f>
        <v>0</v>
      </c>
      <c r="U879" s="30">
        <f t="shared" si="14"/>
        <v>0</v>
      </c>
    </row>
    <row r="880" spans="1:21" x14ac:dyDescent="0.35">
      <c r="A880" s="29"/>
      <c r="B880" s="29"/>
      <c r="C880" s="29"/>
      <c r="D880" s="29"/>
      <c r="E880" s="29"/>
      <c r="F880" s="29"/>
      <c r="G880" s="29"/>
      <c r="H880" s="31">
        <f>IF(base!F880&lt;&gt;"",VLOOKUP(F880,de_para!$A$1:$B$31,2,0)*base!G880,0)</f>
        <v>0</v>
      </c>
      <c r="I880" s="38"/>
      <c r="J880" s="29"/>
      <c r="K880" s="31">
        <f>IF(base!I880&lt;&gt;"",VLOOKUP(I880,de_para!$A$1:$B$31,2,0)*base!J880,0)</f>
        <v>0</v>
      </c>
      <c r="L880" s="38"/>
      <c r="M880" s="29"/>
      <c r="N880" s="31">
        <f>IF(base!L880&lt;&gt;"",VLOOKUP(L880,de_para!$A$1:$B$31,2,0)*base!M880,0)</f>
        <v>0</v>
      </c>
      <c r="O880" s="38"/>
      <c r="P880" s="29"/>
      <c r="Q880" s="31">
        <f>IF(base!O880&lt;&gt;"",VLOOKUP(O880,de_para!$A$1:$B$31,2,0)*base!P880,0)</f>
        <v>0</v>
      </c>
      <c r="R880" s="38"/>
      <c r="S880" s="29"/>
      <c r="T880" s="31">
        <f>IF(base!R880&lt;&gt;"",VLOOKUP(R880,de_para!$A$1:$B$31,2,0)*base!S880,0)</f>
        <v>0</v>
      </c>
      <c r="U880" s="30">
        <f t="shared" si="14"/>
        <v>0</v>
      </c>
    </row>
    <row r="881" spans="1:21" x14ac:dyDescent="0.35">
      <c r="A881" s="29"/>
      <c r="B881" s="29"/>
      <c r="C881" s="29"/>
      <c r="D881" s="29"/>
      <c r="E881" s="29"/>
      <c r="F881" s="29"/>
      <c r="G881" s="29"/>
      <c r="H881" s="31">
        <f>IF(base!F881&lt;&gt;"",VLOOKUP(F881,de_para!$A$1:$B$31,2,0)*base!G881,0)</f>
        <v>0</v>
      </c>
      <c r="I881" s="38"/>
      <c r="J881" s="29"/>
      <c r="K881" s="31">
        <f>IF(base!I881&lt;&gt;"",VLOOKUP(I881,de_para!$A$1:$B$31,2,0)*base!J881,0)</f>
        <v>0</v>
      </c>
      <c r="L881" s="38"/>
      <c r="M881" s="29"/>
      <c r="N881" s="31">
        <f>IF(base!L881&lt;&gt;"",VLOOKUP(L881,de_para!$A$1:$B$31,2,0)*base!M881,0)</f>
        <v>0</v>
      </c>
      <c r="O881" s="38"/>
      <c r="P881" s="29"/>
      <c r="Q881" s="31">
        <f>IF(base!O881&lt;&gt;"",VLOOKUP(O881,de_para!$A$1:$B$31,2,0)*base!P881,0)</f>
        <v>0</v>
      </c>
      <c r="R881" s="38"/>
      <c r="S881" s="29"/>
      <c r="T881" s="31">
        <f>IF(base!R881&lt;&gt;"",VLOOKUP(R881,de_para!$A$1:$B$31,2,0)*base!S881,0)</f>
        <v>0</v>
      </c>
      <c r="U881" s="30">
        <f t="shared" si="14"/>
        <v>0</v>
      </c>
    </row>
    <row r="882" spans="1:21" x14ac:dyDescent="0.35">
      <c r="A882" s="29"/>
      <c r="B882" s="29"/>
      <c r="C882" s="29"/>
      <c r="D882" s="29"/>
      <c r="E882" s="29"/>
      <c r="F882" s="29"/>
      <c r="G882" s="29"/>
      <c r="H882" s="31">
        <f>IF(base!F882&lt;&gt;"",VLOOKUP(F882,de_para!$A$1:$B$31,2,0)*base!G882,0)</f>
        <v>0</v>
      </c>
      <c r="I882" s="38"/>
      <c r="J882" s="29"/>
      <c r="K882" s="31">
        <f>IF(base!I882&lt;&gt;"",VLOOKUP(I882,de_para!$A$1:$B$31,2,0)*base!J882,0)</f>
        <v>0</v>
      </c>
      <c r="L882" s="38"/>
      <c r="M882" s="29"/>
      <c r="N882" s="31">
        <f>IF(base!L882&lt;&gt;"",VLOOKUP(L882,de_para!$A$1:$B$31,2,0)*base!M882,0)</f>
        <v>0</v>
      </c>
      <c r="O882" s="38"/>
      <c r="P882" s="29"/>
      <c r="Q882" s="31">
        <f>IF(base!O882&lt;&gt;"",VLOOKUP(O882,de_para!$A$1:$B$31,2,0)*base!P882,0)</f>
        <v>0</v>
      </c>
      <c r="R882" s="38"/>
      <c r="S882" s="29"/>
      <c r="T882" s="31">
        <f>IF(base!R882&lt;&gt;"",VLOOKUP(R882,de_para!$A$1:$B$31,2,0)*base!S882,0)</f>
        <v>0</v>
      </c>
      <c r="U882" s="30">
        <f t="shared" si="14"/>
        <v>0</v>
      </c>
    </row>
    <row r="883" spans="1:21" x14ac:dyDescent="0.35">
      <c r="A883" s="29"/>
      <c r="B883" s="29"/>
      <c r="C883" s="29"/>
      <c r="D883" s="29"/>
      <c r="E883" s="29"/>
      <c r="F883" s="29"/>
      <c r="G883" s="29"/>
      <c r="H883" s="31">
        <f>IF(base!F883&lt;&gt;"",VLOOKUP(F883,de_para!$A$1:$B$31,2,0)*base!G883,0)</f>
        <v>0</v>
      </c>
      <c r="I883" s="38"/>
      <c r="J883" s="29"/>
      <c r="K883" s="31">
        <f>IF(base!I883&lt;&gt;"",VLOOKUP(I883,de_para!$A$1:$B$31,2,0)*base!J883,0)</f>
        <v>0</v>
      </c>
      <c r="L883" s="38"/>
      <c r="M883" s="29"/>
      <c r="N883" s="31">
        <f>IF(base!L883&lt;&gt;"",VLOOKUP(L883,de_para!$A$1:$B$31,2,0)*base!M883,0)</f>
        <v>0</v>
      </c>
      <c r="O883" s="38"/>
      <c r="P883" s="29"/>
      <c r="Q883" s="31">
        <f>IF(base!O883&lt;&gt;"",VLOOKUP(O883,de_para!$A$1:$B$31,2,0)*base!P883,0)</f>
        <v>0</v>
      </c>
      <c r="R883" s="38"/>
      <c r="S883" s="29"/>
      <c r="T883" s="31">
        <f>IF(base!R883&lt;&gt;"",VLOOKUP(R883,de_para!$A$1:$B$31,2,0)*base!S883,0)</f>
        <v>0</v>
      </c>
      <c r="U883" s="30">
        <f t="shared" si="14"/>
        <v>0</v>
      </c>
    </row>
    <row r="884" spans="1:21" x14ac:dyDescent="0.35">
      <c r="A884" s="29"/>
      <c r="B884" s="29"/>
      <c r="C884" s="29"/>
      <c r="D884" s="29"/>
      <c r="E884" s="29"/>
      <c r="F884" s="29"/>
      <c r="G884" s="29"/>
      <c r="H884" s="31">
        <f>IF(base!F884&lt;&gt;"",VLOOKUP(F884,de_para!$A$1:$B$31,2,0)*base!G884,0)</f>
        <v>0</v>
      </c>
      <c r="I884" s="38"/>
      <c r="J884" s="29"/>
      <c r="K884" s="31">
        <f>IF(base!I884&lt;&gt;"",VLOOKUP(I884,de_para!$A$1:$B$31,2,0)*base!J884,0)</f>
        <v>0</v>
      </c>
      <c r="L884" s="38"/>
      <c r="M884" s="29"/>
      <c r="N884" s="31">
        <f>IF(base!L884&lt;&gt;"",VLOOKUP(L884,de_para!$A$1:$B$31,2,0)*base!M884,0)</f>
        <v>0</v>
      </c>
      <c r="O884" s="38"/>
      <c r="P884" s="29"/>
      <c r="Q884" s="31">
        <f>IF(base!O884&lt;&gt;"",VLOOKUP(O884,de_para!$A$1:$B$31,2,0)*base!P884,0)</f>
        <v>0</v>
      </c>
      <c r="R884" s="38"/>
      <c r="S884" s="29"/>
      <c r="T884" s="31">
        <f>IF(base!R884&lt;&gt;"",VLOOKUP(R884,de_para!$A$1:$B$31,2,0)*base!S884,0)</f>
        <v>0</v>
      </c>
      <c r="U884" s="30">
        <f t="shared" si="14"/>
        <v>0</v>
      </c>
    </row>
    <row r="885" spans="1:21" x14ac:dyDescent="0.35">
      <c r="A885" s="29"/>
      <c r="B885" s="29"/>
      <c r="C885" s="29"/>
      <c r="D885" s="29"/>
      <c r="E885" s="29"/>
      <c r="F885" s="29"/>
      <c r="G885" s="29"/>
      <c r="H885" s="31">
        <f>IF(base!F885&lt;&gt;"",VLOOKUP(F885,de_para!$A$1:$B$31,2,0)*base!G885,0)</f>
        <v>0</v>
      </c>
      <c r="I885" s="38"/>
      <c r="J885" s="29"/>
      <c r="K885" s="31">
        <f>IF(base!I885&lt;&gt;"",VLOOKUP(I885,de_para!$A$1:$B$31,2,0)*base!J885,0)</f>
        <v>0</v>
      </c>
      <c r="L885" s="38"/>
      <c r="M885" s="29"/>
      <c r="N885" s="31">
        <f>IF(base!L885&lt;&gt;"",VLOOKUP(L885,de_para!$A$1:$B$31,2,0)*base!M885,0)</f>
        <v>0</v>
      </c>
      <c r="O885" s="38"/>
      <c r="P885" s="29"/>
      <c r="Q885" s="31">
        <f>IF(base!O885&lt;&gt;"",VLOOKUP(O885,de_para!$A$1:$B$31,2,0)*base!P885,0)</f>
        <v>0</v>
      </c>
      <c r="R885" s="38"/>
      <c r="S885" s="29"/>
      <c r="T885" s="31">
        <f>IF(base!R885&lt;&gt;"",VLOOKUP(R885,de_para!$A$1:$B$31,2,0)*base!S885,0)</f>
        <v>0</v>
      </c>
      <c r="U885" s="30">
        <f t="shared" si="14"/>
        <v>0</v>
      </c>
    </row>
    <row r="886" spans="1:21" x14ac:dyDescent="0.35">
      <c r="A886" s="29"/>
      <c r="B886" s="29"/>
      <c r="C886" s="29"/>
      <c r="D886" s="29"/>
      <c r="E886" s="29"/>
      <c r="F886" s="29"/>
      <c r="G886" s="29"/>
      <c r="H886" s="31">
        <f>IF(base!F886&lt;&gt;"",VLOOKUP(F886,de_para!$A$1:$B$31,2,0)*base!G886,0)</f>
        <v>0</v>
      </c>
      <c r="I886" s="38"/>
      <c r="J886" s="29"/>
      <c r="K886" s="31">
        <f>IF(base!I886&lt;&gt;"",VLOOKUP(I886,de_para!$A$1:$B$31,2,0)*base!J886,0)</f>
        <v>0</v>
      </c>
      <c r="L886" s="38"/>
      <c r="M886" s="29"/>
      <c r="N886" s="31">
        <f>IF(base!L886&lt;&gt;"",VLOOKUP(L886,de_para!$A$1:$B$31,2,0)*base!M886,0)</f>
        <v>0</v>
      </c>
      <c r="O886" s="38"/>
      <c r="P886" s="29"/>
      <c r="Q886" s="31">
        <f>IF(base!O886&lt;&gt;"",VLOOKUP(O886,de_para!$A$1:$B$31,2,0)*base!P886,0)</f>
        <v>0</v>
      </c>
      <c r="R886" s="38"/>
      <c r="S886" s="29"/>
      <c r="T886" s="31">
        <f>IF(base!R886&lt;&gt;"",VLOOKUP(R886,de_para!$A$1:$B$31,2,0)*base!S886,0)</f>
        <v>0</v>
      </c>
      <c r="U886" s="30">
        <f t="shared" si="14"/>
        <v>0</v>
      </c>
    </row>
    <row r="887" spans="1:21" x14ac:dyDescent="0.35">
      <c r="A887" s="29"/>
      <c r="B887" s="29"/>
      <c r="C887" s="29"/>
      <c r="D887" s="29"/>
      <c r="E887" s="29"/>
      <c r="F887" s="29"/>
      <c r="G887" s="29"/>
      <c r="H887" s="31">
        <f>IF(base!F887&lt;&gt;"",VLOOKUP(F887,de_para!$A$1:$B$31,2,0)*base!G887,0)</f>
        <v>0</v>
      </c>
      <c r="I887" s="38"/>
      <c r="J887" s="29"/>
      <c r="K887" s="31">
        <f>IF(base!I887&lt;&gt;"",VLOOKUP(I887,de_para!$A$1:$B$31,2,0)*base!J887,0)</f>
        <v>0</v>
      </c>
      <c r="L887" s="38"/>
      <c r="M887" s="29"/>
      <c r="N887" s="31">
        <f>IF(base!L887&lt;&gt;"",VLOOKUP(L887,de_para!$A$1:$B$31,2,0)*base!M887,0)</f>
        <v>0</v>
      </c>
      <c r="O887" s="38"/>
      <c r="P887" s="29"/>
      <c r="Q887" s="31">
        <f>IF(base!O887&lt;&gt;"",VLOOKUP(O887,de_para!$A$1:$B$31,2,0)*base!P887,0)</f>
        <v>0</v>
      </c>
      <c r="R887" s="38"/>
      <c r="S887" s="29"/>
      <c r="T887" s="31">
        <f>IF(base!R887&lt;&gt;"",VLOOKUP(R887,de_para!$A$1:$B$31,2,0)*base!S887,0)</f>
        <v>0</v>
      </c>
      <c r="U887" s="30">
        <f t="shared" ref="U887:U931" si="15">H887+K887+N887+Q887+T887</f>
        <v>0</v>
      </c>
    </row>
    <row r="888" spans="1:21" x14ac:dyDescent="0.35">
      <c r="A888" s="29"/>
      <c r="B888" s="29"/>
      <c r="C888" s="29"/>
      <c r="D888" s="29"/>
      <c r="E888" s="29"/>
      <c r="F888" s="29"/>
      <c r="G888" s="29"/>
      <c r="H888" s="31">
        <f>IF(base!F888&lt;&gt;"",VLOOKUP(F888,de_para!$A$1:$B$31,2,0)*base!G888,0)</f>
        <v>0</v>
      </c>
      <c r="I888" s="38"/>
      <c r="J888" s="29"/>
      <c r="K888" s="31">
        <f>IF(base!I888&lt;&gt;"",VLOOKUP(I888,de_para!$A$1:$B$31,2,0)*base!J888,0)</f>
        <v>0</v>
      </c>
      <c r="L888" s="38"/>
      <c r="M888" s="29"/>
      <c r="N888" s="31">
        <f>IF(base!L888&lt;&gt;"",VLOOKUP(L888,de_para!$A$1:$B$31,2,0)*base!M888,0)</f>
        <v>0</v>
      </c>
      <c r="O888" s="38"/>
      <c r="P888" s="29"/>
      <c r="Q888" s="31">
        <f>IF(base!O888&lt;&gt;"",VLOOKUP(O888,de_para!$A$1:$B$31,2,0)*base!P888,0)</f>
        <v>0</v>
      </c>
      <c r="R888" s="38"/>
      <c r="S888" s="29"/>
      <c r="T888" s="31">
        <f>IF(base!R888&lt;&gt;"",VLOOKUP(R888,de_para!$A$1:$B$31,2,0)*base!S888,0)</f>
        <v>0</v>
      </c>
      <c r="U888" s="30">
        <f t="shared" si="15"/>
        <v>0</v>
      </c>
    </row>
    <row r="889" spans="1:21" x14ac:dyDescent="0.35">
      <c r="A889" s="29"/>
      <c r="B889" s="29"/>
      <c r="C889" s="29"/>
      <c r="D889" s="29"/>
      <c r="E889" s="29"/>
      <c r="F889" s="29"/>
      <c r="G889" s="29"/>
      <c r="H889" s="31">
        <f>IF(base!F889&lt;&gt;"",VLOOKUP(F889,de_para!$A$1:$B$31,2,0)*base!G889,0)</f>
        <v>0</v>
      </c>
      <c r="I889" s="38"/>
      <c r="J889" s="29"/>
      <c r="K889" s="31">
        <f>IF(base!I889&lt;&gt;"",VLOOKUP(I889,de_para!$A$1:$B$31,2,0)*base!J889,0)</f>
        <v>0</v>
      </c>
      <c r="L889" s="38"/>
      <c r="M889" s="29"/>
      <c r="N889" s="31">
        <f>IF(base!L889&lt;&gt;"",VLOOKUP(L889,de_para!$A$1:$B$31,2,0)*base!M889,0)</f>
        <v>0</v>
      </c>
      <c r="O889" s="38"/>
      <c r="P889" s="29"/>
      <c r="Q889" s="31">
        <f>IF(base!O889&lt;&gt;"",VLOOKUP(O889,de_para!$A$1:$B$31,2,0)*base!P889,0)</f>
        <v>0</v>
      </c>
      <c r="R889" s="38"/>
      <c r="S889" s="29"/>
      <c r="T889" s="31">
        <f>IF(base!R889&lt;&gt;"",VLOOKUP(R889,de_para!$A$1:$B$31,2,0)*base!S889,0)</f>
        <v>0</v>
      </c>
      <c r="U889" s="30">
        <f t="shared" si="15"/>
        <v>0</v>
      </c>
    </row>
    <row r="890" spans="1:21" x14ac:dyDescent="0.35">
      <c r="A890" s="29"/>
      <c r="B890" s="29"/>
      <c r="C890" s="29"/>
      <c r="D890" s="29"/>
      <c r="E890" s="29"/>
      <c r="F890" s="29"/>
      <c r="G890" s="29"/>
      <c r="H890" s="31">
        <f>IF(base!F890&lt;&gt;"",VLOOKUP(F890,de_para!$A$1:$B$31,2,0)*base!G890,0)</f>
        <v>0</v>
      </c>
      <c r="I890" s="38"/>
      <c r="J890" s="29"/>
      <c r="K890" s="31">
        <f>IF(base!I890&lt;&gt;"",VLOOKUP(I890,de_para!$A$1:$B$31,2,0)*base!J890,0)</f>
        <v>0</v>
      </c>
      <c r="L890" s="38"/>
      <c r="M890" s="29"/>
      <c r="N890" s="31">
        <f>IF(base!L890&lt;&gt;"",VLOOKUP(L890,de_para!$A$1:$B$31,2,0)*base!M890,0)</f>
        <v>0</v>
      </c>
      <c r="O890" s="38"/>
      <c r="P890" s="29"/>
      <c r="Q890" s="31">
        <f>IF(base!O890&lt;&gt;"",VLOOKUP(O890,de_para!$A$1:$B$31,2,0)*base!P890,0)</f>
        <v>0</v>
      </c>
      <c r="R890" s="38"/>
      <c r="S890" s="29"/>
      <c r="T890" s="31">
        <f>IF(base!R890&lt;&gt;"",VLOOKUP(R890,de_para!$A$1:$B$31,2,0)*base!S890,0)</f>
        <v>0</v>
      </c>
      <c r="U890" s="30">
        <f t="shared" si="15"/>
        <v>0</v>
      </c>
    </row>
    <row r="891" spans="1:21" x14ac:dyDescent="0.35">
      <c r="A891" s="29"/>
      <c r="B891" s="29"/>
      <c r="C891" s="29"/>
      <c r="D891" s="29"/>
      <c r="E891" s="29"/>
      <c r="F891" s="29"/>
      <c r="G891" s="29"/>
      <c r="H891" s="31">
        <f>IF(base!F891&lt;&gt;"",VLOOKUP(F891,de_para!$A$1:$B$31,2,0)*base!G891,0)</f>
        <v>0</v>
      </c>
      <c r="I891" s="38"/>
      <c r="J891" s="29"/>
      <c r="K891" s="31">
        <f>IF(base!I891&lt;&gt;"",VLOOKUP(I891,de_para!$A$1:$B$31,2,0)*base!J891,0)</f>
        <v>0</v>
      </c>
      <c r="L891" s="38"/>
      <c r="M891" s="29"/>
      <c r="N891" s="31">
        <f>IF(base!L891&lt;&gt;"",VLOOKUP(L891,de_para!$A$1:$B$31,2,0)*base!M891,0)</f>
        <v>0</v>
      </c>
      <c r="O891" s="38"/>
      <c r="P891" s="29"/>
      <c r="Q891" s="31">
        <f>IF(base!O891&lt;&gt;"",VLOOKUP(O891,de_para!$A$1:$B$31,2,0)*base!P891,0)</f>
        <v>0</v>
      </c>
      <c r="R891" s="38"/>
      <c r="S891" s="29"/>
      <c r="T891" s="31">
        <f>IF(base!R891&lt;&gt;"",VLOOKUP(R891,de_para!$A$1:$B$31,2,0)*base!S891,0)</f>
        <v>0</v>
      </c>
      <c r="U891" s="30">
        <f t="shared" si="15"/>
        <v>0</v>
      </c>
    </row>
    <row r="892" spans="1:21" x14ac:dyDescent="0.35">
      <c r="A892" s="29"/>
      <c r="B892" s="29"/>
      <c r="C892" s="29"/>
      <c r="D892" s="29"/>
      <c r="E892" s="29"/>
      <c r="F892" s="29"/>
      <c r="G892" s="29"/>
      <c r="H892" s="31">
        <f>IF(base!F892&lt;&gt;"",VLOOKUP(F892,de_para!$A$1:$B$31,2,0)*base!G892,0)</f>
        <v>0</v>
      </c>
      <c r="I892" s="38"/>
      <c r="J892" s="29"/>
      <c r="K892" s="31">
        <f>IF(base!I892&lt;&gt;"",VLOOKUP(I892,de_para!$A$1:$B$31,2,0)*base!J892,0)</f>
        <v>0</v>
      </c>
      <c r="L892" s="38"/>
      <c r="M892" s="29"/>
      <c r="N892" s="31">
        <f>IF(base!L892&lt;&gt;"",VLOOKUP(L892,de_para!$A$1:$B$31,2,0)*base!M892,0)</f>
        <v>0</v>
      </c>
      <c r="O892" s="38"/>
      <c r="P892" s="29"/>
      <c r="Q892" s="31">
        <f>IF(base!O892&lt;&gt;"",VLOOKUP(O892,de_para!$A$1:$B$31,2,0)*base!P892,0)</f>
        <v>0</v>
      </c>
      <c r="R892" s="38"/>
      <c r="S892" s="29"/>
      <c r="T892" s="31">
        <f>IF(base!R892&lt;&gt;"",VLOOKUP(R892,de_para!$A$1:$B$31,2,0)*base!S892,0)</f>
        <v>0</v>
      </c>
      <c r="U892" s="30">
        <f t="shared" si="15"/>
        <v>0</v>
      </c>
    </row>
    <row r="893" spans="1:21" x14ac:dyDescent="0.35">
      <c r="A893" s="29"/>
      <c r="B893" s="29"/>
      <c r="C893" s="29"/>
      <c r="D893" s="29"/>
      <c r="E893" s="29"/>
      <c r="F893" s="29"/>
      <c r="G893" s="29"/>
      <c r="H893" s="31">
        <f>IF(base!F893&lt;&gt;"",VLOOKUP(F893,de_para!$A$1:$B$31,2,0)*base!G893,0)</f>
        <v>0</v>
      </c>
      <c r="I893" s="38"/>
      <c r="J893" s="29"/>
      <c r="K893" s="31">
        <f>IF(base!I893&lt;&gt;"",VLOOKUP(I893,de_para!$A$1:$B$31,2,0)*base!J893,0)</f>
        <v>0</v>
      </c>
      <c r="L893" s="38"/>
      <c r="M893" s="29"/>
      <c r="N893" s="31">
        <f>IF(base!L893&lt;&gt;"",VLOOKUP(L893,de_para!$A$1:$B$31,2,0)*base!M893,0)</f>
        <v>0</v>
      </c>
      <c r="O893" s="38"/>
      <c r="P893" s="29"/>
      <c r="Q893" s="31">
        <f>IF(base!O893&lt;&gt;"",VLOOKUP(O893,de_para!$A$1:$B$31,2,0)*base!P893,0)</f>
        <v>0</v>
      </c>
      <c r="R893" s="38"/>
      <c r="S893" s="29"/>
      <c r="T893" s="31">
        <f>IF(base!R893&lt;&gt;"",VLOOKUP(R893,de_para!$A$1:$B$31,2,0)*base!S893,0)</f>
        <v>0</v>
      </c>
      <c r="U893" s="30">
        <f t="shared" si="15"/>
        <v>0</v>
      </c>
    </row>
    <row r="894" spans="1:21" x14ac:dyDescent="0.35">
      <c r="A894" s="29"/>
      <c r="B894" s="29"/>
      <c r="C894" s="29"/>
      <c r="D894" s="29"/>
      <c r="E894" s="29"/>
      <c r="F894" s="29"/>
      <c r="G894" s="29"/>
      <c r="H894" s="31">
        <f>IF(base!F894&lt;&gt;"",VLOOKUP(F894,de_para!$A$1:$B$31,2,0)*base!G894,0)</f>
        <v>0</v>
      </c>
      <c r="I894" s="38"/>
      <c r="J894" s="29"/>
      <c r="K894" s="31">
        <f>IF(base!I894&lt;&gt;"",VLOOKUP(I894,de_para!$A$1:$B$31,2,0)*base!J894,0)</f>
        <v>0</v>
      </c>
      <c r="L894" s="38"/>
      <c r="M894" s="29"/>
      <c r="N894" s="31">
        <f>IF(base!L894&lt;&gt;"",VLOOKUP(L894,de_para!$A$1:$B$31,2,0)*base!M894,0)</f>
        <v>0</v>
      </c>
      <c r="O894" s="38"/>
      <c r="P894" s="29"/>
      <c r="Q894" s="31">
        <f>IF(base!O894&lt;&gt;"",VLOOKUP(O894,de_para!$A$1:$B$31,2,0)*base!P894,0)</f>
        <v>0</v>
      </c>
      <c r="R894" s="38"/>
      <c r="S894" s="29"/>
      <c r="T894" s="31">
        <f>IF(base!R894&lt;&gt;"",VLOOKUP(R894,de_para!$A$1:$B$31,2,0)*base!S894,0)</f>
        <v>0</v>
      </c>
      <c r="U894" s="30">
        <f t="shared" si="15"/>
        <v>0</v>
      </c>
    </row>
    <row r="895" spans="1:21" x14ac:dyDescent="0.35">
      <c r="A895" s="29"/>
      <c r="B895" s="29"/>
      <c r="C895" s="29"/>
      <c r="D895" s="29"/>
      <c r="E895" s="29"/>
      <c r="F895" s="29"/>
      <c r="G895" s="29"/>
      <c r="H895" s="31">
        <f>IF(base!F895&lt;&gt;"",VLOOKUP(F895,de_para!$A$1:$B$31,2,0)*base!G895,0)</f>
        <v>0</v>
      </c>
      <c r="I895" s="38"/>
      <c r="J895" s="29"/>
      <c r="K895" s="31">
        <f>IF(base!I895&lt;&gt;"",VLOOKUP(I895,de_para!$A$1:$B$31,2,0)*base!J895,0)</f>
        <v>0</v>
      </c>
      <c r="L895" s="38"/>
      <c r="M895" s="29"/>
      <c r="N895" s="31">
        <f>IF(base!L895&lt;&gt;"",VLOOKUP(L895,de_para!$A$1:$B$31,2,0)*base!M895,0)</f>
        <v>0</v>
      </c>
      <c r="O895" s="38"/>
      <c r="P895" s="29"/>
      <c r="Q895" s="31">
        <f>IF(base!O895&lt;&gt;"",VLOOKUP(O895,de_para!$A$1:$B$31,2,0)*base!P895,0)</f>
        <v>0</v>
      </c>
      <c r="R895" s="38"/>
      <c r="S895" s="29"/>
      <c r="T895" s="31">
        <f>IF(base!R895&lt;&gt;"",VLOOKUP(R895,de_para!$A$1:$B$31,2,0)*base!S895,0)</f>
        <v>0</v>
      </c>
      <c r="U895" s="30">
        <f t="shared" si="15"/>
        <v>0</v>
      </c>
    </row>
    <row r="896" spans="1:21" x14ac:dyDescent="0.35">
      <c r="A896" s="29"/>
      <c r="B896" s="29"/>
      <c r="C896" s="29"/>
      <c r="D896" s="29"/>
      <c r="E896" s="29"/>
      <c r="F896" s="29"/>
      <c r="G896" s="29"/>
      <c r="H896" s="31">
        <f>IF(base!F896&lt;&gt;"",VLOOKUP(F896,de_para!$A$1:$B$31,2,0)*base!G896,0)</f>
        <v>0</v>
      </c>
      <c r="I896" s="38"/>
      <c r="J896" s="29"/>
      <c r="K896" s="31">
        <f>IF(base!I896&lt;&gt;"",VLOOKUP(I896,de_para!$A$1:$B$31,2,0)*base!J896,0)</f>
        <v>0</v>
      </c>
      <c r="L896" s="38"/>
      <c r="M896" s="29"/>
      <c r="N896" s="31">
        <f>IF(base!L896&lt;&gt;"",VLOOKUP(L896,de_para!$A$1:$B$31,2,0)*base!M896,0)</f>
        <v>0</v>
      </c>
      <c r="O896" s="38"/>
      <c r="P896" s="29"/>
      <c r="Q896" s="31">
        <f>IF(base!O896&lt;&gt;"",VLOOKUP(O896,de_para!$A$1:$B$31,2,0)*base!P896,0)</f>
        <v>0</v>
      </c>
      <c r="R896" s="38"/>
      <c r="S896" s="29"/>
      <c r="T896" s="31">
        <f>IF(base!R896&lt;&gt;"",VLOOKUP(R896,de_para!$A$1:$B$31,2,0)*base!S896,0)</f>
        <v>0</v>
      </c>
      <c r="U896" s="30">
        <f t="shared" si="15"/>
        <v>0</v>
      </c>
    </row>
    <row r="897" spans="1:21" x14ac:dyDescent="0.35">
      <c r="A897" s="29"/>
      <c r="B897" s="29"/>
      <c r="C897" s="29"/>
      <c r="D897" s="29"/>
      <c r="E897" s="29"/>
      <c r="F897" s="29"/>
      <c r="G897" s="29"/>
      <c r="H897" s="31">
        <f>IF(base!F897&lt;&gt;"",VLOOKUP(F897,de_para!$A$1:$B$31,2,0)*base!G897,0)</f>
        <v>0</v>
      </c>
      <c r="I897" s="38"/>
      <c r="J897" s="29"/>
      <c r="K897" s="31">
        <f>IF(base!I897&lt;&gt;"",VLOOKUP(I897,de_para!$A$1:$B$31,2,0)*base!J897,0)</f>
        <v>0</v>
      </c>
      <c r="L897" s="38"/>
      <c r="M897" s="29"/>
      <c r="N897" s="31">
        <f>IF(base!L897&lt;&gt;"",VLOOKUP(L897,de_para!$A$1:$B$31,2,0)*base!M897,0)</f>
        <v>0</v>
      </c>
      <c r="O897" s="38"/>
      <c r="P897" s="29"/>
      <c r="Q897" s="31">
        <f>IF(base!O897&lt;&gt;"",VLOOKUP(O897,de_para!$A$1:$B$31,2,0)*base!P897,0)</f>
        <v>0</v>
      </c>
      <c r="R897" s="38"/>
      <c r="S897" s="29"/>
      <c r="T897" s="31">
        <f>IF(base!R897&lt;&gt;"",VLOOKUP(R897,de_para!$A$1:$B$31,2,0)*base!S897,0)</f>
        <v>0</v>
      </c>
      <c r="U897" s="30">
        <f t="shared" si="15"/>
        <v>0</v>
      </c>
    </row>
    <row r="898" spans="1:21" x14ac:dyDescent="0.35">
      <c r="A898" s="29"/>
      <c r="B898" s="29"/>
      <c r="C898" s="29"/>
      <c r="D898" s="29"/>
      <c r="E898" s="29"/>
      <c r="F898" s="29"/>
      <c r="G898" s="29"/>
      <c r="H898" s="31">
        <f>IF(base!F898&lt;&gt;"",VLOOKUP(F898,de_para!$A$1:$B$31,2,0)*base!G898,0)</f>
        <v>0</v>
      </c>
      <c r="I898" s="38"/>
      <c r="J898" s="29"/>
      <c r="K898" s="31">
        <f>IF(base!I898&lt;&gt;"",VLOOKUP(I898,de_para!$A$1:$B$31,2,0)*base!J898,0)</f>
        <v>0</v>
      </c>
      <c r="L898" s="38"/>
      <c r="M898" s="29"/>
      <c r="N898" s="31">
        <f>IF(base!L898&lt;&gt;"",VLOOKUP(L898,de_para!$A$1:$B$31,2,0)*base!M898,0)</f>
        <v>0</v>
      </c>
      <c r="O898" s="38"/>
      <c r="P898" s="29"/>
      <c r="Q898" s="31">
        <f>IF(base!O898&lt;&gt;"",VLOOKUP(O898,de_para!$A$1:$B$31,2,0)*base!P898,0)</f>
        <v>0</v>
      </c>
      <c r="R898" s="38"/>
      <c r="S898" s="29"/>
      <c r="T898" s="31">
        <f>IF(base!R898&lt;&gt;"",VLOOKUP(R898,de_para!$A$1:$B$31,2,0)*base!S898,0)</f>
        <v>0</v>
      </c>
      <c r="U898" s="30">
        <f t="shared" si="15"/>
        <v>0</v>
      </c>
    </row>
    <row r="899" spans="1:21" x14ac:dyDescent="0.35">
      <c r="A899" s="29"/>
      <c r="B899" s="29"/>
      <c r="C899" s="29"/>
      <c r="D899" s="29"/>
      <c r="E899" s="29"/>
      <c r="F899" s="29"/>
      <c r="G899" s="29"/>
      <c r="H899" s="31">
        <f>IF(base!F899&lt;&gt;"",VLOOKUP(F899,de_para!$A$1:$B$31,2,0)*base!G899,0)</f>
        <v>0</v>
      </c>
      <c r="I899" s="38"/>
      <c r="J899" s="29"/>
      <c r="K899" s="31">
        <f>IF(base!I899&lt;&gt;"",VLOOKUP(I899,de_para!$A$1:$B$31,2,0)*base!J899,0)</f>
        <v>0</v>
      </c>
      <c r="L899" s="38"/>
      <c r="M899" s="29"/>
      <c r="N899" s="31">
        <f>IF(base!L899&lt;&gt;"",VLOOKUP(L899,de_para!$A$1:$B$31,2,0)*base!M899,0)</f>
        <v>0</v>
      </c>
      <c r="O899" s="38"/>
      <c r="P899" s="29"/>
      <c r="Q899" s="31">
        <f>IF(base!O899&lt;&gt;"",VLOOKUP(O899,de_para!$A$1:$B$31,2,0)*base!P899,0)</f>
        <v>0</v>
      </c>
      <c r="R899" s="38"/>
      <c r="S899" s="29"/>
      <c r="T899" s="31">
        <f>IF(base!R899&lt;&gt;"",VLOOKUP(R899,de_para!$A$1:$B$31,2,0)*base!S899,0)</f>
        <v>0</v>
      </c>
      <c r="U899" s="30">
        <f t="shared" si="15"/>
        <v>0</v>
      </c>
    </row>
    <row r="900" spans="1:21" x14ac:dyDescent="0.35">
      <c r="A900" s="29"/>
      <c r="B900" s="29"/>
      <c r="C900" s="29"/>
      <c r="D900" s="29"/>
      <c r="E900" s="29"/>
      <c r="F900" s="29"/>
      <c r="G900" s="29"/>
      <c r="H900" s="31">
        <f>IF(base!F900&lt;&gt;"",VLOOKUP(F900,de_para!$A$1:$B$31,2,0)*base!G900,0)</f>
        <v>0</v>
      </c>
      <c r="I900" s="38"/>
      <c r="J900" s="29"/>
      <c r="K900" s="31">
        <f>IF(base!I900&lt;&gt;"",VLOOKUP(I900,de_para!$A$1:$B$31,2,0)*base!J900,0)</f>
        <v>0</v>
      </c>
      <c r="L900" s="38"/>
      <c r="M900" s="29"/>
      <c r="N900" s="31">
        <f>IF(base!L900&lt;&gt;"",VLOOKUP(L900,de_para!$A$1:$B$31,2,0)*base!M900,0)</f>
        <v>0</v>
      </c>
      <c r="O900" s="38"/>
      <c r="P900" s="29"/>
      <c r="Q900" s="31">
        <f>IF(base!O900&lt;&gt;"",VLOOKUP(O900,de_para!$A$1:$B$31,2,0)*base!P900,0)</f>
        <v>0</v>
      </c>
      <c r="R900" s="38"/>
      <c r="S900" s="29"/>
      <c r="T900" s="31">
        <f>IF(base!R900&lt;&gt;"",VLOOKUP(R900,de_para!$A$1:$B$31,2,0)*base!S900,0)</f>
        <v>0</v>
      </c>
      <c r="U900" s="30">
        <f t="shared" si="15"/>
        <v>0</v>
      </c>
    </row>
    <row r="901" spans="1:21" x14ac:dyDescent="0.35">
      <c r="A901" s="29"/>
      <c r="B901" s="29"/>
      <c r="C901" s="29"/>
      <c r="D901" s="29"/>
      <c r="E901" s="29"/>
      <c r="F901" s="29"/>
      <c r="G901" s="29"/>
      <c r="H901" s="31">
        <f>IF(base!F901&lt;&gt;"",VLOOKUP(F901,de_para!$A$1:$B$31,2,0)*base!G901,0)</f>
        <v>0</v>
      </c>
      <c r="I901" s="38"/>
      <c r="J901" s="29"/>
      <c r="K901" s="31">
        <f>IF(base!I901&lt;&gt;"",VLOOKUP(I901,de_para!$A$1:$B$31,2,0)*base!J901,0)</f>
        <v>0</v>
      </c>
      <c r="L901" s="38"/>
      <c r="M901" s="29"/>
      <c r="N901" s="31">
        <f>IF(base!L901&lt;&gt;"",VLOOKUP(L901,de_para!$A$1:$B$31,2,0)*base!M901,0)</f>
        <v>0</v>
      </c>
      <c r="O901" s="38"/>
      <c r="P901" s="29"/>
      <c r="Q901" s="31">
        <f>IF(base!O901&lt;&gt;"",VLOOKUP(O901,de_para!$A$1:$B$31,2,0)*base!P901,0)</f>
        <v>0</v>
      </c>
      <c r="R901" s="38"/>
      <c r="S901" s="29"/>
      <c r="T901" s="31">
        <f>IF(base!R901&lt;&gt;"",VLOOKUP(R901,de_para!$A$1:$B$31,2,0)*base!S901,0)</f>
        <v>0</v>
      </c>
      <c r="U901" s="30">
        <f t="shared" si="15"/>
        <v>0</v>
      </c>
    </row>
    <row r="902" spans="1:21" x14ac:dyDescent="0.35">
      <c r="A902" s="29"/>
      <c r="B902" s="29"/>
      <c r="C902" s="29"/>
      <c r="D902" s="29"/>
      <c r="E902" s="29"/>
      <c r="F902" s="29"/>
      <c r="G902" s="29"/>
      <c r="H902" s="31">
        <f>IF(base!F902&lt;&gt;"",VLOOKUP(F902,de_para!$A$1:$B$31,2,0)*base!G902,0)</f>
        <v>0</v>
      </c>
      <c r="I902" s="38"/>
      <c r="J902" s="29"/>
      <c r="K902" s="31">
        <f>IF(base!I902&lt;&gt;"",VLOOKUP(I902,de_para!$A$1:$B$31,2,0)*base!J902,0)</f>
        <v>0</v>
      </c>
      <c r="L902" s="38"/>
      <c r="M902" s="29"/>
      <c r="N902" s="31">
        <f>IF(base!L902&lt;&gt;"",VLOOKUP(L902,de_para!$A$1:$B$31,2,0)*base!M902,0)</f>
        <v>0</v>
      </c>
      <c r="O902" s="38"/>
      <c r="P902" s="29"/>
      <c r="Q902" s="31">
        <f>IF(base!O902&lt;&gt;"",VLOOKUP(O902,de_para!$A$1:$B$31,2,0)*base!P902,0)</f>
        <v>0</v>
      </c>
      <c r="R902" s="38"/>
      <c r="S902" s="29"/>
      <c r="T902" s="31">
        <f>IF(base!R902&lt;&gt;"",VLOOKUP(R902,de_para!$A$1:$B$31,2,0)*base!S902,0)</f>
        <v>0</v>
      </c>
      <c r="U902" s="30">
        <f t="shared" si="15"/>
        <v>0</v>
      </c>
    </row>
    <row r="903" spans="1:21" x14ac:dyDescent="0.35">
      <c r="A903" s="29"/>
      <c r="B903" s="29"/>
      <c r="C903" s="29"/>
      <c r="D903" s="29"/>
      <c r="E903" s="29"/>
      <c r="F903" s="29"/>
      <c r="G903" s="29"/>
      <c r="H903" s="31">
        <f>IF(base!F903&lt;&gt;"",VLOOKUP(F903,de_para!$A$1:$B$31,2,0)*base!G903,0)</f>
        <v>0</v>
      </c>
      <c r="I903" s="38"/>
      <c r="J903" s="29"/>
      <c r="K903" s="31">
        <f>IF(base!I903&lt;&gt;"",VLOOKUP(I903,de_para!$A$1:$B$31,2,0)*base!J903,0)</f>
        <v>0</v>
      </c>
      <c r="L903" s="38"/>
      <c r="M903" s="29"/>
      <c r="N903" s="31">
        <f>IF(base!L903&lt;&gt;"",VLOOKUP(L903,de_para!$A$1:$B$31,2,0)*base!M903,0)</f>
        <v>0</v>
      </c>
      <c r="O903" s="38"/>
      <c r="P903" s="29"/>
      <c r="Q903" s="31">
        <f>IF(base!O903&lt;&gt;"",VLOOKUP(O903,de_para!$A$1:$B$31,2,0)*base!P903,0)</f>
        <v>0</v>
      </c>
      <c r="R903" s="38"/>
      <c r="S903" s="29"/>
      <c r="T903" s="31">
        <f>IF(base!R903&lt;&gt;"",VLOOKUP(R903,de_para!$A$1:$B$31,2,0)*base!S903,0)</f>
        <v>0</v>
      </c>
      <c r="U903" s="30">
        <f t="shared" si="15"/>
        <v>0</v>
      </c>
    </row>
    <row r="904" spans="1:21" x14ac:dyDescent="0.35">
      <c r="A904" s="29"/>
      <c r="B904" s="29"/>
      <c r="C904" s="29"/>
      <c r="D904" s="29"/>
      <c r="E904" s="29"/>
      <c r="F904" s="29"/>
      <c r="G904" s="29"/>
      <c r="H904" s="31">
        <f>IF(base!F904&lt;&gt;"",VLOOKUP(F904,de_para!$A$1:$B$31,2,0)*base!G904,0)</f>
        <v>0</v>
      </c>
      <c r="I904" s="38"/>
      <c r="J904" s="29"/>
      <c r="K904" s="31">
        <f>IF(base!I904&lt;&gt;"",VLOOKUP(I904,de_para!$A$1:$B$31,2,0)*base!J904,0)</f>
        <v>0</v>
      </c>
      <c r="L904" s="38"/>
      <c r="M904" s="29"/>
      <c r="N904" s="31">
        <f>IF(base!L904&lt;&gt;"",VLOOKUP(L904,de_para!$A$1:$B$31,2,0)*base!M904,0)</f>
        <v>0</v>
      </c>
      <c r="O904" s="38"/>
      <c r="P904" s="29"/>
      <c r="Q904" s="31">
        <f>IF(base!O904&lt;&gt;"",VLOOKUP(O904,de_para!$A$1:$B$31,2,0)*base!P904,0)</f>
        <v>0</v>
      </c>
      <c r="R904" s="38"/>
      <c r="S904" s="29"/>
      <c r="T904" s="31">
        <f>IF(base!R904&lt;&gt;"",VLOOKUP(R904,de_para!$A$1:$B$31,2,0)*base!S904,0)</f>
        <v>0</v>
      </c>
      <c r="U904" s="30">
        <f t="shared" si="15"/>
        <v>0</v>
      </c>
    </row>
    <row r="905" spans="1:21" x14ac:dyDescent="0.35">
      <c r="A905" s="29"/>
      <c r="B905" s="29"/>
      <c r="C905" s="29"/>
      <c r="D905" s="29"/>
      <c r="E905" s="29"/>
      <c r="F905" s="29"/>
      <c r="G905" s="29"/>
      <c r="H905" s="31">
        <f>IF(base!F905&lt;&gt;"",VLOOKUP(F905,de_para!$A$1:$B$31,2,0)*base!G905,0)</f>
        <v>0</v>
      </c>
      <c r="I905" s="38"/>
      <c r="J905" s="29"/>
      <c r="K905" s="31">
        <f>IF(base!I905&lt;&gt;"",VLOOKUP(I905,de_para!$A$1:$B$31,2,0)*base!J905,0)</f>
        <v>0</v>
      </c>
      <c r="L905" s="38"/>
      <c r="M905" s="29"/>
      <c r="N905" s="31">
        <f>IF(base!L905&lt;&gt;"",VLOOKUP(L905,de_para!$A$1:$B$31,2,0)*base!M905,0)</f>
        <v>0</v>
      </c>
      <c r="O905" s="38"/>
      <c r="P905" s="29"/>
      <c r="Q905" s="31">
        <f>IF(base!O905&lt;&gt;"",VLOOKUP(O905,de_para!$A$1:$B$31,2,0)*base!P905,0)</f>
        <v>0</v>
      </c>
      <c r="R905" s="38"/>
      <c r="S905" s="29"/>
      <c r="T905" s="31">
        <f>IF(base!R905&lt;&gt;"",VLOOKUP(R905,de_para!$A$1:$B$31,2,0)*base!S905,0)</f>
        <v>0</v>
      </c>
      <c r="U905" s="30">
        <f t="shared" si="15"/>
        <v>0</v>
      </c>
    </row>
    <row r="906" spans="1:21" x14ac:dyDescent="0.35">
      <c r="A906" s="29"/>
      <c r="B906" s="29"/>
      <c r="C906" s="29"/>
      <c r="D906" s="29"/>
      <c r="E906" s="29"/>
      <c r="F906" s="29"/>
      <c r="G906" s="29"/>
      <c r="H906" s="31">
        <f>IF(base!F906&lt;&gt;"",VLOOKUP(F906,de_para!$A$1:$B$31,2,0)*base!G906,0)</f>
        <v>0</v>
      </c>
      <c r="I906" s="38"/>
      <c r="J906" s="29"/>
      <c r="K906" s="31">
        <f>IF(base!I906&lt;&gt;"",VLOOKUP(I906,de_para!$A$1:$B$31,2,0)*base!J906,0)</f>
        <v>0</v>
      </c>
      <c r="L906" s="38"/>
      <c r="M906" s="29"/>
      <c r="N906" s="31">
        <f>IF(base!L906&lt;&gt;"",VLOOKUP(L906,de_para!$A$1:$B$31,2,0)*base!M906,0)</f>
        <v>0</v>
      </c>
      <c r="O906" s="38"/>
      <c r="P906" s="29"/>
      <c r="Q906" s="31">
        <f>IF(base!O906&lt;&gt;"",VLOOKUP(O906,de_para!$A$1:$B$31,2,0)*base!P906,0)</f>
        <v>0</v>
      </c>
      <c r="R906" s="38"/>
      <c r="S906" s="29"/>
      <c r="T906" s="31">
        <f>IF(base!R906&lt;&gt;"",VLOOKUP(R906,de_para!$A$1:$B$31,2,0)*base!S906,0)</f>
        <v>0</v>
      </c>
      <c r="U906" s="30">
        <f t="shared" si="15"/>
        <v>0</v>
      </c>
    </row>
    <row r="907" spans="1:21" x14ac:dyDescent="0.35">
      <c r="A907" s="29"/>
      <c r="B907" s="29"/>
      <c r="C907" s="29"/>
      <c r="D907" s="29"/>
      <c r="E907" s="29"/>
      <c r="F907" s="29"/>
      <c r="G907" s="29"/>
      <c r="H907" s="31">
        <f>IF(base!F907&lt;&gt;"",VLOOKUP(F907,de_para!$A$1:$B$31,2,0)*base!G907,0)</f>
        <v>0</v>
      </c>
      <c r="I907" s="38"/>
      <c r="J907" s="29"/>
      <c r="K907" s="31">
        <f>IF(base!I907&lt;&gt;"",VLOOKUP(I907,de_para!$A$1:$B$31,2,0)*base!J907,0)</f>
        <v>0</v>
      </c>
      <c r="L907" s="38"/>
      <c r="M907" s="29"/>
      <c r="N907" s="31">
        <f>IF(base!L907&lt;&gt;"",VLOOKUP(L907,de_para!$A$1:$B$31,2,0)*base!M907,0)</f>
        <v>0</v>
      </c>
      <c r="O907" s="38"/>
      <c r="P907" s="29"/>
      <c r="Q907" s="31">
        <f>IF(base!O907&lt;&gt;"",VLOOKUP(O907,de_para!$A$1:$B$31,2,0)*base!P907,0)</f>
        <v>0</v>
      </c>
      <c r="R907" s="38"/>
      <c r="S907" s="29"/>
      <c r="T907" s="31">
        <f>IF(base!R907&lt;&gt;"",VLOOKUP(R907,de_para!$A$1:$B$31,2,0)*base!S907,0)</f>
        <v>0</v>
      </c>
      <c r="U907" s="30">
        <f t="shared" si="15"/>
        <v>0</v>
      </c>
    </row>
    <row r="908" spans="1:21" x14ac:dyDescent="0.35">
      <c r="A908" s="29"/>
      <c r="B908" s="29"/>
      <c r="C908" s="29"/>
      <c r="D908" s="29"/>
      <c r="E908" s="29"/>
      <c r="F908" s="29"/>
      <c r="G908" s="29"/>
      <c r="H908" s="31">
        <f>IF(base!F908&lt;&gt;"",VLOOKUP(F908,de_para!$A$1:$B$31,2,0)*base!G908,0)</f>
        <v>0</v>
      </c>
      <c r="I908" s="38"/>
      <c r="J908" s="29"/>
      <c r="K908" s="31">
        <f>IF(base!I908&lt;&gt;"",VLOOKUP(I908,de_para!$A$1:$B$31,2,0)*base!J908,0)</f>
        <v>0</v>
      </c>
      <c r="L908" s="38"/>
      <c r="M908" s="29"/>
      <c r="N908" s="31">
        <f>IF(base!L908&lt;&gt;"",VLOOKUP(L908,de_para!$A$1:$B$31,2,0)*base!M908,0)</f>
        <v>0</v>
      </c>
      <c r="O908" s="38"/>
      <c r="P908" s="29"/>
      <c r="Q908" s="31">
        <f>IF(base!O908&lt;&gt;"",VLOOKUP(O908,de_para!$A$1:$B$31,2,0)*base!P908,0)</f>
        <v>0</v>
      </c>
      <c r="R908" s="38"/>
      <c r="S908" s="29"/>
      <c r="T908" s="31">
        <f>IF(base!R908&lt;&gt;"",VLOOKUP(R908,de_para!$A$1:$B$31,2,0)*base!S908,0)</f>
        <v>0</v>
      </c>
      <c r="U908" s="30">
        <f t="shared" si="15"/>
        <v>0</v>
      </c>
    </row>
    <row r="909" spans="1:21" x14ac:dyDescent="0.35">
      <c r="A909" s="29"/>
      <c r="B909" s="29"/>
      <c r="C909" s="29"/>
      <c r="D909" s="29"/>
      <c r="E909" s="29"/>
      <c r="F909" s="29"/>
      <c r="G909" s="29"/>
      <c r="H909" s="31">
        <f>IF(base!F909&lt;&gt;"",VLOOKUP(F909,de_para!$A$1:$B$31,2,0)*base!G909,0)</f>
        <v>0</v>
      </c>
      <c r="I909" s="38"/>
      <c r="J909" s="29"/>
      <c r="K909" s="31">
        <f>IF(base!I909&lt;&gt;"",VLOOKUP(I909,de_para!$A$1:$B$31,2,0)*base!J909,0)</f>
        <v>0</v>
      </c>
      <c r="L909" s="38"/>
      <c r="M909" s="29"/>
      <c r="N909" s="31">
        <f>IF(base!L909&lt;&gt;"",VLOOKUP(L909,de_para!$A$1:$B$31,2,0)*base!M909,0)</f>
        <v>0</v>
      </c>
      <c r="O909" s="38"/>
      <c r="P909" s="29"/>
      <c r="Q909" s="31">
        <f>IF(base!O909&lt;&gt;"",VLOOKUP(O909,de_para!$A$1:$B$31,2,0)*base!P909,0)</f>
        <v>0</v>
      </c>
      <c r="R909" s="38"/>
      <c r="S909" s="29"/>
      <c r="T909" s="31">
        <f>IF(base!R909&lt;&gt;"",VLOOKUP(R909,de_para!$A$1:$B$31,2,0)*base!S909,0)</f>
        <v>0</v>
      </c>
      <c r="U909" s="30">
        <f t="shared" si="15"/>
        <v>0</v>
      </c>
    </row>
    <row r="910" spans="1:21" x14ac:dyDescent="0.35">
      <c r="A910" s="29"/>
      <c r="B910" s="29"/>
      <c r="C910" s="29"/>
      <c r="D910" s="29"/>
      <c r="E910" s="29"/>
      <c r="F910" s="29"/>
      <c r="G910" s="29"/>
      <c r="H910" s="31">
        <f>IF(base!F910&lt;&gt;"",VLOOKUP(F910,de_para!$A$1:$B$31,2,0)*base!G910,0)</f>
        <v>0</v>
      </c>
      <c r="I910" s="38"/>
      <c r="J910" s="29"/>
      <c r="K910" s="31">
        <f>IF(base!I910&lt;&gt;"",VLOOKUP(I910,de_para!$A$1:$B$31,2,0)*base!J910,0)</f>
        <v>0</v>
      </c>
      <c r="L910" s="38"/>
      <c r="M910" s="29"/>
      <c r="N910" s="31">
        <f>IF(base!L910&lt;&gt;"",VLOOKUP(L910,de_para!$A$1:$B$31,2,0)*base!M910,0)</f>
        <v>0</v>
      </c>
      <c r="O910" s="38"/>
      <c r="P910" s="29"/>
      <c r="Q910" s="31">
        <f>IF(base!O910&lt;&gt;"",VLOOKUP(O910,de_para!$A$1:$B$31,2,0)*base!P910,0)</f>
        <v>0</v>
      </c>
      <c r="R910" s="38"/>
      <c r="S910" s="29"/>
      <c r="T910" s="31">
        <f>IF(base!R910&lt;&gt;"",VLOOKUP(R910,de_para!$A$1:$B$31,2,0)*base!S910,0)</f>
        <v>0</v>
      </c>
      <c r="U910" s="30">
        <f t="shared" si="15"/>
        <v>0</v>
      </c>
    </row>
    <row r="911" spans="1:21" x14ac:dyDescent="0.35">
      <c r="A911" s="29"/>
      <c r="B911" s="29"/>
      <c r="C911" s="29"/>
      <c r="D911" s="29"/>
      <c r="E911" s="29"/>
      <c r="F911" s="29"/>
      <c r="G911" s="29"/>
      <c r="H911" s="31">
        <f>IF(base!F911&lt;&gt;"",VLOOKUP(F911,de_para!$A$1:$B$31,2,0)*base!G911,0)</f>
        <v>0</v>
      </c>
      <c r="I911" s="38"/>
      <c r="J911" s="29"/>
      <c r="K911" s="31">
        <f>IF(base!I911&lt;&gt;"",VLOOKUP(I911,de_para!$A$1:$B$31,2,0)*base!J911,0)</f>
        <v>0</v>
      </c>
      <c r="L911" s="38"/>
      <c r="M911" s="29"/>
      <c r="N911" s="31">
        <f>IF(base!L911&lt;&gt;"",VLOOKUP(L911,de_para!$A$1:$B$31,2,0)*base!M911,0)</f>
        <v>0</v>
      </c>
      <c r="O911" s="38"/>
      <c r="P911" s="29"/>
      <c r="Q911" s="31">
        <f>IF(base!O911&lt;&gt;"",VLOOKUP(O911,de_para!$A$1:$B$31,2,0)*base!P911,0)</f>
        <v>0</v>
      </c>
      <c r="R911" s="38"/>
      <c r="S911" s="29"/>
      <c r="T911" s="31">
        <f>IF(base!R911&lt;&gt;"",VLOOKUP(R911,de_para!$A$1:$B$31,2,0)*base!S911,0)</f>
        <v>0</v>
      </c>
      <c r="U911" s="30">
        <f t="shared" si="15"/>
        <v>0</v>
      </c>
    </row>
    <row r="912" spans="1:21" x14ac:dyDescent="0.35">
      <c r="A912" s="29"/>
      <c r="B912" s="29"/>
      <c r="C912" s="29"/>
      <c r="D912" s="29"/>
      <c r="E912" s="29"/>
      <c r="F912" s="29"/>
      <c r="G912" s="29"/>
      <c r="H912" s="31">
        <f>IF(base!F912&lt;&gt;"",VLOOKUP(F912,de_para!$A$1:$B$31,2,0)*base!G912,0)</f>
        <v>0</v>
      </c>
      <c r="I912" s="38"/>
      <c r="J912" s="29"/>
      <c r="K912" s="31">
        <f>IF(base!I912&lt;&gt;"",VLOOKUP(I912,de_para!$A$1:$B$31,2,0)*base!J912,0)</f>
        <v>0</v>
      </c>
      <c r="L912" s="38"/>
      <c r="M912" s="29"/>
      <c r="N912" s="31">
        <f>IF(base!L912&lt;&gt;"",VLOOKUP(L912,de_para!$A$1:$B$31,2,0)*base!M912,0)</f>
        <v>0</v>
      </c>
      <c r="O912" s="38"/>
      <c r="P912" s="29"/>
      <c r="Q912" s="31">
        <f>IF(base!O912&lt;&gt;"",VLOOKUP(O912,de_para!$A$1:$B$31,2,0)*base!P912,0)</f>
        <v>0</v>
      </c>
      <c r="R912" s="38"/>
      <c r="S912" s="29"/>
      <c r="T912" s="31">
        <f>IF(base!R912&lt;&gt;"",VLOOKUP(R912,de_para!$A$1:$B$31,2,0)*base!S912,0)</f>
        <v>0</v>
      </c>
      <c r="U912" s="30">
        <f t="shared" si="15"/>
        <v>0</v>
      </c>
    </row>
    <row r="913" spans="1:21" x14ac:dyDescent="0.35">
      <c r="A913" s="29"/>
      <c r="B913" s="29"/>
      <c r="C913" s="29"/>
      <c r="D913" s="29"/>
      <c r="E913" s="29"/>
      <c r="F913" s="29"/>
      <c r="G913" s="29"/>
      <c r="H913" s="31">
        <f>IF(base!F913&lt;&gt;"",VLOOKUP(F913,de_para!$A$1:$B$31,2,0)*base!G913,0)</f>
        <v>0</v>
      </c>
      <c r="I913" s="38"/>
      <c r="J913" s="29"/>
      <c r="K913" s="31">
        <f>IF(base!I913&lt;&gt;"",VLOOKUP(I913,de_para!$A$1:$B$31,2,0)*base!J913,0)</f>
        <v>0</v>
      </c>
      <c r="L913" s="38"/>
      <c r="M913" s="29"/>
      <c r="N913" s="31">
        <f>IF(base!L913&lt;&gt;"",VLOOKUP(L913,de_para!$A$1:$B$31,2,0)*base!M913,0)</f>
        <v>0</v>
      </c>
      <c r="O913" s="38"/>
      <c r="P913" s="29"/>
      <c r="Q913" s="31">
        <f>IF(base!O913&lt;&gt;"",VLOOKUP(O913,de_para!$A$1:$B$31,2,0)*base!P913,0)</f>
        <v>0</v>
      </c>
      <c r="R913" s="38"/>
      <c r="S913" s="29"/>
      <c r="T913" s="31">
        <f>IF(base!R913&lt;&gt;"",VLOOKUP(R913,de_para!$A$1:$B$31,2,0)*base!S913,0)</f>
        <v>0</v>
      </c>
      <c r="U913" s="30">
        <f t="shared" si="15"/>
        <v>0</v>
      </c>
    </row>
    <row r="914" spans="1:21" x14ac:dyDescent="0.35">
      <c r="A914" s="29"/>
      <c r="B914" s="29"/>
      <c r="C914" s="29"/>
      <c r="D914" s="29"/>
      <c r="E914" s="29"/>
      <c r="F914" s="29"/>
      <c r="G914" s="29"/>
      <c r="H914" s="31">
        <f>IF(base!F914&lt;&gt;"",VLOOKUP(F914,de_para!$A$1:$B$31,2,0)*base!G914,0)</f>
        <v>0</v>
      </c>
      <c r="I914" s="38"/>
      <c r="J914" s="29"/>
      <c r="K914" s="31">
        <f>IF(base!I914&lt;&gt;"",VLOOKUP(I914,de_para!$A$1:$B$31,2,0)*base!J914,0)</f>
        <v>0</v>
      </c>
      <c r="L914" s="38"/>
      <c r="M914" s="29"/>
      <c r="N914" s="31">
        <f>IF(base!L914&lt;&gt;"",VLOOKUP(L914,de_para!$A$1:$B$31,2,0)*base!M914,0)</f>
        <v>0</v>
      </c>
      <c r="O914" s="38"/>
      <c r="P914" s="29"/>
      <c r="Q914" s="31">
        <f>IF(base!O914&lt;&gt;"",VLOOKUP(O914,de_para!$A$1:$B$31,2,0)*base!P914,0)</f>
        <v>0</v>
      </c>
      <c r="R914" s="38"/>
      <c r="S914" s="29"/>
      <c r="T914" s="31">
        <f>IF(base!R914&lt;&gt;"",VLOOKUP(R914,de_para!$A$1:$B$31,2,0)*base!S914,0)</f>
        <v>0</v>
      </c>
      <c r="U914" s="30">
        <f t="shared" si="15"/>
        <v>0</v>
      </c>
    </row>
    <row r="915" spans="1:21" x14ac:dyDescent="0.35">
      <c r="A915" s="29"/>
      <c r="B915" s="29"/>
      <c r="C915" s="29"/>
      <c r="D915" s="29"/>
      <c r="E915" s="29"/>
      <c r="F915" s="29"/>
      <c r="G915" s="29"/>
      <c r="H915" s="31">
        <f>IF(base!F915&lt;&gt;"",VLOOKUP(F915,de_para!$A$1:$B$31,2,0)*base!G915,0)</f>
        <v>0</v>
      </c>
      <c r="I915" s="38"/>
      <c r="J915" s="29"/>
      <c r="K915" s="31">
        <f>IF(base!I915&lt;&gt;"",VLOOKUP(I915,de_para!$A$1:$B$31,2,0)*base!J915,0)</f>
        <v>0</v>
      </c>
      <c r="L915" s="38"/>
      <c r="M915" s="29"/>
      <c r="N915" s="31">
        <f>IF(base!L915&lt;&gt;"",VLOOKUP(L915,de_para!$A$1:$B$31,2,0)*base!M915,0)</f>
        <v>0</v>
      </c>
      <c r="O915" s="38"/>
      <c r="P915" s="29"/>
      <c r="Q915" s="31">
        <f>IF(base!O915&lt;&gt;"",VLOOKUP(O915,de_para!$A$1:$B$31,2,0)*base!P915,0)</f>
        <v>0</v>
      </c>
      <c r="R915" s="38"/>
      <c r="S915" s="29"/>
      <c r="T915" s="31">
        <f>IF(base!R915&lt;&gt;"",VLOOKUP(R915,de_para!$A$1:$B$31,2,0)*base!S915,0)</f>
        <v>0</v>
      </c>
      <c r="U915" s="30">
        <f t="shared" si="15"/>
        <v>0</v>
      </c>
    </row>
    <row r="916" spans="1:21" x14ac:dyDescent="0.35">
      <c r="A916" s="29"/>
      <c r="B916" s="29"/>
      <c r="C916" s="29"/>
      <c r="D916" s="29"/>
      <c r="E916" s="29"/>
      <c r="F916" s="29"/>
      <c r="G916" s="29"/>
      <c r="H916" s="31">
        <f>IF(base!F916&lt;&gt;"",VLOOKUP(F916,de_para!$A$1:$B$31,2,0)*base!G916,0)</f>
        <v>0</v>
      </c>
      <c r="I916" s="38"/>
      <c r="J916" s="29"/>
      <c r="K916" s="31">
        <f>IF(base!I916&lt;&gt;"",VLOOKUP(I916,de_para!$A$1:$B$31,2,0)*base!J916,0)</f>
        <v>0</v>
      </c>
      <c r="L916" s="38"/>
      <c r="M916" s="29"/>
      <c r="N916" s="31">
        <f>IF(base!L916&lt;&gt;"",VLOOKUP(L916,de_para!$A$1:$B$31,2,0)*base!M916,0)</f>
        <v>0</v>
      </c>
      <c r="O916" s="38"/>
      <c r="P916" s="29"/>
      <c r="Q916" s="31">
        <f>IF(base!O916&lt;&gt;"",VLOOKUP(O916,de_para!$A$1:$B$31,2,0)*base!P916,0)</f>
        <v>0</v>
      </c>
      <c r="R916" s="38"/>
      <c r="S916" s="29"/>
      <c r="T916" s="31">
        <f>IF(base!R916&lt;&gt;"",VLOOKUP(R916,de_para!$A$1:$B$31,2,0)*base!S916,0)</f>
        <v>0</v>
      </c>
      <c r="U916" s="30">
        <f t="shared" si="15"/>
        <v>0</v>
      </c>
    </row>
    <row r="917" spans="1:21" x14ac:dyDescent="0.35">
      <c r="A917" s="29"/>
      <c r="B917" s="29"/>
      <c r="C917" s="29"/>
      <c r="D917" s="29"/>
      <c r="E917" s="29"/>
      <c r="F917" s="29"/>
      <c r="G917" s="29"/>
      <c r="H917" s="31">
        <f>IF(base!F917&lt;&gt;"",VLOOKUP(F917,de_para!$A$1:$B$31,2,0)*base!G917,0)</f>
        <v>0</v>
      </c>
      <c r="I917" s="38"/>
      <c r="J917" s="29"/>
      <c r="K917" s="31">
        <f>IF(base!I917&lt;&gt;"",VLOOKUP(I917,de_para!$A$1:$B$31,2,0)*base!J917,0)</f>
        <v>0</v>
      </c>
      <c r="L917" s="38"/>
      <c r="M917" s="29"/>
      <c r="N917" s="31">
        <f>IF(base!L917&lt;&gt;"",VLOOKUP(L917,de_para!$A$1:$B$31,2,0)*base!M917,0)</f>
        <v>0</v>
      </c>
      <c r="O917" s="38"/>
      <c r="P917" s="29"/>
      <c r="Q917" s="31">
        <f>IF(base!O917&lt;&gt;"",VLOOKUP(O917,de_para!$A$1:$B$31,2,0)*base!P917,0)</f>
        <v>0</v>
      </c>
      <c r="R917" s="38"/>
      <c r="S917" s="29"/>
      <c r="T917" s="31">
        <f>IF(base!R917&lt;&gt;"",VLOOKUP(R917,de_para!$A$1:$B$31,2,0)*base!S917,0)</f>
        <v>0</v>
      </c>
      <c r="U917" s="30">
        <f t="shared" si="15"/>
        <v>0</v>
      </c>
    </row>
    <row r="918" spans="1:21" x14ac:dyDescent="0.35">
      <c r="A918" s="29"/>
      <c r="B918" s="29"/>
      <c r="C918" s="29"/>
      <c r="D918" s="29"/>
      <c r="E918" s="29"/>
      <c r="F918" s="29"/>
      <c r="G918" s="29"/>
      <c r="H918" s="31">
        <f>IF(base!F918&lt;&gt;"",VLOOKUP(F918,de_para!$A$1:$B$31,2,0)*base!G918,0)</f>
        <v>0</v>
      </c>
      <c r="I918" s="38"/>
      <c r="J918" s="29"/>
      <c r="K918" s="31">
        <f>IF(base!I918&lt;&gt;"",VLOOKUP(I918,de_para!$A$1:$B$31,2,0)*base!J918,0)</f>
        <v>0</v>
      </c>
      <c r="L918" s="38"/>
      <c r="M918" s="29"/>
      <c r="N918" s="31">
        <f>IF(base!L918&lt;&gt;"",VLOOKUP(L918,de_para!$A$1:$B$31,2,0)*base!M918,0)</f>
        <v>0</v>
      </c>
      <c r="O918" s="38"/>
      <c r="P918" s="29"/>
      <c r="Q918" s="31">
        <f>IF(base!O918&lt;&gt;"",VLOOKUP(O918,de_para!$A$1:$B$31,2,0)*base!P918,0)</f>
        <v>0</v>
      </c>
      <c r="R918" s="38"/>
      <c r="S918" s="29"/>
      <c r="T918" s="31">
        <f>IF(base!R918&lt;&gt;"",VLOOKUP(R918,de_para!$A$1:$B$31,2,0)*base!S918,0)</f>
        <v>0</v>
      </c>
      <c r="U918" s="30">
        <f t="shared" si="15"/>
        <v>0</v>
      </c>
    </row>
    <row r="919" spans="1:21" x14ac:dyDescent="0.35">
      <c r="A919" s="29"/>
      <c r="B919" s="29"/>
      <c r="C919" s="29"/>
      <c r="D919" s="29"/>
      <c r="E919" s="29"/>
      <c r="F919" s="29"/>
      <c r="G919" s="29"/>
      <c r="H919" s="31">
        <f>IF(base!F919&lt;&gt;"",VLOOKUP(F919,de_para!$A$1:$B$31,2,0)*base!G919,0)</f>
        <v>0</v>
      </c>
      <c r="I919" s="38"/>
      <c r="J919" s="29"/>
      <c r="K919" s="31">
        <f>IF(base!I919&lt;&gt;"",VLOOKUP(I919,de_para!$A$1:$B$31,2,0)*base!J919,0)</f>
        <v>0</v>
      </c>
      <c r="L919" s="38"/>
      <c r="M919" s="29"/>
      <c r="N919" s="31">
        <f>IF(base!L919&lt;&gt;"",VLOOKUP(L919,de_para!$A$1:$B$31,2,0)*base!M919,0)</f>
        <v>0</v>
      </c>
      <c r="O919" s="38"/>
      <c r="P919" s="29"/>
      <c r="Q919" s="31">
        <f>IF(base!O919&lt;&gt;"",VLOOKUP(O919,de_para!$A$1:$B$31,2,0)*base!P919,0)</f>
        <v>0</v>
      </c>
      <c r="R919" s="38"/>
      <c r="S919" s="29"/>
      <c r="T919" s="31">
        <f>IF(base!R919&lt;&gt;"",VLOOKUP(R919,de_para!$A$1:$B$31,2,0)*base!S919,0)</f>
        <v>0</v>
      </c>
      <c r="U919" s="30">
        <f t="shared" si="15"/>
        <v>0</v>
      </c>
    </row>
    <row r="920" spans="1:21" x14ac:dyDescent="0.35">
      <c r="A920" s="29"/>
      <c r="B920" s="29"/>
      <c r="C920" s="29"/>
      <c r="D920" s="29"/>
      <c r="E920" s="29"/>
      <c r="F920" s="29"/>
      <c r="G920" s="29"/>
      <c r="H920" s="31">
        <f>IF(base!F920&lt;&gt;"",VLOOKUP(F920,de_para!$A$1:$B$31,2,0)*base!G920,0)</f>
        <v>0</v>
      </c>
      <c r="I920" s="38"/>
      <c r="J920" s="29"/>
      <c r="K920" s="31">
        <f>IF(base!I920&lt;&gt;"",VLOOKUP(I920,de_para!$A$1:$B$31,2,0)*base!J920,0)</f>
        <v>0</v>
      </c>
      <c r="L920" s="38"/>
      <c r="M920" s="29"/>
      <c r="N920" s="31">
        <f>IF(base!L920&lt;&gt;"",VLOOKUP(L920,de_para!$A$1:$B$31,2,0)*base!M920,0)</f>
        <v>0</v>
      </c>
      <c r="O920" s="38"/>
      <c r="P920" s="29"/>
      <c r="Q920" s="31">
        <f>IF(base!O920&lt;&gt;"",VLOOKUP(O920,de_para!$A$1:$B$31,2,0)*base!P920,0)</f>
        <v>0</v>
      </c>
      <c r="R920" s="38"/>
      <c r="S920" s="29"/>
      <c r="T920" s="31">
        <f>IF(base!R920&lt;&gt;"",VLOOKUP(R920,de_para!$A$1:$B$31,2,0)*base!S920,0)</f>
        <v>0</v>
      </c>
      <c r="U920" s="30">
        <f t="shared" si="15"/>
        <v>0</v>
      </c>
    </row>
    <row r="921" spans="1:21" x14ac:dyDescent="0.35">
      <c r="A921" s="29"/>
      <c r="B921" s="29"/>
      <c r="C921" s="29"/>
      <c r="D921" s="29"/>
      <c r="E921" s="29"/>
      <c r="F921" s="29"/>
      <c r="G921" s="29"/>
      <c r="H921" s="31">
        <f>IF(base!F921&lt;&gt;"",VLOOKUP(F921,de_para!$A$1:$B$31,2,0)*base!G921,0)</f>
        <v>0</v>
      </c>
      <c r="I921" s="38"/>
      <c r="J921" s="29"/>
      <c r="K921" s="31">
        <f>IF(base!I921&lt;&gt;"",VLOOKUP(I921,de_para!$A$1:$B$31,2,0)*base!J921,0)</f>
        <v>0</v>
      </c>
      <c r="L921" s="38"/>
      <c r="M921" s="29"/>
      <c r="N921" s="31">
        <f>IF(base!L921&lt;&gt;"",VLOOKUP(L921,de_para!$A$1:$B$31,2,0)*base!M921,0)</f>
        <v>0</v>
      </c>
      <c r="O921" s="38"/>
      <c r="P921" s="29"/>
      <c r="Q921" s="31">
        <f>IF(base!O921&lt;&gt;"",VLOOKUP(O921,de_para!$A$1:$B$31,2,0)*base!P921,0)</f>
        <v>0</v>
      </c>
      <c r="R921" s="38"/>
      <c r="S921" s="29"/>
      <c r="T921" s="31">
        <f>IF(base!R921&lt;&gt;"",VLOOKUP(R921,de_para!$A$1:$B$31,2,0)*base!S921,0)</f>
        <v>0</v>
      </c>
      <c r="U921" s="30">
        <f t="shared" si="15"/>
        <v>0</v>
      </c>
    </row>
    <row r="922" spans="1:21" x14ac:dyDescent="0.35">
      <c r="A922" s="29"/>
      <c r="B922" s="29"/>
      <c r="C922" s="29"/>
      <c r="D922" s="29"/>
      <c r="E922" s="29"/>
      <c r="F922" s="29"/>
      <c r="G922" s="29"/>
      <c r="H922" s="31">
        <f>IF(base!F922&lt;&gt;"",VLOOKUP(F922,de_para!$A$1:$B$31,2,0)*base!G922,0)</f>
        <v>0</v>
      </c>
      <c r="I922" s="38"/>
      <c r="J922" s="29"/>
      <c r="K922" s="31">
        <f>IF(base!I922&lt;&gt;"",VLOOKUP(I922,de_para!$A$1:$B$31,2,0)*base!J922,0)</f>
        <v>0</v>
      </c>
      <c r="L922" s="38"/>
      <c r="M922" s="29"/>
      <c r="N922" s="31">
        <f>IF(base!L922&lt;&gt;"",VLOOKUP(L922,de_para!$A$1:$B$31,2,0)*base!M922,0)</f>
        <v>0</v>
      </c>
      <c r="O922" s="38"/>
      <c r="P922" s="29"/>
      <c r="Q922" s="31">
        <f>IF(base!O922&lt;&gt;"",VLOOKUP(O922,de_para!$A$1:$B$31,2,0)*base!P922,0)</f>
        <v>0</v>
      </c>
      <c r="R922" s="38"/>
      <c r="S922" s="29"/>
      <c r="T922" s="31">
        <f>IF(base!R922&lt;&gt;"",VLOOKUP(R922,de_para!$A$1:$B$31,2,0)*base!S922,0)</f>
        <v>0</v>
      </c>
      <c r="U922" s="30">
        <f t="shared" si="15"/>
        <v>0</v>
      </c>
    </row>
    <row r="923" spans="1:21" x14ac:dyDescent="0.35">
      <c r="A923" s="29"/>
      <c r="B923" s="29"/>
      <c r="C923" s="29"/>
      <c r="D923" s="29"/>
      <c r="E923" s="29"/>
      <c r="F923" s="29"/>
      <c r="G923" s="29"/>
      <c r="H923" s="31">
        <f>IF(base!F923&lt;&gt;"",VLOOKUP(F923,de_para!$A$1:$B$31,2,0)*base!G923,0)</f>
        <v>0</v>
      </c>
      <c r="I923" s="38"/>
      <c r="J923" s="29"/>
      <c r="K923" s="31">
        <f>IF(base!I923&lt;&gt;"",VLOOKUP(I923,de_para!$A$1:$B$31,2,0)*base!J923,0)</f>
        <v>0</v>
      </c>
      <c r="L923" s="38"/>
      <c r="M923" s="29"/>
      <c r="N923" s="31">
        <f>IF(base!L923&lt;&gt;"",VLOOKUP(L923,de_para!$A$1:$B$31,2,0)*base!M923,0)</f>
        <v>0</v>
      </c>
      <c r="O923" s="38"/>
      <c r="P923" s="29"/>
      <c r="Q923" s="31">
        <f>IF(base!O923&lt;&gt;"",VLOOKUP(O923,de_para!$A$1:$B$31,2,0)*base!P923,0)</f>
        <v>0</v>
      </c>
      <c r="R923" s="38"/>
      <c r="S923" s="29"/>
      <c r="T923" s="31">
        <f>IF(base!R923&lt;&gt;"",VLOOKUP(R923,de_para!$A$1:$B$31,2,0)*base!S923,0)</f>
        <v>0</v>
      </c>
      <c r="U923" s="30">
        <f t="shared" si="15"/>
        <v>0</v>
      </c>
    </row>
    <row r="924" spans="1:21" x14ac:dyDescent="0.35">
      <c r="A924" s="29"/>
      <c r="B924" s="29"/>
      <c r="C924" s="29"/>
      <c r="D924" s="29"/>
      <c r="E924" s="29"/>
      <c r="F924" s="29"/>
      <c r="G924" s="29"/>
      <c r="H924" s="31">
        <f>IF(base!F924&lt;&gt;"",VLOOKUP(F924,de_para!$A$1:$B$31,2,0)*base!G924,0)</f>
        <v>0</v>
      </c>
      <c r="I924" s="38"/>
      <c r="J924" s="29"/>
      <c r="K924" s="31">
        <f>IF(base!I924&lt;&gt;"",VLOOKUP(I924,de_para!$A$1:$B$31,2,0)*base!J924,0)</f>
        <v>0</v>
      </c>
      <c r="L924" s="38"/>
      <c r="M924" s="29"/>
      <c r="N924" s="31">
        <f>IF(base!L924&lt;&gt;"",VLOOKUP(L924,de_para!$A$1:$B$31,2,0)*base!M924,0)</f>
        <v>0</v>
      </c>
      <c r="O924" s="38"/>
      <c r="P924" s="29"/>
      <c r="Q924" s="31">
        <f>IF(base!O924&lt;&gt;"",VLOOKUP(O924,de_para!$A$1:$B$31,2,0)*base!P924,0)</f>
        <v>0</v>
      </c>
      <c r="R924" s="38"/>
      <c r="S924" s="29"/>
      <c r="T924" s="31">
        <f>IF(base!R924&lt;&gt;"",VLOOKUP(R924,de_para!$A$1:$B$31,2,0)*base!S924,0)</f>
        <v>0</v>
      </c>
      <c r="U924" s="30">
        <f t="shared" si="15"/>
        <v>0</v>
      </c>
    </row>
    <row r="925" spans="1:21" x14ac:dyDescent="0.35">
      <c r="A925" s="29"/>
      <c r="B925" s="29"/>
      <c r="C925" s="29"/>
      <c r="D925" s="29"/>
      <c r="E925" s="29"/>
      <c r="F925" s="29"/>
      <c r="G925" s="29"/>
      <c r="H925" s="31">
        <f>IF(base!F925&lt;&gt;"",VLOOKUP(F925,de_para!$A$1:$B$31,2,0)*base!G925,0)</f>
        <v>0</v>
      </c>
      <c r="I925" s="38"/>
      <c r="J925" s="29"/>
      <c r="K925" s="31">
        <f>IF(base!I925&lt;&gt;"",VLOOKUP(I925,de_para!$A$1:$B$31,2,0)*base!J925,0)</f>
        <v>0</v>
      </c>
      <c r="L925" s="38"/>
      <c r="M925" s="29"/>
      <c r="N925" s="31">
        <f>IF(base!L925&lt;&gt;"",VLOOKUP(L925,de_para!$A$1:$B$31,2,0)*base!M925,0)</f>
        <v>0</v>
      </c>
      <c r="O925" s="38"/>
      <c r="P925" s="29"/>
      <c r="Q925" s="31">
        <f>IF(base!O925&lt;&gt;"",VLOOKUP(O925,de_para!$A$1:$B$31,2,0)*base!P925,0)</f>
        <v>0</v>
      </c>
      <c r="R925" s="38"/>
      <c r="S925" s="29"/>
      <c r="T925" s="31">
        <f>IF(base!R925&lt;&gt;"",VLOOKUP(R925,de_para!$A$1:$B$31,2,0)*base!S925,0)</f>
        <v>0</v>
      </c>
      <c r="U925" s="30">
        <f t="shared" si="15"/>
        <v>0</v>
      </c>
    </row>
    <row r="926" spans="1:21" x14ac:dyDescent="0.35">
      <c r="A926" s="29"/>
      <c r="B926" s="29"/>
      <c r="C926" s="29"/>
      <c r="D926" s="29"/>
      <c r="E926" s="29"/>
      <c r="F926" s="29"/>
      <c r="G926" s="29"/>
      <c r="H926" s="31">
        <f>IF(base!F926&lt;&gt;"",VLOOKUP(F926,de_para!$A$1:$B$31,2,0)*base!G926,0)</f>
        <v>0</v>
      </c>
      <c r="I926" s="38"/>
      <c r="J926" s="29"/>
      <c r="K926" s="31">
        <f>IF(base!I926&lt;&gt;"",VLOOKUP(I926,de_para!$A$1:$B$31,2,0)*base!J926,0)</f>
        <v>0</v>
      </c>
      <c r="L926" s="38"/>
      <c r="M926" s="29"/>
      <c r="N926" s="31">
        <f>IF(base!L926&lt;&gt;"",VLOOKUP(L926,de_para!$A$1:$B$31,2,0)*base!M926,0)</f>
        <v>0</v>
      </c>
      <c r="O926" s="38"/>
      <c r="P926" s="29"/>
      <c r="Q926" s="31">
        <f>IF(base!O926&lt;&gt;"",VLOOKUP(O926,de_para!$A$1:$B$31,2,0)*base!P926,0)</f>
        <v>0</v>
      </c>
      <c r="R926" s="38"/>
      <c r="S926" s="29"/>
      <c r="T926" s="31">
        <f>IF(base!R926&lt;&gt;"",VLOOKUP(R926,de_para!$A$1:$B$31,2,0)*base!S926,0)</f>
        <v>0</v>
      </c>
      <c r="U926" s="30">
        <f t="shared" si="15"/>
        <v>0</v>
      </c>
    </row>
    <row r="927" spans="1:21" x14ac:dyDescent="0.35">
      <c r="A927" s="29"/>
      <c r="B927" s="29"/>
      <c r="C927" s="29"/>
      <c r="D927" s="29"/>
      <c r="E927" s="29"/>
      <c r="F927" s="29"/>
      <c r="G927" s="29"/>
      <c r="H927" s="31">
        <f>IF(base!F927&lt;&gt;"",VLOOKUP(F927,de_para!$A$1:$B$31,2,0)*base!G927,0)</f>
        <v>0</v>
      </c>
      <c r="I927" s="38"/>
      <c r="J927" s="29"/>
      <c r="K927" s="31">
        <f>IF(base!I927&lt;&gt;"",VLOOKUP(I927,de_para!$A$1:$B$31,2,0)*base!J927,0)</f>
        <v>0</v>
      </c>
      <c r="L927" s="38"/>
      <c r="M927" s="29"/>
      <c r="N927" s="31">
        <f>IF(base!L927&lt;&gt;"",VLOOKUP(L927,de_para!$A$1:$B$31,2,0)*base!M927,0)</f>
        <v>0</v>
      </c>
      <c r="O927" s="38"/>
      <c r="P927" s="29"/>
      <c r="Q927" s="31">
        <f>IF(base!O927&lt;&gt;"",VLOOKUP(O927,de_para!$A$1:$B$31,2,0)*base!P927,0)</f>
        <v>0</v>
      </c>
      <c r="R927" s="38"/>
      <c r="S927" s="29"/>
      <c r="T927" s="31">
        <f>IF(base!R927&lt;&gt;"",VLOOKUP(R927,de_para!$A$1:$B$31,2,0)*base!S927,0)</f>
        <v>0</v>
      </c>
      <c r="U927" s="30">
        <f t="shared" si="15"/>
        <v>0</v>
      </c>
    </row>
    <row r="928" spans="1:21" x14ac:dyDescent="0.35">
      <c r="A928" s="29"/>
      <c r="B928" s="29"/>
      <c r="C928" s="29"/>
      <c r="D928" s="29"/>
      <c r="E928" s="29"/>
      <c r="F928" s="29"/>
      <c r="G928" s="29"/>
      <c r="H928" s="31">
        <f>IF(base!F928&lt;&gt;"",VLOOKUP(F928,de_para!$A$1:$B$31,2,0)*base!G928,0)</f>
        <v>0</v>
      </c>
      <c r="I928" s="38"/>
      <c r="J928" s="29"/>
      <c r="K928" s="31">
        <f>IF(base!I928&lt;&gt;"",VLOOKUP(I928,de_para!$A$1:$B$31,2,0)*base!J928,0)</f>
        <v>0</v>
      </c>
      <c r="L928" s="38"/>
      <c r="M928" s="29"/>
      <c r="N928" s="31">
        <f>IF(base!L928&lt;&gt;"",VLOOKUP(L928,de_para!$A$1:$B$31,2,0)*base!M928,0)</f>
        <v>0</v>
      </c>
      <c r="O928" s="38"/>
      <c r="P928" s="29"/>
      <c r="Q928" s="31">
        <f>IF(base!O928&lt;&gt;"",VLOOKUP(O928,de_para!$A$1:$B$31,2,0)*base!P928,0)</f>
        <v>0</v>
      </c>
      <c r="R928" s="38"/>
      <c r="S928" s="29"/>
      <c r="T928" s="31">
        <f>IF(base!R928&lt;&gt;"",VLOOKUP(R928,de_para!$A$1:$B$31,2,0)*base!S928,0)</f>
        <v>0</v>
      </c>
      <c r="U928" s="30">
        <f t="shared" si="15"/>
        <v>0</v>
      </c>
    </row>
    <row r="929" spans="1:21" x14ac:dyDescent="0.35">
      <c r="A929" s="29"/>
      <c r="B929" s="29"/>
      <c r="C929" s="29"/>
      <c r="D929" s="29"/>
      <c r="E929" s="29"/>
      <c r="F929" s="29"/>
      <c r="G929" s="29"/>
      <c r="H929" s="31">
        <f>IF(base!F929&lt;&gt;"",VLOOKUP(F929,de_para!$A$1:$B$31,2,0)*base!G929,0)</f>
        <v>0</v>
      </c>
      <c r="I929" s="38"/>
      <c r="J929" s="29"/>
      <c r="K929" s="31">
        <f>IF(base!I929&lt;&gt;"",VLOOKUP(I929,de_para!$A$1:$B$31,2,0)*base!J929,0)</f>
        <v>0</v>
      </c>
      <c r="L929" s="38"/>
      <c r="M929" s="29"/>
      <c r="N929" s="31">
        <f>IF(base!L929&lt;&gt;"",VLOOKUP(L929,de_para!$A$1:$B$31,2,0)*base!M929,0)</f>
        <v>0</v>
      </c>
      <c r="O929" s="38"/>
      <c r="P929" s="29"/>
      <c r="Q929" s="31">
        <f>IF(base!O929&lt;&gt;"",VLOOKUP(O929,de_para!$A$1:$B$31,2,0)*base!P929,0)</f>
        <v>0</v>
      </c>
      <c r="R929" s="38"/>
      <c r="S929" s="29"/>
      <c r="T929" s="31">
        <f>IF(base!R929&lt;&gt;"",VLOOKUP(R929,de_para!$A$1:$B$31,2,0)*base!S929,0)</f>
        <v>0</v>
      </c>
      <c r="U929" s="30">
        <f t="shared" si="15"/>
        <v>0</v>
      </c>
    </row>
    <row r="930" spans="1:21" x14ac:dyDescent="0.35">
      <c r="A930" s="29"/>
      <c r="B930" s="29"/>
      <c r="C930" s="29"/>
      <c r="D930" s="29"/>
      <c r="E930" s="29"/>
      <c r="F930" s="29"/>
      <c r="G930" s="29"/>
      <c r="H930" s="31">
        <f>IF(base!F930&lt;&gt;"",VLOOKUP(F930,de_para!$A$1:$B$31,2,0)*base!G930,0)</f>
        <v>0</v>
      </c>
      <c r="I930" s="38"/>
      <c r="J930" s="29"/>
      <c r="K930" s="31">
        <f>IF(base!I930&lt;&gt;"",VLOOKUP(I930,de_para!$A$1:$B$31,2,0)*base!J930,0)</f>
        <v>0</v>
      </c>
      <c r="L930" s="38"/>
      <c r="M930" s="29"/>
      <c r="N930" s="31">
        <f>IF(base!L930&lt;&gt;"",VLOOKUP(L930,de_para!$A$1:$B$31,2,0)*base!M930,0)</f>
        <v>0</v>
      </c>
      <c r="O930" s="38"/>
      <c r="P930" s="29"/>
      <c r="Q930" s="31">
        <f>IF(base!O930&lt;&gt;"",VLOOKUP(O930,de_para!$A$1:$B$31,2,0)*base!P930,0)</f>
        <v>0</v>
      </c>
      <c r="R930" s="38"/>
      <c r="S930" s="29"/>
      <c r="T930" s="31">
        <f>IF(base!R930&lt;&gt;"",VLOOKUP(R930,de_para!$A$1:$B$31,2,0)*base!S930,0)</f>
        <v>0</v>
      </c>
      <c r="U930" s="30">
        <f t="shared" si="15"/>
        <v>0</v>
      </c>
    </row>
    <row r="931" spans="1:21" x14ac:dyDescent="0.35">
      <c r="A931" s="29"/>
      <c r="B931" s="29"/>
      <c r="C931" s="29"/>
      <c r="D931" s="29"/>
      <c r="E931" s="29"/>
      <c r="F931" s="29"/>
      <c r="G931" s="29"/>
      <c r="H931" s="31">
        <f>IF(base!F931&lt;&gt;"",VLOOKUP(F931,de_para!$A$1:$B$31,2,0)*base!G931,0)</f>
        <v>0</v>
      </c>
      <c r="I931" s="38"/>
      <c r="J931" s="29"/>
      <c r="K931" s="31">
        <f>IF(base!I931&lt;&gt;"",VLOOKUP(I931,de_para!$A$1:$B$31,2,0)*base!J931,0)</f>
        <v>0</v>
      </c>
      <c r="L931" s="38"/>
      <c r="M931" s="29"/>
      <c r="N931" s="31">
        <f>IF(base!L931&lt;&gt;"",VLOOKUP(L931,de_para!$A$1:$B$31,2,0)*base!M931,0)</f>
        <v>0</v>
      </c>
      <c r="O931" s="38"/>
      <c r="P931" s="29"/>
      <c r="Q931" s="31">
        <f>IF(base!O931&lt;&gt;"",VLOOKUP(O931,de_para!$A$1:$B$31,2,0)*base!P931,0)</f>
        <v>0</v>
      </c>
      <c r="R931" s="38"/>
      <c r="S931" s="29"/>
      <c r="T931" s="31">
        <f>IF(base!R931&lt;&gt;"",VLOOKUP(R931,de_para!$A$1:$B$31,2,0)*base!S931,0)</f>
        <v>0</v>
      </c>
      <c r="U931" s="30">
        <f t="shared" si="15"/>
        <v>0</v>
      </c>
    </row>
  </sheetData>
  <mergeCells count="1">
    <mergeCell ref="A1:R1"/>
  </mergeCells>
  <phoneticPr fontId="8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157E2-293A-4C8D-ABF1-193592BBDD35}">
  <sheetPr codeName="Planilha1">
    <tabColor theme="4" tint="0.39997558519241921"/>
  </sheetPr>
  <dimension ref="A1:I32"/>
  <sheetViews>
    <sheetView showGridLines="0" workbookViewId="0">
      <selection activeCell="B1" sqref="B1"/>
    </sheetView>
  </sheetViews>
  <sheetFormatPr defaultRowHeight="14.5" x14ac:dyDescent="0.35"/>
  <cols>
    <col min="1" max="1" width="40.453125" bestFit="1" customWidth="1"/>
    <col min="2" max="2" width="9.54296875" bestFit="1" customWidth="1"/>
    <col min="3" max="3" width="26.1796875" bestFit="1" customWidth="1"/>
    <col min="4" max="4" width="9" bestFit="1" customWidth="1"/>
    <col min="5" max="5" width="40.453125" bestFit="1" customWidth="1"/>
    <col min="6" max="6" width="8.26953125" bestFit="1" customWidth="1"/>
    <col min="7" max="7" width="5.54296875" bestFit="1" customWidth="1"/>
    <col min="8" max="8" width="17" bestFit="1" customWidth="1"/>
    <col min="9" max="9" width="23.1796875" bestFit="1" customWidth="1"/>
    <col min="10" max="10" width="20.7265625" bestFit="1" customWidth="1"/>
    <col min="11" max="11" width="9.54296875" bestFit="1" customWidth="1"/>
    <col min="12" max="12" width="8.26953125" bestFit="1" customWidth="1"/>
    <col min="13" max="13" width="5.54296875" bestFit="1" customWidth="1"/>
    <col min="14" max="14" width="9.54296875" bestFit="1" customWidth="1"/>
    <col min="15" max="15" width="8.26953125" bestFit="1" customWidth="1"/>
    <col min="16" max="16" width="5.54296875" bestFit="1" customWidth="1"/>
    <col min="17" max="17" width="9.54296875" bestFit="1" customWidth="1"/>
    <col min="18" max="18" width="8.26953125" bestFit="1" customWidth="1"/>
    <col min="19" max="19" width="5.54296875" bestFit="1" customWidth="1"/>
    <col min="20" max="20" width="6.54296875" bestFit="1" customWidth="1"/>
  </cols>
  <sheetData>
    <row r="1" spans="1:9" x14ac:dyDescent="0.35">
      <c r="A1" s="36" t="s">
        <v>27</v>
      </c>
      <c r="B1" s="12">
        <v>62</v>
      </c>
      <c r="E1" t="s">
        <v>55</v>
      </c>
      <c r="H1" s="34" t="s">
        <v>58</v>
      </c>
      <c r="I1" s="35" t="s">
        <v>59</v>
      </c>
    </row>
    <row r="2" spans="1:9" x14ac:dyDescent="0.35">
      <c r="A2" s="36" t="s">
        <v>28</v>
      </c>
      <c r="B2" s="13">
        <v>34</v>
      </c>
      <c r="E2" s="11"/>
      <c r="H2" t="s">
        <v>60</v>
      </c>
      <c r="I2" t="s">
        <v>61</v>
      </c>
    </row>
    <row r="3" spans="1:9" x14ac:dyDescent="0.35">
      <c r="A3" s="36" t="s">
        <v>21</v>
      </c>
      <c r="B3" s="13">
        <v>20</v>
      </c>
      <c r="E3" s="11"/>
      <c r="H3" t="s">
        <v>62</v>
      </c>
      <c r="I3" t="s">
        <v>63</v>
      </c>
    </row>
    <row r="4" spans="1:9" x14ac:dyDescent="0.35">
      <c r="A4" s="36" t="s">
        <v>32</v>
      </c>
      <c r="B4" s="13">
        <v>62</v>
      </c>
      <c r="E4" s="11"/>
      <c r="H4" t="s">
        <v>64</v>
      </c>
      <c r="I4" t="s">
        <v>64</v>
      </c>
    </row>
    <row r="5" spans="1:9" x14ac:dyDescent="0.35">
      <c r="A5" s="36" t="s">
        <v>33</v>
      </c>
      <c r="B5" s="13">
        <v>62</v>
      </c>
      <c r="E5" s="11"/>
      <c r="H5" t="s">
        <v>65</v>
      </c>
      <c r="I5" t="s">
        <v>66</v>
      </c>
    </row>
    <row r="6" spans="1:9" x14ac:dyDescent="0.35">
      <c r="A6" s="36" t="s">
        <v>34</v>
      </c>
      <c r="B6" s="13">
        <v>62</v>
      </c>
      <c r="E6" s="11"/>
      <c r="H6" t="s">
        <v>67</v>
      </c>
      <c r="I6" t="s">
        <v>74</v>
      </c>
    </row>
    <row r="7" spans="1:9" x14ac:dyDescent="0.35">
      <c r="A7" s="36" t="s">
        <v>29</v>
      </c>
      <c r="B7" s="12">
        <v>30</v>
      </c>
      <c r="E7" s="11"/>
      <c r="H7" t="s">
        <v>68</v>
      </c>
      <c r="I7" t="s">
        <v>69</v>
      </c>
    </row>
    <row r="8" spans="1:9" x14ac:dyDescent="0.35">
      <c r="A8" s="36" t="s">
        <v>35</v>
      </c>
      <c r="B8" s="13">
        <v>0.5</v>
      </c>
      <c r="E8" s="11"/>
      <c r="H8" t="s">
        <v>71</v>
      </c>
      <c r="I8" t="s">
        <v>72</v>
      </c>
    </row>
    <row r="9" spans="1:9" x14ac:dyDescent="0.35">
      <c r="A9" s="36" t="s">
        <v>37</v>
      </c>
      <c r="B9" s="13">
        <v>20</v>
      </c>
      <c r="E9" s="11"/>
      <c r="H9" t="s">
        <v>77</v>
      </c>
    </row>
    <row r="10" spans="1:9" x14ac:dyDescent="0.35">
      <c r="A10" s="36" t="s">
        <v>18</v>
      </c>
      <c r="B10" s="12">
        <v>30</v>
      </c>
      <c r="E10" s="11"/>
      <c r="H10" t="s">
        <v>70</v>
      </c>
    </row>
    <row r="11" spans="1:9" x14ac:dyDescent="0.35">
      <c r="A11" s="36" t="s">
        <v>57</v>
      </c>
      <c r="B11" s="13">
        <v>0.35</v>
      </c>
      <c r="E11" s="11"/>
    </row>
    <row r="12" spans="1:9" x14ac:dyDescent="0.35">
      <c r="A12" s="36" t="s">
        <v>38</v>
      </c>
      <c r="B12" s="13">
        <v>70</v>
      </c>
      <c r="E12" s="11"/>
    </row>
    <row r="13" spans="1:9" x14ac:dyDescent="0.35">
      <c r="E13" s="11"/>
    </row>
    <row r="14" spans="1:9" x14ac:dyDescent="0.35">
      <c r="A14" s="11" t="s">
        <v>19</v>
      </c>
      <c r="B14" s="13">
        <v>7</v>
      </c>
      <c r="E14" s="11"/>
    </row>
    <row r="15" spans="1:9" x14ac:dyDescent="0.35">
      <c r="A15" s="11" t="s">
        <v>76</v>
      </c>
      <c r="B15" s="13">
        <v>5</v>
      </c>
      <c r="E15" s="11"/>
    </row>
    <row r="16" spans="1:9" x14ac:dyDescent="0.35">
      <c r="A16" s="11" t="s">
        <v>17</v>
      </c>
      <c r="B16" s="12">
        <v>8</v>
      </c>
      <c r="E16" s="11"/>
    </row>
    <row r="17" spans="1:5" x14ac:dyDescent="0.35">
      <c r="A17" s="11" t="s">
        <v>30</v>
      </c>
      <c r="B17" s="13">
        <v>14</v>
      </c>
      <c r="E17" s="11"/>
    </row>
    <row r="18" spans="1:5" x14ac:dyDescent="0.35">
      <c r="A18" s="11" t="s">
        <v>31</v>
      </c>
      <c r="B18" s="13">
        <v>20</v>
      </c>
      <c r="E18" s="11"/>
    </row>
    <row r="19" spans="1:5" x14ac:dyDescent="0.35">
      <c r="A19" s="11" t="s">
        <v>75</v>
      </c>
      <c r="B19" s="13">
        <v>5</v>
      </c>
      <c r="E19" s="11"/>
    </row>
    <row r="20" spans="1:5" x14ac:dyDescent="0.35">
      <c r="A20" s="11" t="s">
        <v>25</v>
      </c>
      <c r="B20" s="13">
        <v>5</v>
      </c>
      <c r="E20" s="11"/>
    </row>
    <row r="21" spans="1:5" x14ac:dyDescent="0.35">
      <c r="A21" s="11" t="s">
        <v>22</v>
      </c>
      <c r="B21" s="13">
        <v>1</v>
      </c>
      <c r="E21" s="11"/>
    </row>
    <row r="22" spans="1:5" x14ac:dyDescent="0.35">
      <c r="A22" s="11" t="s">
        <v>36</v>
      </c>
      <c r="B22" s="13">
        <v>0.35</v>
      </c>
      <c r="E22" s="11"/>
    </row>
    <row r="23" spans="1:5" x14ac:dyDescent="0.35">
      <c r="A23" s="11" t="s">
        <v>73</v>
      </c>
      <c r="B23" s="13">
        <v>15</v>
      </c>
      <c r="E23" s="11"/>
    </row>
    <row r="24" spans="1:5" x14ac:dyDescent="0.35">
      <c r="A24" s="11" t="s">
        <v>23</v>
      </c>
      <c r="B24" s="13">
        <v>5</v>
      </c>
      <c r="E24" s="11"/>
    </row>
    <row r="25" spans="1:5" x14ac:dyDescent="0.35">
      <c r="A25" s="11" t="s">
        <v>26</v>
      </c>
      <c r="B25" s="12">
        <v>70</v>
      </c>
      <c r="E25" s="11"/>
    </row>
    <row r="26" spans="1:5" x14ac:dyDescent="0.35">
      <c r="A26" s="11" t="s">
        <v>24</v>
      </c>
      <c r="B26" s="12">
        <v>30</v>
      </c>
      <c r="E26" s="11"/>
    </row>
    <row r="27" spans="1:5" x14ac:dyDescent="0.35">
      <c r="A27" s="11" t="s">
        <v>20</v>
      </c>
      <c r="B27" s="39">
        <v>8</v>
      </c>
      <c r="E27" s="11"/>
    </row>
    <row r="28" spans="1:5" x14ac:dyDescent="0.35">
      <c r="E28" s="11"/>
    </row>
    <row r="29" spans="1:5" x14ac:dyDescent="0.35">
      <c r="E29" s="11"/>
    </row>
    <row r="30" spans="1:5" x14ac:dyDescent="0.35">
      <c r="E30" s="11"/>
    </row>
    <row r="31" spans="1:5" x14ac:dyDescent="0.35">
      <c r="E31" s="11"/>
    </row>
    <row r="32" spans="1:5" x14ac:dyDescent="0.35">
      <c r="E32" s="11"/>
    </row>
  </sheetData>
  <sortState xmlns:xlrd2="http://schemas.microsoft.com/office/spreadsheetml/2017/richdata2" ref="J1:J6">
    <sortCondition ref="J1:J6"/>
  </sortState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ordem_servico</vt:lpstr>
      <vt:lpstr>base</vt:lpstr>
      <vt:lpstr>de_para</vt:lpstr>
      <vt:lpstr>Filial</vt:lpstr>
      <vt:lpstr>Matriz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Soares de Souza</dc:creator>
  <cp:lastModifiedBy>Jefferson silva</cp:lastModifiedBy>
  <dcterms:created xsi:type="dcterms:W3CDTF">2013-01-19T13:48:59Z</dcterms:created>
  <dcterms:modified xsi:type="dcterms:W3CDTF">2026-03-28T02:55:27Z</dcterms:modified>
</cp:coreProperties>
</file>