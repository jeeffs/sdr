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54e64e92980ee1/Documentos/ObsidianAI/Claude/SDR/DADOS/planilhas/"/>
    </mc:Choice>
  </mc:AlternateContent>
  <xr:revisionPtr revIDLastSave="0" documentId="11_EBD01220526A9FC6F32E5C3059B1E0701D3DE8A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ç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H39" i="1"/>
  <c r="K38" i="1"/>
  <c r="H38" i="1"/>
  <c r="K37" i="1"/>
  <c r="H37" i="1"/>
  <c r="Q34" i="1"/>
  <c r="N34" i="1"/>
  <c r="H34" i="1"/>
  <c r="T32" i="1"/>
  <c r="Q32" i="1"/>
  <c r="Q30" i="1"/>
  <c r="N29" i="1"/>
  <c r="N28" i="1"/>
  <c r="K27" i="1"/>
  <c r="Q18" i="1"/>
  <c r="N18" i="1"/>
  <c r="N14" i="1"/>
  <c r="K14" i="1"/>
  <c r="Q12" i="1"/>
  <c r="N12" i="1"/>
  <c r="K11" i="1"/>
  <c r="T6" i="1"/>
</calcChain>
</file>

<file path=xl/sharedStrings.xml><?xml version="1.0" encoding="utf-8"?>
<sst xmlns="http://schemas.openxmlformats.org/spreadsheetml/2006/main" count="275" uniqueCount="100">
  <si>
    <t>TOTAL GERAL:</t>
  </si>
  <si>
    <t>DATA</t>
  </si>
  <si>
    <t>PROFILE</t>
  </si>
  <si>
    <t>CIDADE</t>
  </si>
  <si>
    <t>LOCALIZAÇÃO</t>
  </si>
  <si>
    <t>CTO/CEO</t>
  </si>
  <si>
    <t>SERVIÇO 1</t>
  </si>
  <si>
    <t>QTD 1</t>
  </si>
  <si>
    <t>VALOR 1</t>
  </si>
  <si>
    <t>SERVIÇO 2</t>
  </si>
  <si>
    <t>QTD 2</t>
  </si>
  <si>
    <t>VALOR 2</t>
  </si>
  <si>
    <t>SERVIÇO 3</t>
  </si>
  <si>
    <t>QTD 3</t>
  </si>
  <si>
    <t>VALOR 3</t>
  </si>
  <si>
    <t>SERVIÇO 4</t>
  </si>
  <si>
    <t>QTD 4</t>
  </si>
  <si>
    <t>VALOR 4</t>
  </si>
  <si>
    <t>SERVIÇO 5</t>
  </si>
  <si>
    <t>QTD 5</t>
  </si>
  <si>
    <t>VALOR 5</t>
  </si>
  <si>
    <t>TOTAL</t>
  </si>
  <si>
    <t>02/03/2026</t>
  </si>
  <si>
    <t>FILIAL</t>
  </si>
  <si>
    <t>VÁRZEA PAULISTA</t>
  </si>
  <si>
    <t>ARMARIO CENTRAL</t>
  </si>
  <si>
    <t>OTDR</t>
  </si>
  <si>
    <t>OTDR ARMARIO (ROMPIMENTO-ATENUAÇÃO)</t>
  </si>
  <si>
    <t>05/03/2026</t>
  </si>
  <si>
    <t>06/03/2026</t>
  </si>
  <si>
    <t>RUA RAFAEL FELIX</t>
  </si>
  <si>
    <t>C23A</t>
  </si>
  <si>
    <t>MANUTENÇÃO EM CTO</t>
  </si>
  <si>
    <t>INSERÇÃO DE CABO</t>
  </si>
  <si>
    <t>RETIRA DE SPLITER</t>
  </si>
  <si>
    <t>INSTALAÇÃO DE SPLITER</t>
  </si>
  <si>
    <t>FUSÃO</t>
  </si>
  <si>
    <t>07/03/2026</t>
  </si>
  <si>
    <t>13/03/2026</t>
  </si>
  <si>
    <t>AV PACAEMBU</t>
  </si>
  <si>
    <t>CEO 24 5679 KM</t>
  </si>
  <si>
    <t>AV. PACAEMBU</t>
  </si>
  <si>
    <t>C1</t>
  </si>
  <si>
    <t>CEO 36/24/12/12</t>
  </si>
  <si>
    <t>MATRIZ</t>
  </si>
  <si>
    <t>SP4</t>
  </si>
  <si>
    <t>RUA GERONIMO CAETANO GARCIA</t>
  </si>
  <si>
    <t>CEO 12/12/12</t>
  </si>
  <si>
    <t>MANUTENÇÃO EM CEO</t>
  </si>
  <si>
    <t>ROD PRES. TANCREDO DE ALMEIDA NEVES</t>
  </si>
  <si>
    <t>CEO LEXTEL</t>
  </si>
  <si>
    <t>KM RODADO</t>
  </si>
  <si>
    <t>ARMARIO LEXTEL</t>
  </si>
  <si>
    <t>DGO</t>
  </si>
  <si>
    <t>CAMPO LIMPO PAULISTA</t>
  </si>
  <si>
    <t>RUA TIRADENTES</t>
  </si>
  <si>
    <t>CABO 12FO</t>
  </si>
  <si>
    <t>REPUXE</t>
  </si>
  <si>
    <t>11/03/2026</t>
  </si>
  <si>
    <t>JARINU</t>
  </si>
  <si>
    <t>ESTR. MUN. JACUNDO CENSI</t>
  </si>
  <si>
    <t>CABO 6FO</t>
  </si>
  <si>
    <t>ARMARIO JARINU</t>
  </si>
  <si>
    <t>ATIBAIA</t>
  </si>
  <si>
    <t>ROD DOM PEDRO 1</t>
  </si>
  <si>
    <t>CEO PCKT 12/12</t>
  </si>
  <si>
    <t>16/03/2026</t>
  </si>
  <si>
    <t>RUA ALCIDES BANHE</t>
  </si>
  <si>
    <t>CEO 48/48/12</t>
  </si>
  <si>
    <t>RUA JOSE GONCALVES LEME</t>
  </si>
  <si>
    <t>O7</t>
  </si>
  <si>
    <t>RUA JOSE GONÇALVES LEME</t>
  </si>
  <si>
    <t>CEO 12/12/12/12</t>
  </si>
  <si>
    <t>AV. PAULICEIA</t>
  </si>
  <si>
    <t>CEO 72/24/12/12/DROP</t>
  </si>
  <si>
    <t>RUA PARDAL</t>
  </si>
  <si>
    <t>CEO 24/24/12/12/DROP</t>
  </si>
  <si>
    <t>AV. VEREADOR LUIZ GONZAGA DARTORA</t>
  </si>
  <si>
    <t>I8</t>
  </si>
  <si>
    <t>BLOCO A REALIZZA 2</t>
  </si>
  <si>
    <t>REDE CONEXAO</t>
  </si>
  <si>
    <t>VISTORIA</t>
  </si>
  <si>
    <t>ACOMPANHAMENTO CPFL</t>
  </si>
  <si>
    <t>17/03/2026</t>
  </si>
  <si>
    <t>R. GERONYMO CAYETANO GARCIA</t>
  </si>
  <si>
    <t>RUA RUY BARBOSA</t>
  </si>
  <si>
    <t>CEO 12/12/6</t>
  </si>
  <si>
    <t>RUA NAIR JANUARIO VAREJAO</t>
  </si>
  <si>
    <t>C?</t>
  </si>
  <si>
    <t>RUA ROSA CAMPANARUT BARNABE</t>
  </si>
  <si>
    <t>18/03/2026</t>
  </si>
  <si>
    <t>RUA JOSE PRIMO MOLLO</t>
  </si>
  <si>
    <t>INSTALAÇÃO DE CEO</t>
  </si>
  <si>
    <t>C? ( COM SINAL )</t>
  </si>
  <si>
    <t>LEVANTAMENTO DE REDE (POR CTO)</t>
  </si>
  <si>
    <t>RUA JOSE MAFASSOLI</t>
  </si>
  <si>
    <t>C23B</t>
  </si>
  <si>
    <t>INSTALAÇÃO DE CTO</t>
  </si>
  <si>
    <t>CEO PCKT 6/6</t>
  </si>
  <si>
    <t>LANÇAMENTO DE CABO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</si>
</sst>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6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8C00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3" borderId="1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1" fontId="4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8" customWidth="1"/>
    <col min="3" max="3" width="17" customWidth="1"/>
    <col min="4" max="4" width="29" customWidth="1"/>
    <col min="5" max="5" width="11" customWidth="1"/>
    <col min="6" max="6" width="26" customWidth="1"/>
    <col min="7" max="7" width="8" customWidth="1"/>
    <col min="8" max="8" width="11" customWidth="1"/>
    <col min="9" max="9" width="26" customWidth="1"/>
    <col min="10" max="10" width="8" customWidth="1"/>
    <col min="11" max="11" width="11" customWidth="1"/>
    <col min="12" max="12" width="26" customWidth="1"/>
    <col min="13" max="13" width="8" customWidth="1"/>
    <col min="14" max="14" width="11" customWidth="1"/>
    <col min="15" max="15" width="26" customWidth="1"/>
    <col min="16" max="16" width="8" customWidth="1"/>
    <col min="17" max="17" width="11" customWidth="1"/>
    <col min="18" max="18" width="26" customWidth="1"/>
    <col min="19" max="19" width="8" customWidth="1"/>
    <col min="20" max="20" width="11" customWidth="1"/>
    <col min="21" max="21" width="12" customWidth="1"/>
  </cols>
  <sheetData>
    <row r="1" spans="1:21" ht="2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" t="s">
        <v>0</v>
      </c>
      <c r="T1" s="9"/>
      <c r="U1" s="2">
        <v>3080</v>
      </c>
    </row>
    <row r="2" spans="1:21" ht="22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ht="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5">
        <v>1</v>
      </c>
      <c r="H4" s="6">
        <v>30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7">
        <v>30</v>
      </c>
    </row>
    <row r="5" spans="1:21" x14ac:dyDescent="0.35">
      <c r="A5" s="4" t="s">
        <v>28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5">
        <v>1</v>
      </c>
      <c r="H5" s="6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7">
        <v>30</v>
      </c>
    </row>
    <row r="6" spans="1:21" x14ac:dyDescent="0.35">
      <c r="A6" s="4" t="s">
        <v>29</v>
      </c>
      <c r="B6" s="4" t="s">
        <v>23</v>
      </c>
      <c r="C6" s="4" t="s">
        <v>24</v>
      </c>
      <c r="D6" s="4" t="s">
        <v>30</v>
      </c>
      <c r="E6" s="4" t="s">
        <v>31</v>
      </c>
      <c r="F6" s="4" t="s">
        <v>32</v>
      </c>
      <c r="G6" s="5">
        <v>1</v>
      </c>
      <c r="H6" s="6">
        <v>34</v>
      </c>
      <c r="I6" s="4" t="s">
        <v>33</v>
      </c>
      <c r="J6" s="5">
        <v>1</v>
      </c>
      <c r="K6" s="6">
        <v>7</v>
      </c>
      <c r="L6" s="4" t="s">
        <v>34</v>
      </c>
      <c r="M6" s="5">
        <v>1</v>
      </c>
      <c r="N6" s="6">
        <v>5</v>
      </c>
      <c r="O6" s="4" t="s">
        <v>35</v>
      </c>
      <c r="P6" s="5">
        <v>2</v>
      </c>
      <c r="Q6" s="6">
        <v>5</v>
      </c>
      <c r="R6" s="4" t="s">
        <v>36</v>
      </c>
      <c r="S6" s="5">
        <v>3</v>
      </c>
      <c r="T6" s="6">
        <f>S6*8</f>
        <v>24</v>
      </c>
      <c r="U6" s="7">
        <v>80</v>
      </c>
    </row>
    <row r="7" spans="1:21" x14ac:dyDescent="0.35">
      <c r="A7" s="4" t="s">
        <v>37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5">
        <v>1</v>
      </c>
      <c r="H7" s="6">
        <v>30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7">
        <v>30</v>
      </c>
    </row>
    <row r="8" spans="1:21" x14ac:dyDescent="0.35">
      <c r="A8" s="4" t="s">
        <v>38</v>
      </c>
      <c r="B8" s="4" t="s">
        <v>23</v>
      </c>
      <c r="C8" s="4" t="s">
        <v>24</v>
      </c>
      <c r="D8" s="4" t="s">
        <v>39</v>
      </c>
      <c r="E8" s="4" t="s">
        <v>40</v>
      </c>
      <c r="F8" s="4" t="s">
        <v>27</v>
      </c>
      <c r="G8" s="5">
        <v>1</v>
      </c>
      <c r="H8" s="6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7">
        <v>30</v>
      </c>
    </row>
    <row r="9" spans="1:21" x14ac:dyDescent="0.35">
      <c r="A9" s="4" t="s">
        <v>38</v>
      </c>
      <c r="B9" s="4" t="s">
        <v>23</v>
      </c>
      <c r="C9" s="4" t="s">
        <v>24</v>
      </c>
      <c r="D9" s="4" t="s">
        <v>41</v>
      </c>
      <c r="E9" s="4" t="s">
        <v>42</v>
      </c>
      <c r="F9" s="4" t="s">
        <v>27</v>
      </c>
      <c r="G9" s="5">
        <v>1</v>
      </c>
      <c r="H9" s="6">
        <v>30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7">
        <v>30</v>
      </c>
    </row>
    <row r="10" spans="1:21" x14ac:dyDescent="0.35">
      <c r="A10" s="4" t="s">
        <v>38</v>
      </c>
      <c r="B10" s="4" t="s">
        <v>23</v>
      </c>
      <c r="C10" s="4" t="s">
        <v>24</v>
      </c>
      <c r="D10" s="4" t="s">
        <v>41</v>
      </c>
      <c r="E10" s="4" t="s">
        <v>43</v>
      </c>
      <c r="F10" s="4" t="s">
        <v>27</v>
      </c>
      <c r="G10" s="5">
        <v>1</v>
      </c>
      <c r="H10" s="6">
        <v>30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7">
        <v>30</v>
      </c>
    </row>
    <row r="11" spans="1:21" x14ac:dyDescent="0.35">
      <c r="A11" s="4" t="s">
        <v>28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5">
        <v>1</v>
      </c>
      <c r="H11" s="6">
        <v>62</v>
      </c>
      <c r="I11" s="4" t="s">
        <v>36</v>
      </c>
      <c r="J11" s="5">
        <v>1</v>
      </c>
      <c r="K11" s="6">
        <f>J11*8</f>
        <v>8</v>
      </c>
      <c r="L11" s="4"/>
      <c r="M11" s="4"/>
      <c r="N11" s="4"/>
      <c r="O11" s="4"/>
      <c r="P11" s="4"/>
      <c r="Q11" s="4"/>
      <c r="R11" s="4"/>
      <c r="S11" s="4"/>
      <c r="T11" s="4"/>
      <c r="U11" s="7">
        <v>70</v>
      </c>
    </row>
    <row r="12" spans="1:21" x14ac:dyDescent="0.35">
      <c r="A12" s="4" t="s">
        <v>28</v>
      </c>
      <c r="B12" s="4" t="s">
        <v>44</v>
      </c>
      <c r="C12" s="4" t="s">
        <v>45</v>
      </c>
      <c r="D12" s="4" t="s">
        <v>49</v>
      </c>
      <c r="E12" s="4" t="s">
        <v>50</v>
      </c>
      <c r="F12" s="4" t="s">
        <v>48</v>
      </c>
      <c r="G12" s="5">
        <v>1</v>
      </c>
      <c r="H12" s="6">
        <v>62</v>
      </c>
      <c r="I12" s="4" t="s">
        <v>33</v>
      </c>
      <c r="J12" s="5">
        <v>1</v>
      </c>
      <c r="K12" s="6">
        <v>7</v>
      </c>
      <c r="L12" s="4" t="s">
        <v>36</v>
      </c>
      <c r="M12" s="5">
        <v>1</v>
      </c>
      <c r="N12" s="6">
        <f>M12*8</f>
        <v>8</v>
      </c>
      <c r="O12" s="4" t="s">
        <v>51</v>
      </c>
      <c r="P12" s="5">
        <v>60</v>
      </c>
      <c r="Q12" s="6">
        <f>P12*1</f>
        <v>60</v>
      </c>
      <c r="R12" s="4"/>
      <c r="S12" s="4"/>
      <c r="T12" s="4"/>
      <c r="U12" s="7">
        <v>137</v>
      </c>
    </row>
    <row r="13" spans="1:21" x14ac:dyDescent="0.35">
      <c r="A13" s="4" t="s">
        <v>28</v>
      </c>
      <c r="B13" s="4" t="s">
        <v>44</v>
      </c>
      <c r="C13" s="4" t="s">
        <v>45</v>
      </c>
      <c r="D13" s="4" t="s">
        <v>52</v>
      </c>
      <c r="E13" s="4" t="s">
        <v>26</v>
      </c>
      <c r="F13" s="4" t="s">
        <v>27</v>
      </c>
      <c r="G13" s="5">
        <v>1</v>
      </c>
      <c r="H13" s="6">
        <v>30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7">
        <v>30</v>
      </c>
    </row>
    <row r="14" spans="1:21" x14ac:dyDescent="0.35">
      <c r="A14" s="4" t="s">
        <v>29</v>
      </c>
      <c r="B14" s="4" t="s">
        <v>44</v>
      </c>
      <c r="C14" s="4" t="s">
        <v>45</v>
      </c>
      <c r="D14" s="4" t="s">
        <v>52</v>
      </c>
      <c r="E14" s="4" t="s">
        <v>53</v>
      </c>
      <c r="F14" s="4" t="s">
        <v>48</v>
      </c>
      <c r="G14" s="5">
        <v>1</v>
      </c>
      <c r="H14" s="6">
        <v>62</v>
      </c>
      <c r="I14" s="4" t="s">
        <v>36</v>
      </c>
      <c r="J14" s="5">
        <v>2</v>
      </c>
      <c r="K14" s="6">
        <f>J14*8</f>
        <v>16</v>
      </c>
      <c r="L14" s="4" t="s">
        <v>51</v>
      </c>
      <c r="M14" s="5">
        <v>60</v>
      </c>
      <c r="N14" s="6">
        <f>M14*1</f>
        <v>60</v>
      </c>
      <c r="O14" s="4"/>
      <c r="P14" s="4"/>
      <c r="Q14" s="4"/>
      <c r="R14" s="4"/>
      <c r="S14" s="4"/>
      <c r="T14" s="4"/>
      <c r="U14" s="7">
        <v>138</v>
      </c>
    </row>
    <row r="15" spans="1:21" x14ac:dyDescent="0.35">
      <c r="A15" s="4" t="s">
        <v>37</v>
      </c>
      <c r="B15" s="4" t="s">
        <v>44</v>
      </c>
      <c r="C15" s="4" t="s">
        <v>54</v>
      </c>
      <c r="D15" s="4" t="s">
        <v>55</v>
      </c>
      <c r="E15" s="4" t="s">
        <v>56</v>
      </c>
      <c r="F15" s="4" t="s">
        <v>57</v>
      </c>
      <c r="G15" s="5">
        <v>50</v>
      </c>
      <c r="H15" s="6">
        <v>0.4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7">
        <v>20</v>
      </c>
    </row>
    <row r="16" spans="1:21" x14ac:dyDescent="0.35">
      <c r="A16" s="4" t="s">
        <v>58</v>
      </c>
      <c r="B16" s="4" t="s">
        <v>44</v>
      </c>
      <c r="C16" s="4" t="s">
        <v>59</v>
      </c>
      <c r="D16" s="4" t="s">
        <v>60</v>
      </c>
      <c r="E16" s="4" t="s">
        <v>61</v>
      </c>
      <c r="F16" s="4" t="s">
        <v>57</v>
      </c>
      <c r="G16" s="5">
        <v>200</v>
      </c>
      <c r="H16" s="6">
        <v>0.4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7">
        <v>80</v>
      </c>
    </row>
    <row r="17" spans="1:21" x14ac:dyDescent="0.35">
      <c r="A17" s="4" t="s">
        <v>58</v>
      </c>
      <c r="B17" s="4" t="s">
        <v>44</v>
      </c>
      <c r="C17" s="4" t="s">
        <v>59</v>
      </c>
      <c r="D17" s="4" t="s">
        <v>62</v>
      </c>
      <c r="E17" s="4" t="s">
        <v>26</v>
      </c>
      <c r="F17" s="4" t="s">
        <v>27</v>
      </c>
      <c r="G17" s="5">
        <v>1</v>
      </c>
      <c r="H17" s="6">
        <v>30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7">
        <v>30</v>
      </c>
    </row>
    <row r="18" spans="1:21" x14ac:dyDescent="0.35">
      <c r="A18" s="4" t="s">
        <v>58</v>
      </c>
      <c r="B18" s="4" t="s">
        <v>44</v>
      </c>
      <c r="C18" s="4" t="s">
        <v>63</v>
      </c>
      <c r="D18" s="4" t="s">
        <v>64</v>
      </c>
      <c r="E18" s="4" t="s">
        <v>65</v>
      </c>
      <c r="F18" s="4" t="s">
        <v>48</v>
      </c>
      <c r="G18" s="5">
        <v>1</v>
      </c>
      <c r="H18" s="6">
        <v>62</v>
      </c>
      <c r="I18" s="4" t="s">
        <v>33</v>
      </c>
      <c r="J18" s="5">
        <v>1</v>
      </c>
      <c r="K18" s="6">
        <v>7</v>
      </c>
      <c r="L18" s="4" t="s">
        <v>36</v>
      </c>
      <c r="M18" s="5">
        <v>12</v>
      </c>
      <c r="N18" s="6">
        <f>M18*8</f>
        <v>96</v>
      </c>
      <c r="O18" s="4" t="s">
        <v>51</v>
      </c>
      <c r="P18" s="5">
        <v>100</v>
      </c>
      <c r="Q18" s="6">
        <f>P18*1</f>
        <v>100</v>
      </c>
      <c r="R18" s="4"/>
      <c r="S18" s="4"/>
      <c r="T18" s="4"/>
      <c r="U18" s="7">
        <v>265</v>
      </c>
    </row>
    <row r="19" spans="1:21" x14ac:dyDescent="0.35">
      <c r="A19" s="4" t="s">
        <v>66</v>
      </c>
      <c r="B19" s="4" t="s">
        <v>44</v>
      </c>
      <c r="C19" s="4" t="s">
        <v>45</v>
      </c>
      <c r="D19" s="4" t="s">
        <v>67</v>
      </c>
      <c r="E19" s="4" t="s">
        <v>68</v>
      </c>
      <c r="F19" s="4" t="s">
        <v>48</v>
      </c>
      <c r="G19" s="5">
        <v>1</v>
      </c>
      <c r="H19" s="6">
        <v>62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7">
        <v>62</v>
      </c>
    </row>
    <row r="20" spans="1:21" x14ac:dyDescent="0.35">
      <c r="A20" s="4" t="s">
        <v>66</v>
      </c>
      <c r="B20" s="4" t="s">
        <v>44</v>
      </c>
      <c r="C20" s="4" t="s">
        <v>45</v>
      </c>
      <c r="D20" s="4" t="s">
        <v>67</v>
      </c>
      <c r="E20" s="4" t="s">
        <v>42</v>
      </c>
      <c r="F20" s="4" t="s">
        <v>32</v>
      </c>
      <c r="G20" s="5">
        <v>1</v>
      </c>
      <c r="H20" s="6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7">
        <v>34</v>
      </c>
    </row>
    <row r="21" spans="1:21" x14ac:dyDescent="0.35">
      <c r="A21" s="4" t="s">
        <v>66</v>
      </c>
      <c r="B21" s="4" t="s">
        <v>44</v>
      </c>
      <c r="C21" s="4" t="s">
        <v>45</v>
      </c>
      <c r="D21" s="4" t="s">
        <v>69</v>
      </c>
      <c r="E21" s="4" t="s">
        <v>70</v>
      </c>
      <c r="F21" s="4" t="s">
        <v>32</v>
      </c>
      <c r="G21" s="5">
        <v>1</v>
      </c>
      <c r="H21" s="6">
        <v>34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7">
        <v>34</v>
      </c>
    </row>
    <row r="22" spans="1:21" x14ac:dyDescent="0.35">
      <c r="A22" s="4" t="s">
        <v>66</v>
      </c>
      <c r="B22" s="4" t="s">
        <v>44</v>
      </c>
      <c r="C22" s="4" t="s">
        <v>45</v>
      </c>
      <c r="D22" s="4" t="s">
        <v>71</v>
      </c>
      <c r="E22" s="4" t="s">
        <v>72</v>
      </c>
      <c r="F22" s="4" t="s">
        <v>48</v>
      </c>
      <c r="G22" s="5">
        <v>1</v>
      </c>
      <c r="H22" s="6">
        <v>62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7">
        <v>62</v>
      </c>
    </row>
    <row r="23" spans="1:21" x14ac:dyDescent="0.35">
      <c r="A23" s="4" t="s">
        <v>66</v>
      </c>
      <c r="B23" s="4" t="s">
        <v>44</v>
      </c>
      <c r="C23" s="4" t="s">
        <v>45</v>
      </c>
      <c r="D23" s="4" t="s">
        <v>73</v>
      </c>
      <c r="E23" s="4" t="s">
        <v>74</v>
      </c>
      <c r="F23" s="4" t="s">
        <v>48</v>
      </c>
      <c r="G23" s="5">
        <v>1</v>
      </c>
      <c r="H23" s="6">
        <v>62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7">
        <v>62</v>
      </c>
    </row>
    <row r="24" spans="1:21" x14ac:dyDescent="0.35">
      <c r="A24" s="4" t="s">
        <v>66</v>
      </c>
      <c r="B24" s="4" t="s">
        <v>44</v>
      </c>
      <c r="C24" s="4" t="s">
        <v>45</v>
      </c>
      <c r="D24" s="4" t="s">
        <v>75</v>
      </c>
      <c r="E24" s="4" t="s">
        <v>76</v>
      </c>
      <c r="F24" s="4" t="s">
        <v>48</v>
      </c>
      <c r="G24" s="5">
        <v>1</v>
      </c>
      <c r="H24" s="6">
        <v>62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7">
        <v>62</v>
      </c>
    </row>
    <row r="25" spans="1:21" x14ac:dyDescent="0.35">
      <c r="A25" s="4" t="s">
        <v>66</v>
      </c>
      <c r="B25" s="4" t="s">
        <v>44</v>
      </c>
      <c r="C25" s="4" t="s">
        <v>45</v>
      </c>
      <c r="D25" s="4" t="s">
        <v>77</v>
      </c>
      <c r="E25" s="4" t="s">
        <v>78</v>
      </c>
      <c r="F25" s="4" t="s">
        <v>32</v>
      </c>
      <c r="G25" s="5">
        <v>1</v>
      </c>
      <c r="H25" s="6">
        <v>34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7">
        <v>34</v>
      </c>
    </row>
    <row r="26" spans="1:21" x14ac:dyDescent="0.35">
      <c r="A26" s="4" t="s">
        <v>66</v>
      </c>
      <c r="B26" s="4" t="s">
        <v>44</v>
      </c>
      <c r="C26" s="4" t="s">
        <v>45</v>
      </c>
      <c r="D26" s="4" t="s">
        <v>73</v>
      </c>
      <c r="E26" s="4" t="s">
        <v>79</v>
      </c>
      <c r="F26" s="4" t="s">
        <v>32</v>
      </c>
      <c r="G26" s="5">
        <v>1</v>
      </c>
      <c r="H26" s="6">
        <v>34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7">
        <v>34</v>
      </c>
    </row>
    <row r="27" spans="1:21" x14ac:dyDescent="0.35">
      <c r="A27" s="4" t="s">
        <v>66</v>
      </c>
      <c r="B27" s="4" t="s">
        <v>44</v>
      </c>
      <c r="C27" s="4" t="s">
        <v>45</v>
      </c>
      <c r="D27" s="4" t="s">
        <v>80</v>
      </c>
      <c r="E27" s="4" t="s">
        <v>81</v>
      </c>
      <c r="F27" s="4" t="s">
        <v>82</v>
      </c>
      <c r="G27" s="5">
        <v>5</v>
      </c>
      <c r="H27" s="6">
        <v>30</v>
      </c>
      <c r="I27" s="4" t="s">
        <v>51</v>
      </c>
      <c r="J27" s="5">
        <v>90</v>
      </c>
      <c r="K27" s="6">
        <f>J27*1</f>
        <v>90</v>
      </c>
      <c r="L27" s="4"/>
      <c r="M27" s="4"/>
      <c r="N27" s="4"/>
      <c r="O27" s="4"/>
      <c r="P27" s="4"/>
      <c r="Q27" s="4"/>
      <c r="R27" s="4"/>
      <c r="S27" s="4"/>
      <c r="T27" s="4"/>
      <c r="U27" s="7">
        <v>240</v>
      </c>
    </row>
    <row r="28" spans="1:21" x14ac:dyDescent="0.35">
      <c r="A28" s="4" t="s">
        <v>83</v>
      </c>
      <c r="B28" s="4" t="s">
        <v>44</v>
      </c>
      <c r="C28" s="4" t="s">
        <v>45</v>
      </c>
      <c r="D28" s="4" t="s">
        <v>84</v>
      </c>
      <c r="E28" s="4" t="s">
        <v>47</v>
      </c>
      <c r="F28" s="4" t="s">
        <v>48</v>
      </c>
      <c r="G28" s="5">
        <v>1</v>
      </c>
      <c r="H28" s="6">
        <v>62</v>
      </c>
      <c r="I28" s="4" t="s">
        <v>33</v>
      </c>
      <c r="J28" s="5">
        <v>1</v>
      </c>
      <c r="K28" s="6">
        <v>7</v>
      </c>
      <c r="L28" s="4" t="s">
        <v>36</v>
      </c>
      <c r="M28" s="5">
        <v>2</v>
      </c>
      <c r="N28" s="6">
        <f>M28*8</f>
        <v>16</v>
      </c>
      <c r="O28" s="4"/>
      <c r="P28" s="4"/>
      <c r="Q28" s="4"/>
      <c r="R28" s="4"/>
      <c r="S28" s="4"/>
      <c r="T28" s="4"/>
      <c r="U28" s="7">
        <v>85</v>
      </c>
    </row>
    <row r="29" spans="1:21" x14ac:dyDescent="0.35">
      <c r="A29" s="4" t="s">
        <v>83</v>
      </c>
      <c r="B29" s="4" t="s">
        <v>44</v>
      </c>
      <c r="C29" s="4" t="s">
        <v>45</v>
      </c>
      <c r="D29" s="4" t="s">
        <v>85</v>
      </c>
      <c r="E29" s="4" t="s">
        <v>86</v>
      </c>
      <c r="F29" s="4" t="s">
        <v>48</v>
      </c>
      <c r="G29" s="5">
        <v>1</v>
      </c>
      <c r="H29" s="6">
        <v>62</v>
      </c>
      <c r="I29" s="4" t="s">
        <v>33</v>
      </c>
      <c r="J29" s="5">
        <v>1</v>
      </c>
      <c r="K29" s="6">
        <v>7</v>
      </c>
      <c r="L29" s="4" t="s">
        <v>36</v>
      </c>
      <c r="M29" s="5">
        <v>10</v>
      </c>
      <c r="N29" s="6">
        <f>M29*8</f>
        <v>80</v>
      </c>
      <c r="O29" s="4"/>
      <c r="P29" s="4"/>
      <c r="Q29" s="4"/>
      <c r="R29" s="4"/>
      <c r="S29" s="4"/>
      <c r="T29" s="4"/>
      <c r="U29" s="7">
        <v>149</v>
      </c>
    </row>
    <row r="30" spans="1:21" x14ac:dyDescent="0.35">
      <c r="A30" s="4" t="s">
        <v>83</v>
      </c>
      <c r="B30" s="4" t="s">
        <v>44</v>
      </c>
      <c r="C30" s="4" t="s">
        <v>45</v>
      </c>
      <c r="D30" s="4" t="s">
        <v>87</v>
      </c>
      <c r="E30" s="4" t="s">
        <v>88</v>
      </c>
      <c r="F30" s="4" t="s">
        <v>32</v>
      </c>
      <c r="G30" s="5">
        <v>1</v>
      </c>
      <c r="H30" s="6">
        <v>34</v>
      </c>
      <c r="I30" s="4" t="s">
        <v>34</v>
      </c>
      <c r="J30" s="5">
        <v>1</v>
      </c>
      <c r="K30" s="6">
        <v>5</v>
      </c>
      <c r="L30" s="4" t="s">
        <v>35</v>
      </c>
      <c r="M30" s="5">
        <v>1</v>
      </c>
      <c r="N30" s="6">
        <v>5</v>
      </c>
      <c r="O30" s="4" t="s">
        <v>36</v>
      </c>
      <c r="P30" s="5">
        <v>1</v>
      </c>
      <c r="Q30" s="6">
        <f>P30*8</f>
        <v>8</v>
      </c>
      <c r="R30" s="4"/>
      <c r="S30" s="4"/>
      <c r="T30" s="4"/>
      <c r="U30" s="7">
        <v>52</v>
      </c>
    </row>
    <row r="31" spans="1:21" x14ac:dyDescent="0.35">
      <c r="A31" s="4" t="s">
        <v>83</v>
      </c>
      <c r="B31" s="4" t="s">
        <v>44</v>
      </c>
      <c r="C31" s="4" t="s">
        <v>45</v>
      </c>
      <c r="D31" s="4" t="s">
        <v>80</v>
      </c>
      <c r="E31" s="4" t="s">
        <v>81</v>
      </c>
      <c r="F31" s="4" t="s">
        <v>82</v>
      </c>
      <c r="G31" s="5">
        <v>5</v>
      </c>
      <c r="H31" s="6">
        <v>30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7">
        <v>150</v>
      </c>
    </row>
    <row r="32" spans="1:21" x14ac:dyDescent="0.35">
      <c r="A32" s="4" t="s">
        <v>83</v>
      </c>
      <c r="B32" s="4" t="s">
        <v>44</v>
      </c>
      <c r="C32" s="4" t="s">
        <v>45</v>
      </c>
      <c r="D32" s="4" t="s">
        <v>89</v>
      </c>
      <c r="E32" s="4" t="s">
        <v>88</v>
      </c>
      <c r="F32" s="4" t="s">
        <v>32</v>
      </c>
      <c r="G32" s="5">
        <v>1</v>
      </c>
      <c r="H32" s="6">
        <v>34</v>
      </c>
      <c r="I32" s="4" t="s">
        <v>34</v>
      </c>
      <c r="J32" s="5">
        <v>1</v>
      </c>
      <c r="K32" s="6">
        <v>5</v>
      </c>
      <c r="L32" s="4" t="s">
        <v>35</v>
      </c>
      <c r="M32" s="5">
        <v>1</v>
      </c>
      <c r="N32" s="6">
        <v>5</v>
      </c>
      <c r="O32" s="4" t="s">
        <v>36</v>
      </c>
      <c r="P32" s="5">
        <v>1</v>
      </c>
      <c r="Q32" s="6">
        <f>P32*8</f>
        <v>8</v>
      </c>
      <c r="R32" s="4" t="s">
        <v>51</v>
      </c>
      <c r="S32" s="5">
        <v>90</v>
      </c>
      <c r="T32" s="6">
        <f>S32*1</f>
        <v>90</v>
      </c>
      <c r="U32" s="7">
        <v>142</v>
      </c>
    </row>
    <row r="33" spans="1:21" x14ac:dyDescent="0.35">
      <c r="A33" s="4" t="s">
        <v>90</v>
      </c>
      <c r="B33" s="4" t="s">
        <v>44</v>
      </c>
      <c r="C33" s="4" t="s">
        <v>45</v>
      </c>
      <c r="D33" s="4" t="s">
        <v>91</v>
      </c>
      <c r="E33" s="4" t="s">
        <v>56</v>
      </c>
      <c r="F33" s="4" t="s">
        <v>57</v>
      </c>
      <c r="G33" s="5">
        <v>100</v>
      </c>
      <c r="H33" s="6">
        <v>0.4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7">
        <v>40</v>
      </c>
    </row>
    <row r="34" spans="1:21" x14ac:dyDescent="0.35">
      <c r="A34" s="4" t="s">
        <v>90</v>
      </c>
      <c r="B34" s="4" t="s">
        <v>44</v>
      </c>
      <c r="C34" s="4" t="s">
        <v>45</v>
      </c>
      <c r="D34" s="4" t="s">
        <v>91</v>
      </c>
      <c r="E34" s="4" t="s">
        <v>47</v>
      </c>
      <c r="F34" s="4" t="s">
        <v>92</v>
      </c>
      <c r="G34" s="5">
        <v>1</v>
      </c>
      <c r="H34" s="6">
        <f>G34*62</f>
        <v>62</v>
      </c>
      <c r="I34" s="4" t="s">
        <v>33</v>
      </c>
      <c r="J34" s="5">
        <v>1</v>
      </c>
      <c r="K34" s="6">
        <v>7</v>
      </c>
      <c r="L34" s="4" t="s">
        <v>36</v>
      </c>
      <c r="M34" s="5">
        <v>12</v>
      </c>
      <c r="N34" s="6">
        <f>M34*8</f>
        <v>96</v>
      </c>
      <c r="O34" s="4" t="s">
        <v>51</v>
      </c>
      <c r="P34" s="5">
        <v>70</v>
      </c>
      <c r="Q34" s="6">
        <f>P34*1</f>
        <v>70</v>
      </c>
      <c r="R34" s="4"/>
      <c r="S34" s="4"/>
      <c r="T34" s="4"/>
      <c r="U34" s="7">
        <v>235</v>
      </c>
    </row>
    <row r="35" spans="1:21" x14ac:dyDescent="0.35">
      <c r="A35" s="4" t="s">
        <v>90</v>
      </c>
      <c r="B35" s="4" t="s">
        <v>44</v>
      </c>
      <c r="C35" s="4" t="s">
        <v>45</v>
      </c>
      <c r="D35" s="4" t="s">
        <v>91</v>
      </c>
      <c r="E35" s="4" t="s">
        <v>93</v>
      </c>
      <c r="F35" s="4" t="s">
        <v>94</v>
      </c>
      <c r="G35" s="5">
        <v>1</v>
      </c>
      <c r="H35" s="6">
        <v>20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7">
        <v>20</v>
      </c>
    </row>
    <row r="36" spans="1:21" x14ac:dyDescent="0.35">
      <c r="A36" s="4" t="s">
        <v>29</v>
      </c>
      <c r="B36" s="4" t="s">
        <v>23</v>
      </c>
      <c r="C36" s="4" t="s">
        <v>24</v>
      </c>
      <c r="D36" s="4" t="s">
        <v>95</v>
      </c>
      <c r="E36" s="4" t="s">
        <v>96</v>
      </c>
      <c r="F36" s="4" t="s">
        <v>97</v>
      </c>
      <c r="G36" s="5">
        <v>1</v>
      </c>
      <c r="H36" s="6">
        <v>62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7">
        <v>62</v>
      </c>
    </row>
    <row r="37" spans="1:21" x14ac:dyDescent="0.35">
      <c r="A37" s="4" t="s">
        <v>38</v>
      </c>
      <c r="B37" s="4" t="s">
        <v>23</v>
      </c>
      <c r="C37" s="4" t="s">
        <v>24</v>
      </c>
      <c r="D37" s="4" t="s">
        <v>41</v>
      </c>
      <c r="E37" s="4" t="s">
        <v>65</v>
      </c>
      <c r="F37" s="4" t="s">
        <v>92</v>
      </c>
      <c r="G37" s="5">
        <v>1</v>
      </c>
      <c r="H37" s="6">
        <f>G37*62</f>
        <v>62</v>
      </c>
      <c r="I37" s="4" t="s">
        <v>36</v>
      </c>
      <c r="J37" s="5">
        <v>12</v>
      </c>
      <c r="K37" s="6">
        <f>J37*8</f>
        <v>96</v>
      </c>
      <c r="L37" s="4"/>
      <c r="M37" s="4"/>
      <c r="N37" s="4"/>
      <c r="O37" s="4"/>
      <c r="P37" s="4"/>
      <c r="Q37" s="4"/>
      <c r="R37" s="4"/>
      <c r="S37" s="4"/>
      <c r="T37" s="4"/>
      <c r="U37" s="7">
        <v>158</v>
      </c>
    </row>
    <row r="38" spans="1:21" x14ac:dyDescent="0.35">
      <c r="A38" s="4" t="s">
        <v>37</v>
      </c>
      <c r="B38" s="4" t="s">
        <v>44</v>
      </c>
      <c r="C38" s="4" t="s">
        <v>54</v>
      </c>
      <c r="D38" s="4" t="s">
        <v>55</v>
      </c>
      <c r="E38" s="4" t="s">
        <v>65</v>
      </c>
      <c r="F38" s="4" t="s">
        <v>92</v>
      </c>
      <c r="G38" s="5">
        <v>1</v>
      </c>
      <c r="H38" s="6">
        <f>G38*62</f>
        <v>62</v>
      </c>
      <c r="I38" s="4" t="s">
        <v>36</v>
      </c>
      <c r="J38" s="5">
        <v>12</v>
      </c>
      <c r="K38" s="6">
        <f>J38*8</f>
        <v>96</v>
      </c>
      <c r="L38" s="4"/>
      <c r="M38" s="4"/>
      <c r="N38" s="4"/>
      <c r="O38" s="4"/>
      <c r="P38" s="4"/>
      <c r="Q38" s="4"/>
      <c r="R38" s="4"/>
      <c r="S38" s="4"/>
      <c r="T38" s="4"/>
      <c r="U38" s="7">
        <v>158</v>
      </c>
    </row>
    <row r="39" spans="1:21" x14ac:dyDescent="0.35">
      <c r="A39" s="4" t="s">
        <v>58</v>
      </c>
      <c r="B39" s="4" t="s">
        <v>44</v>
      </c>
      <c r="C39" s="4" t="s">
        <v>59</v>
      </c>
      <c r="D39" s="4" t="s">
        <v>60</v>
      </c>
      <c r="E39" s="4" t="s">
        <v>98</v>
      </c>
      <c r="F39" s="4" t="s">
        <v>92</v>
      </c>
      <c r="G39" s="5">
        <v>1</v>
      </c>
      <c r="H39" s="6">
        <f>G39*62</f>
        <v>62</v>
      </c>
      <c r="I39" s="4" t="s">
        <v>36</v>
      </c>
      <c r="J39" s="5">
        <v>6</v>
      </c>
      <c r="K39" s="6">
        <f>J39*8</f>
        <v>48</v>
      </c>
      <c r="L39" s="4"/>
      <c r="M39" s="4"/>
      <c r="N39" s="4"/>
      <c r="O39" s="4"/>
      <c r="P39" s="4"/>
      <c r="Q39" s="4"/>
      <c r="R39" s="4"/>
      <c r="S39" s="4"/>
      <c r="T39" s="4"/>
      <c r="U39" s="7">
        <v>110</v>
      </c>
    </row>
    <row r="40" spans="1:21" x14ac:dyDescent="0.35">
      <c r="A40" s="4" t="s">
        <v>90</v>
      </c>
      <c r="B40" s="4" t="s">
        <v>44</v>
      </c>
      <c r="C40" s="4" t="s">
        <v>45</v>
      </c>
      <c r="D40" s="4" t="s">
        <v>91</v>
      </c>
      <c r="E40" s="4" t="s">
        <v>56</v>
      </c>
      <c r="F40" s="4" t="s">
        <v>99</v>
      </c>
      <c r="G40" s="5">
        <v>100</v>
      </c>
      <c r="H40" s="6">
        <v>0.65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7">
        <v>65</v>
      </c>
    </row>
  </sheetData>
  <mergeCells count="1">
    <mergeCell ref="S1:T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ServicoDeRua</dc:creator>
  <cp:lastModifiedBy>Jefferson silva</cp:lastModifiedBy>
  <dcterms:created xsi:type="dcterms:W3CDTF">2026-03-19T04:53:12Z</dcterms:created>
  <dcterms:modified xsi:type="dcterms:W3CDTF">2026-04-12T09:13:07Z</dcterms:modified>
</cp:coreProperties>
</file>