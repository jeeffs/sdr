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54e64e92980ee1/Documentos/ObsidianAI/Claude/SDR/DADOS/planilhas/"/>
    </mc:Choice>
  </mc:AlternateContent>
  <xr:revisionPtr revIDLastSave="0" documentId="11_BC2103E932E78C80B25D8D69065C11FA854F7B7C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NEXO III" sheetId="1" r:id="rId1"/>
    <sheet name="Impostos Mensa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K29" i="2"/>
  <c r="J29" i="2"/>
  <c r="I29" i="2"/>
  <c r="H29" i="2"/>
  <c r="G29" i="2"/>
  <c r="F29" i="2"/>
  <c r="K28" i="2"/>
  <c r="J28" i="2"/>
  <c r="I28" i="2"/>
  <c r="H28" i="2"/>
  <c r="E28" i="2" s="1"/>
  <c r="G28" i="2"/>
  <c r="F28" i="2"/>
  <c r="K27" i="2"/>
  <c r="J27" i="2"/>
  <c r="I27" i="2"/>
  <c r="H27" i="2"/>
  <c r="G27" i="2"/>
  <c r="F27" i="2"/>
  <c r="K26" i="2"/>
  <c r="J26" i="2"/>
  <c r="I26" i="2"/>
  <c r="H26" i="2"/>
  <c r="G26" i="2"/>
  <c r="F26" i="2"/>
  <c r="K25" i="2"/>
  <c r="J25" i="2"/>
  <c r="I25" i="2"/>
  <c r="H25" i="2"/>
  <c r="G25" i="2"/>
  <c r="F25" i="2"/>
  <c r="K24" i="2"/>
  <c r="J24" i="2"/>
  <c r="I24" i="2"/>
  <c r="E24" i="2" s="1"/>
  <c r="H24" i="2"/>
  <c r="G24" i="2"/>
  <c r="F24" i="2"/>
  <c r="K23" i="2"/>
  <c r="J23" i="2"/>
  <c r="I23" i="2"/>
  <c r="H23" i="2"/>
  <c r="G23" i="2"/>
  <c r="F23" i="2"/>
  <c r="E23" i="2" s="1"/>
  <c r="K22" i="2"/>
  <c r="J22" i="2"/>
  <c r="I22" i="2"/>
  <c r="H22" i="2"/>
  <c r="G22" i="2"/>
  <c r="F22" i="2"/>
  <c r="K21" i="2"/>
  <c r="J21" i="2"/>
  <c r="I21" i="2"/>
  <c r="H21" i="2"/>
  <c r="G21" i="2"/>
  <c r="F21" i="2"/>
  <c r="E21" i="2" s="1"/>
  <c r="K20" i="2"/>
  <c r="J20" i="2"/>
  <c r="I20" i="2"/>
  <c r="H20" i="2"/>
  <c r="G20" i="2"/>
  <c r="F20" i="2"/>
  <c r="E20" i="2" s="1"/>
  <c r="K19" i="2"/>
  <c r="J19" i="2"/>
  <c r="I19" i="2"/>
  <c r="H19" i="2"/>
  <c r="G19" i="2"/>
  <c r="F19" i="2"/>
  <c r="E19" i="2" s="1"/>
  <c r="K18" i="2"/>
  <c r="J18" i="2"/>
  <c r="I18" i="2"/>
  <c r="H18" i="2"/>
  <c r="G18" i="2"/>
  <c r="F18" i="2"/>
  <c r="K16" i="2"/>
  <c r="J16" i="2"/>
  <c r="I16" i="2"/>
  <c r="H16" i="2"/>
  <c r="G16" i="2"/>
  <c r="F16" i="2"/>
  <c r="E16" i="2" s="1"/>
  <c r="K15" i="2"/>
  <c r="J15" i="2"/>
  <c r="I15" i="2"/>
  <c r="H15" i="2"/>
  <c r="G15" i="2"/>
  <c r="E15" i="2" s="1"/>
  <c r="F15" i="2"/>
  <c r="K14" i="2"/>
  <c r="J14" i="2"/>
  <c r="I14" i="2"/>
  <c r="H14" i="2"/>
  <c r="G14" i="2"/>
  <c r="F14" i="2"/>
  <c r="E14" i="2" s="1"/>
  <c r="K13" i="2"/>
  <c r="J13" i="2"/>
  <c r="I13" i="2"/>
  <c r="H13" i="2"/>
  <c r="G13" i="2"/>
  <c r="F13" i="2"/>
  <c r="K12" i="2"/>
  <c r="J12" i="2"/>
  <c r="I12" i="2"/>
  <c r="H12" i="2"/>
  <c r="G12" i="2"/>
  <c r="F12" i="2"/>
  <c r="E12" i="2" s="1"/>
  <c r="K11" i="2"/>
  <c r="J11" i="2"/>
  <c r="I11" i="2"/>
  <c r="H11" i="2"/>
  <c r="E11" i="2" s="1"/>
  <c r="G11" i="2"/>
  <c r="F11" i="2"/>
  <c r="K10" i="2"/>
  <c r="J10" i="2"/>
  <c r="I10" i="2"/>
  <c r="H10" i="2"/>
  <c r="G10" i="2"/>
  <c r="F10" i="2"/>
  <c r="K9" i="2"/>
  <c r="J9" i="2"/>
  <c r="I9" i="2"/>
  <c r="H9" i="2"/>
  <c r="G9" i="2"/>
  <c r="F9" i="2"/>
  <c r="K8" i="2"/>
  <c r="J8" i="2"/>
  <c r="I8" i="2"/>
  <c r="H8" i="2"/>
  <c r="G8" i="2"/>
  <c r="F8" i="2"/>
  <c r="K7" i="2"/>
  <c r="J7" i="2"/>
  <c r="I7" i="2"/>
  <c r="E7" i="2" s="1"/>
  <c r="H7" i="2"/>
  <c r="G7" i="2"/>
  <c r="F7" i="2"/>
  <c r="K6" i="2"/>
  <c r="J6" i="2"/>
  <c r="I6" i="2"/>
  <c r="H6" i="2"/>
  <c r="G6" i="2"/>
  <c r="F6" i="2"/>
  <c r="K5" i="2"/>
  <c r="J5" i="2"/>
  <c r="J31" i="2" s="1"/>
  <c r="I5" i="2"/>
  <c r="H5" i="2"/>
  <c r="G5" i="2"/>
  <c r="F5" i="2"/>
  <c r="B48" i="1"/>
  <c r="D46" i="1"/>
  <c r="J41" i="1"/>
  <c r="H41" i="1"/>
  <c r="L40" i="1"/>
  <c r="I41" i="1" s="1"/>
  <c r="L31" i="1"/>
  <c r="L27" i="1"/>
  <c r="J29" i="1" s="1"/>
  <c r="B19" i="1"/>
  <c r="C19" i="1" s="1"/>
  <c r="B18" i="1"/>
  <c r="C18" i="1" s="1"/>
  <c r="B17" i="1"/>
  <c r="C17" i="1" s="1"/>
  <c r="D14" i="1" s="1"/>
  <c r="D15" i="1" s="1"/>
  <c r="C4" i="1" s="1"/>
  <c r="B16" i="1"/>
  <c r="C16" i="1" s="1"/>
  <c r="B15" i="1"/>
  <c r="C15" i="1" s="1"/>
  <c r="B14" i="1"/>
  <c r="C14" i="1" s="1"/>
  <c r="B5" i="1"/>
  <c r="C5" i="1" s="1"/>
  <c r="C15" i="2"/>
  <c r="C7" i="2"/>
  <c r="C24" i="2"/>
  <c r="C20" i="2"/>
  <c r="C28" i="2"/>
  <c r="C11" i="2"/>
  <c r="C29" i="2"/>
  <c r="C25" i="2"/>
  <c r="C21" i="2"/>
  <c r="C16" i="2"/>
  <c r="C12" i="2"/>
  <c r="C8" i="2"/>
  <c r="C22" i="2"/>
  <c r="C9" i="2"/>
  <c r="C5" i="2"/>
  <c r="C26" i="2"/>
  <c r="C18" i="2"/>
  <c r="C13" i="2"/>
  <c r="C23" i="2"/>
  <c r="C19" i="2"/>
  <c r="C14" i="2"/>
  <c r="C10" i="2"/>
  <c r="C6" i="2"/>
  <c r="C27" i="2"/>
  <c r="H31" i="2" l="1"/>
  <c r="E25" i="2"/>
  <c r="E27" i="2"/>
  <c r="F31" i="2"/>
  <c r="E29" i="2"/>
  <c r="E9" i="2"/>
  <c r="E13" i="2"/>
  <c r="G31" i="2"/>
  <c r="I31" i="2"/>
  <c r="E18" i="2"/>
  <c r="E22" i="2"/>
  <c r="K31" i="2"/>
  <c r="E6" i="2"/>
  <c r="K29" i="1"/>
  <c r="E26" i="2"/>
  <c r="E8" i="2"/>
  <c r="E10" i="2"/>
  <c r="D27" i="2"/>
  <c r="D6" i="2"/>
  <c r="D10" i="2"/>
  <c r="D14" i="2"/>
  <c r="D19" i="2"/>
  <c r="D23" i="2"/>
  <c r="D13" i="2"/>
  <c r="D18" i="2"/>
  <c r="D26" i="2"/>
  <c r="D5" i="2"/>
  <c r="D9" i="2"/>
  <c r="D22" i="2"/>
  <c r="D8" i="2"/>
  <c r="D12" i="2"/>
  <c r="D16" i="2"/>
  <c r="D21" i="2"/>
  <c r="D25" i="2"/>
  <c r="D29" i="2"/>
  <c r="D11" i="2"/>
  <c r="D28" i="2"/>
  <c r="D20" i="2"/>
  <c r="D24" i="2"/>
  <c r="D7" i="2"/>
  <c r="D15" i="2"/>
  <c r="I35" i="1"/>
  <c r="G35" i="1"/>
  <c r="L15" i="1"/>
  <c r="L16" i="1" s="1"/>
  <c r="J15" i="1"/>
  <c r="J16" i="1" s="1"/>
  <c r="H35" i="1"/>
  <c r="K15" i="1"/>
  <c r="K16" i="1" s="1"/>
  <c r="I15" i="1"/>
  <c r="I16" i="1" s="1"/>
  <c r="I17" i="1" s="1"/>
  <c r="I18" i="1" s="1"/>
  <c r="K36" i="1"/>
  <c r="J35" i="1"/>
  <c r="J36" i="1"/>
  <c r="H15" i="1"/>
  <c r="H16" i="1" s="1"/>
  <c r="K30" i="1"/>
  <c r="K31" i="1" s="1"/>
  <c r="G15" i="1"/>
  <c r="G16" i="1" s="1"/>
  <c r="L32" i="1" s="1"/>
  <c r="G36" i="1"/>
  <c r="J30" i="1"/>
  <c r="J31" i="1" s="1"/>
  <c r="L35" i="1"/>
  <c r="K35" i="1"/>
  <c r="H28" i="1"/>
  <c r="K41" i="1"/>
  <c r="I28" i="1"/>
  <c r="J28" i="1"/>
  <c r="K28" i="1"/>
  <c r="G29" i="1"/>
  <c r="G30" i="1" s="1"/>
  <c r="E5" i="2"/>
  <c r="G28" i="1"/>
  <c r="L28" i="1" s="1"/>
  <c r="H29" i="1"/>
  <c r="H30" i="1" s="1"/>
  <c r="H31" i="1" s="1"/>
  <c r="I29" i="1"/>
  <c r="I30" i="1" s="1"/>
  <c r="I31" i="1" s="1"/>
  <c r="G41" i="1"/>
  <c r="H36" i="1" l="1"/>
  <c r="I36" i="1"/>
  <c r="E31" i="2"/>
  <c r="G31" i="1"/>
  <c r="I32" i="1" s="1"/>
  <c r="M30" i="1"/>
  <c r="I19" i="1"/>
  <c r="I20" i="1"/>
  <c r="L29" i="1"/>
  <c r="J32" i="1"/>
  <c r="G17" i="1"/>
  <c r="M16" i="1"/>
  <c r="M19" i="1" s="1"/>
  <c r="K17" i="1" s="1"/>
  <c r="K18" i="1" s="1"/>
  <c r="J17" i="1"/>
  <c r="J18" i="1" s="1"/>
  <c r="H17" i="1"/>
  <c r="H18" i="1" s="1"/>
  <c r="L17" i="1"/>
  <c r="L18" i="1" s="1"/>
  <c r="H32" i="1" l="1"/>
  <c r="K19" i="1"/>
  <c r="K20" i="1"/>
  <c r="G18" i="1"/>
  <c r="N17" i="1"/>
  <c r="N18" i="1" s="1"/>
  <c r="M17" i="1"/>
  <c r="L19" i="1"/>
  <c r="L20" i="1"/>
  <c r="H20" i="1"/>
  <c r="H19" i="1"/>
  <c r="M31" i="1"/>
  <c r="N31" i="1" s="1"/>
  <c r="K32" i="1" s="1"/>
  <c r="G32" i="1"/>
  <c r="J19" i="1"/>
  <c r="J20" i="1"/>
  <c r="G20" i="1" l="1"/>
  <c r="G19" i="1"/>
  <c r="M32" i="1"/>
  <c r="M20" i="1"/>
  <c r="N20" i="1" s="1"/>
  <c r="I21" i="1" l="1"/>
  <c r="I22" i="1" s="1"/>
  <c r="I23" i="1" s="1"/>
  <c r="H21" i="1"/>
  <c r="H22" i="1" s="1"/>
  <c r="H23" i="1" s="1"/>
  <c r="G21" i="1"/>
  <c r="K21" i="1"/>
  <c r="K22" i="1" s="1"/>
  <c r="K23" i="1" s="1"/>
  <c r="J21" i="1"/>
  <c r="J22" i="1" s="1"/>
  <c r="J23" i="1" s="1"/>
  <c r="L22" i="1"/>
  <c r="L23" i="1" s="1"/>
  <c r="M21" i="1" l="1"/>
  <c r="G22" i="1"/>
  <c r="G23" i="1" l="1"/>
  <c r="M22" i="1"/>
  <c r="G24" i="1" l="1"/>
  <c r="M23" i="1"/>
  <c r="L24" i="1"/>
  <c r="I4" i="1" s="1"/>
  <c r="K4" i="1" s="1"/>
  <c r="H24" i="1"/>
  <c r="E4" i="1" s="1"/>
  <c r="I24" i="1"/>
  <c r="F4" i="1" s="1"/>
  <c r="J24" i="1"/>
  <c r="G4" i="1" s="1"/>
  <c r="N23" i="1"/>
  <c r="K24" i="1" s="1"/>
  <c r="H4" i="1" s="1"/>
  <c r="M24" i="1" l="1"/>
  <c r="D4" i="1"/>
</calcChain>
</file>

<file path=xl/sharedStrings.xml><?xml version="1.0" encoding="utf-8"?>
<sst xmlns="http://schemas.openxmlformats.org/spreadsheetml/2006/main" count="90" uniqueCount="66">
  <si>
    <t>RBT12:</t>
  </si>
  <si>
    <t>alíquota efetiva</t>
  </si>
  <si>
    <t>PERCENTUAIS EFETIVOS DOS TRIBUTOS</t>
  </si>
  <si>
    <t>IRPJ</t>
  </si>
  <si>
    <t>CSLL</t>
  </si>
  <si>
    <t>Cofins</t>
  </si>
  <si>
    <t>PIS/Pasep</t>
  </si>
  <si>
    <t>CPP</t>
  </si>
  <si>
    <t>ISS</t>
  </si>
  <si>
    <t>digite a RBT12 no próximo campo - &gt;</t>
  </si>
  <si>
    <t>PERCENTUAIS DE REPARTIÇÃO DOS TRIBUTOS</t>
  </si>
  <si>
    <t>LIM.INFERIOR</t>
  </si>
  <si>
    <t>LIM.SUPERIOR</t>
  </si>
  <si>
    <t>ALÍQUOTA NOMINAL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</si>
  <si>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</si>
  <si>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</si>
  <si>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</si>
  <si>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</si>
  <si>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</si>
  <si>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</si>
  <si>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</si>
  <si>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limite para 4,99 de ISS</t>
  </si>
  <si>
    <t>Alíquota Serviços</t>
  </si>
  <si>
    <t>Aumento da Carga Trib</t>
  </si>
  <si>
    <t>IMPOSTOS MENSAIS – SIMPLES NACIONAL (ANEXO III)</t>
  </si>
  <si>
    <t>JEFFERSON RODRIGUES</t>
  </si>
  <si>
    <t>Mês</t>
  </si>
  <si>
    <t>Faturamento
(R$)</t>
  </si>
  <si>
    <t>RBT12
(R$)</t>
  </si>
  <si>
    <t>Alíquota
Efetiva</t>
  </si>
  <si>
    <t>Total DAS
(R$)</t>
  </si>
  <si>
    <t>IRPJ
(R$)</t>
  </si>
  <si>
    <t>CSLL
(R$)</t>
  </si>
  <si>
    <t>Cofins
(R$)</t>
  </si>
  <si>
    <t>PIS/Pasep
(R$)</t>
  </si>
  <si>
    <t>CPP
(R$)</t>
  </si>
  <si>
    <t>ISS
(R$)</t>
  </si>
  <si>
    <t>▸  2025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</si>
  <si>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</si>
  <si>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</si>
  <si>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</si>
  <si>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</si>
  <si>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</si>
  <si>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</si>
  <si>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</si>
  <si>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</si>
  <si>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</si>
  <si>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</si>
  <si>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</si>
  <si>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</si>
  <si>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▸  2026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</si>
  <si>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</si>
  <si>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</si>
  <si>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</si>
  <si>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</si>
  <si>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</si>
  <si>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</si>
  <si>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</si>
  <si>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</si>
  <si>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</si>
  <si>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out/2026</t>
  </si>
  <si>
    <t>nov/2026</t>
  </si>
  <si>
    <t>dez/2026</t>
  </si>
  <si>
    <t>TOTAL</t>
  </si>
  <si>
    <t>⚠  Faturamento (coluna B) é entrada manual – insira o faturamento bruto de cada mês.</t>
  </si>
  <si>
    <t>⚠  RBT12 = soma dos últimos 12 meses de faturamento. ISS limitado a 5% do faturamento (Simples Nacional). Referência de faixas: aba ANEXO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</si>
</sst>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R$ &quot;* #,##0.00_-;&quot;-R$ &quot;* #,##0.00_-;_-&quot;R$ &quot;* \-??_-;_-@_-"/>
    <numFmt numFmtId="165" formatCode="_-* #,##0.00_-;\-* #,##0.00_-;_-* \-??_-;_-@_-"/>
    <numFmt numFmtId="166" formatCode="0.000000%"/>
    <numFmt numFmtId="167" formatCode="0.000%"/>
    <numFmt numFmtId="168" formatCode="0.00000%"/>
    <numFmt numFmtId="169" formatCode="_-* #,##0_-;\-* #,##0_-;_-* \-??_-;_-@_-"/>
    <numFmt numFmtId="170" formatCode="0.0000%"/>
    <numFmt numFmtId="171" formatCode="#,##0.00;\(#,##0.00\);\-"/>
    <numFmt numFmtId="172" formatCode="#,##0;\(#,##0\);\-"/>
    <numFmt numFmtId="173" formatCode="0.00%;\(0.00%\);\-"/>
  </numFmts>
  <fonts count="24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8"/>
      <color theme="1"/>
      <name val="Calibri"/>
      <family val="2"/>
      <charset val="1"/>
    </font>
    <font>
      <b/>
      <u/>
      <sz val="20"/>
      <color theme="0"/>
      <name val="Calibri"/>
      <family val="2"/>
      <charset val="1"/>
    </font>
    <font>
      <sz val="15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b/>
      <u/>
      <sz val="18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i/>
      <sz val="8"/>
      <color rgb="FF7F7F7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theme="0" tint="-0.249977111117893"/>
        <bgColor rgb="FFB8CCE4"/>
      </patternFill>
    </fill>
    <fill>
      <patternFill patternType="solid">
        <fgColor rgb="FF1F3864"/>
        <bgColor rgb="FF333333"/>
      </patternFill>
    </fill>
    <fill>
      <patternFill patternType="solid">
        <fgColor rgb="FFD6E4F7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FFFFFF"/>
        <bgColor rgb="FFF2F7F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/>
    <xf numFmtId="166" fontId="7" fillId="4" borderId="1" xfId="0" applyNumberFormat="1" applyFont="1" applyFill="1" applyBorder="1"/>
    <xf numFmtId="10" fontId="7" fillId="4" borderId="1" xfId="0" applyNumberFormat="1" applyFont="1" applyFill="1" applyBorder="1"/>
    <xf numFmtId="10" fontId="0" fillId="0" borderId="0" xfId="0" applyNumberFormat="1"/>
    <xf numFmtId="165" fontId="8" fillId="0" borderId="0" xfId="0" applyNumberFormat="1" applyFont="1"/>
    <xf numFmtId="165" fontId="0" fillId="0" borderId="0" xfId="0" applyNumberFormat="1"/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 applyProtection="1">
      <alignment vertical="center"/>
      <protection locked="0"/>
    </xf>
    <xf numFmtId="10" fontId="11" fillId="0" borderId="1" xfId="0" applyNumberFormat="1" applyFont="1" applyBorder="1" applyAlignment="1" applyProtection="1">
      <alignment horizontal="center" vertical="center" wrapText="1"/>
      <protection locked="0"/>
    </xf>
    <xf numFmtId="165" fontId="12" fillId="0" borderId="1" xfId="0" applyNumberFormat="1" applyFont="1" applyBorder="1"/>
    <xf numFmtId="0" fontId="0" fillId="0" borderId="0" xfId="0" applyAlignment="1">
      <alignment horizontal="right"/>
    </xf>
    <xf numFmtId="10" fontId="1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7" fontId="6" fillId="3" borderId="0" xfId="0" applyNumberFormat="1" applyFont="1" applyFill="1"/>
    <xf numFmtId="0" fontId="14" fillId="0" borderId="0" xfId="0" applyFont="1" applyAlignment="1">
      <alignment horizontal="center"/>
    </xf>
    <xf numFmtId="0" fontId="15" fillId="3" borderId="0" xfId="0" applyFont="1" applyFill="1"/>
    <xf numFmtId="169" fontId="15" fillId="3" borderId="0" xfId="0" applyNumberFormat="1" applyFont="1" applyFill="1"/>
    <xf numFmtId="10" fontId="13" fillId="0" borderId="4" xfId="0" applyNumberFormat="1" applyFont="1" applyBorder="1" applyAlignment="1">
      <alignment horizontal="center" vertical="center" wrapText="1"/>
    </xf>
    <xf numFmtId="10" fontId="13" fillId="0" borderId="5" xfId="0" applyNumberFormat="1" applyFont="1" applyBorder="1" applyAlignment="1">
      <alignment horizontal="center" vertical="center" wrapText="1"/>
    </xf>
    <xf numFmtId="170" fontId="0" fillId="0" borderId="0" xfId="0" applyNumberFormat="1"/>
    <xf numFmtId="10" fontId="0" fillId="0" borderId="1" xfId="0" applyNumberForma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0" fontId="9" fillId="5" borderId="1" xfId="0" applyNumberFormat="1" applyFont="1" applyFill="1" applyBorder="1" applyAlignment="1">
      <alignment horizontal="center"/>
    </xf>
    <xf numFmtId="0" fontId="18" fillId="6" borderId="6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/>
    </xf>
    <xf numFmtId="171" fontId="21" fillId="3" borderId="6" xfId="0" applyNumberFormat="1" applyFont="1" applyFill="1" applyBorder="1" applyAlignment="1">
      <alignment horizontal="right" vertical="center"/>
    </xf>
    <xf numFmtId="172" fontId="22" fillId="8" borderId="6" xfId="0" applyNumberFormat="1" applyFont="1" applyFill="1" applyBorder="1" applyAlignment="1">
      <alignment horizontal="right" vertical="center"/>
    </xf>
    <xf numFmtId="173" fontId="22" fillId="8" borderId="6" xfId="0" applyNumberFormat="1" applyFont="1" applyFill="1" applyBorder="1" applyAlignment="1">
      <alignment horizontal="right" vertical="center"/>
    </xf>
    <xf numFmtId="171" fontId="20" fillId="8" borderId="6" xfId="0" applyNumberFormat="1" applyFont="1" applyFill="1" applyBorder="1" applyAlignment="1">
      <alignment horizontal="right" vertical="center"/>
    </xf>
    <xf numFmtId="171" fontId="22" fillId="8" borderId="6" xfId="0" applyNumberFormat="1" applyFont="1" applyFill="1" applyBorder="1" applyAlignment="1">
      <alignment horizontal="right" vertical="center"/>
    </xf>
    <xf numFmtId="0" fontId="20" fillId="9" borderId="6" xfId="0" applyFont="1" applyFill="1" applyBorder="1" applyAlignment="1">
      <alignment horizontal="center" vertical="center"/>
    </xf>
    <xf numFmtId="172" fontId="22" fillId="9" borderId="6" xfId="0" applyNumberFormat="1" applyFont="1" applyFill="1" applyBorder="1" applyAlignment="1">
      <alignment horizontal="right" vertical="center"/>
    </xf>
    <xf numFmtId="173" fontId="22" fillId="9" borderId="6" xfId="0" applyNumberFormat="1" applyFont="1" applyFill="1" applyBorder="1" applyAlignment="1">
      <alignment horizontal="right" vertical="center"/>
    </xf>
    <xf numFmtId="171" fontId="20" fillId="9" borderId="6" xfId="0" applyNumberFormat="1" applyFont="1" applyFill="1" applyBorder="1" applyAlignment="1">
      <alignment horizontal="right" vertical="center"/>
    </xf>
    <xf numFmtId="171" fontId="22" fillId="9" borderId="6" xfId="0" applyNumberFormat="1" applyFont="1" applyFill="1" applyBorder="1" applyAlignment="1">
      <alignment horizontal="right" vertical="center"/>
    </xf>
    <xf numFmtId="0" fontId="18" fillId="6" borderId="6" xfId="0" applyFont="1" applyFill="1" applyBorder="1" applyAlignment="1">
      <alignment horizontal="center" vertical="center"/>
    </xf>
    <xf numFmtId="171" fontId="18" fillId="6" borderId="6" xfId="0" applyNumberFormat="1" applyFont="1" applyFill="1" applyBorder="1" applyAlignment="1">
      <alignment horizontal="right" vertical="center"/>
    </xf>
    <xf numFmtId="0" fontId="0" fillId="6" borderId="6" xfId="0" applyFill="1" applyBorder="1"/>
    <xf numFmtId="164" fontId="4" fillId="0" borderId="2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2" fillId="0" borderId="1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0" fillId="0" borderId="0" xfId="0"/>
    <xf numFmtId="0" fontId="19" fillId="7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4"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7FC"/>
      <rgbColor rgb="FFD6E4F7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8"/>
  <sheetViews>
    <sheetView showGridLines="0" tabSelected="1" zoomScaleNormal="100" workbookViewId="0">
      <selection activeCell="A3" sqref="A3"/>
    </sheetView>
  </sheetViews>
  <sheetFormatPr defaultColWidth="8.6328125" defaultRowHeight="14.25" customHeight="1" x14ac:dyDescent="0.35"/>
  <cols>
    <col min="1" max="1" width="23.7265625" customWidth="1"/>
    <col min="2" max="2" width="23.453125" customWidth="1"/>
    <col min="3" max="3" width="19.7265625" customWidth="1"/>
    <col min="4" max="5" width="13.453125" customWidth="1"/>
    <col min="6" max="6" width="11.453125" customWidth="1"/>
    <col min="7" max="7" width="13.453125" customWidth="1"/>
    <col min="8" max="9" width="11.453125" customWidth="1"/>
    <col min="10" max="10" width="9.81640625" customWidth="1"/>
    <col min="11" max="12" width="9.1796875" customWidth="1"/>
    <col min="13" max="14" width="13.453125" customWidth="1"/>
    <col min="15" max="17" width="7" customWidth="1"/>
    <col min="18" max="18" width="6" customWidth="1"/>
    <col min="19" max="20" width="7" customWidth="1"/>
  </cols>
  <sheetData>
    <row r="1" spans="1:14" ht="23.25" customHeight="1" x14ac:dyDescent="0.55000000000000004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2"/>
    </row>
    <row r="2" spans="1:14" ht="15" customHeight="1" x14ac:dyDescent="0.35">
      <c r="B2" s="53" t="s">
        <v>0</v>
      </c>
      <c r="C2" s="55" t="s">
        <v>1</v>
      </c>
      <c r="D2" s="47" t="s">
        <v>2</v>
      </c>
      <c r="E2" s="48"/>
      <c r="F2" s="48"/>
      <c r="G2" s="48"/>
      <c r="H2" s="48"/>
      <c r="I2" s="49"/>
    </row>
    <row r="3" spans="1:14" ht="30" customHeight="1" x14ac:dyDescent="0.35">
      <c r="B3" s="54"/>
      <c r="C3" s="54"/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14" ht="30.75" customHeight="1" x14ac:dyDescent="0.6">
      <c r="A4" s="2" t="s">
        <v>9</v>
      </c>
      <c r="B4" s="3">
        <v>1800000</v>
      </c>
      <c r="C4" s="4">
        <f>D15</f>
        <v>0.14019999999999999</v>
      </c>
      <c r="D4" s="5">
        <f t="shared" ref="D4:I4" si="0">G24</f>
        <v>5.5999999999999999E-3</v>
      </c>
      <c r="E4" s="5">
        <f t="shared" si="0"/>
        <v>4.8999999999999998E-3</v>
      </c>
      <c r="F4" s="5">
        <f t="shared" si="0"/>
        <v>1.9099999999999999E-2</v>
      </c>
      <c r="G4" s="5">
        <f t="shared" si="0"/>
        <v>4.1000000000000003E-3</v>
      </c>
      <c r="H4" s="5">
        <f t="shared" si="0"/>
        <v>6.0900000000000003E-2</v>
      </c>
      <c r="I4" s="5">
        <f t="shared" si="0"/>
        <v>4.5600000000000002E-2</v>
      </c>
      <c r="K4" s="6">
        <f>C4-I4</f>
        <v>9.459999999999999E-2</v>
      </c>
    </row>
    <row r="5" spans="1:14" ht="32.25" customHeight="1" x14ac:dyDescent="0.45">
      <c r="B5" s="7">
        <f>B4/12</f>
        <v>150000</v>
      </c>
      <c r="C5" s="8">
        <f>B5*C4</f>
        <v>21030</v>
      </c>
      <c r="D5" s="8"/>
      <c r="E5" s="8"/>
      <c r="G5" s="47" t="s">
        <v>10</v>
      </c>
      <c r="H5" s="48"/>
      <c r="I5" s="48"/>
      <c r="J5" s="48"/>
      <c r="K5" s="48"/>
      <c r="L5" s="49"/>
    </row>
    <row r="6" spans="1:14" ht="28.5" customHeight="1" x14ac:dyDescent="0.35">
      <c r="A6" s="9"/>
      <c r="B6" s="10" t="s">
        <v>11</v>
      </c>
      <c r="C6" s="10" t="s">
        <v>12</v>
      </c>
      <c r="D6" s="10" t="s">
        <v>13</v>
      </c>
      <c r="E6" s="10" t="s">
        <v>14</v>
      </c>
      <c r="G6" s="10" t="s">
        <v>3</v>
      </c>
      <c r="H6" s="10" t="s">
        <v>4</v>
      </c>
      <c r="I6" s="10" t="s">
        <v>5</v>
      </c>
      <c r="J6" s="10" t="s">
        <v>6</v>
      </c>
      <c r="K6" s="10" t="s">
        <v>7</v>
      </c>
      <c r="L6" s="10" t="s">
        <v>8</v>
      </c>
    </row>
    <row r="7" spans="1:14" ht="14.25" customHeight="1" x14ac:dyDescent="0.35">
      <c r="A7" s="11" t="s">
        <v>15</v>
      </c>
      <c r="B7" s="12">
        <v>0</v>
      </c>
      <c r="C7" s="13">
        <v>180000</v>
      </c>
      <c r="D7" s="14">
        <v>0.06</v>
      </c>
      <c r="E7" s="15">
        <v>0</v>
      </c>
      <c r="F7" s="16" t="s">
        <v>15</v>
      </c>
      <c r="G7" s="17">
        <v>0.04</v>
      </c>
      <c r="H7" s="17">
        <v>3.5000000000000003E-2</v>
      </c>
      <c r="I7" s="17">
        <v>0.12820000000000001</v>
      </c>
      <c r="J7" s="17">
        <v>2.7799999999999998E-2</v>
      </c>
      <c r="K7" s="17">
        <v>0.434</v>
      </c>
      <c r="L7" s="17">
        <v>0.33500000000000002</v>
      </c>
    </row>
    <row r="8" spans="1:14" ht="14.25" customHeight="1" x14ac:dyDescent="0.35">
      <c r="A8" s="11" t="s">
        <v>16</v>
      </c>
      <c r="B8" s="12">
        <v>180000.01</v>
      </c>
      <c r="C8" s="13">
        <v>360000</v>
      </c>
      <c r="D8" s="14">
        <v>0.112</v>
      </c>
      <c r="E8" s="15">
        <v>9360</v>
      </c>
      <c r="F8" s="16" t="s">
        <v>16</v>
      </c>
      <c r="G8" s="17">
        <v>0.04</v>
      </c>
      <c r="H8" s="17">
        <v>3.5000000000000003E-2</v>
      </c>
      <c r="I8" s="17">
        <v>0.14050000000000001</v>
      </c>
      <c r="J8" s="17">
        <v>3.0499999999999999E-2</v>
      </c>
      <c r="K8" s="17">
        <v>0.434</v>
      </c>
      <c r="L8" s="17">
        <v>0.32</v>
      </c>
    </row>
    <row r="9" spans="1:14" ht="14.25" customHeight="1" x14ac:dyDescent="0.35">
      <c r="A9" s="11" t="s">
        <v>17</v>
      </c>
      <c r="B9" s="12">
        <v>360000.01</v>
      </c>
      <c r="C9" s="13">
        <v>720000</v>
      </c>
      <c r="D9" s="14">
        <v>0.13500000000000001</v>
      </c>
      <c r="E9" s="15">
        <v>17640</v>
      </c>
      <c r="F9" s="16" t="s">
        <v>17</v>
      </c>
      <c r="G9" s="17">
        <v>0.04</v>
      </c>
      <c r="H9" s="17">
        <v>3.5000000000000003E-2</v>
      </c>
      <c r="I9" s="17">
        <v>0.13639999999999999</v>
      </c>
      <c r="J9" s="17">
        <v>2.9600000000000001E-2</v>
      </c>
      <c r="K9" s="17">
        <v>0.434</v>
      </c>
      <c r="L9" s="17">
        <v>0.32500000000000001</v>
      </c>
    </row>
    <row r="10" spans="1:14" ht="24.75" customHeight="1" x14ac:dyDescent="0.35">
      <c r="A10" s="11" t="s">
        <v>18</v>
      </c>
      <c r="B10" s="12">
        <v>720000.01</v>
      </c>
      <c r="C10" s="13">
        <v>1800000</v>
      </c>
      <c r="D10" s="14">
        <v>0.16</v>
      </c>
      <c r="E10" s="15">
        <v>35640</v>
      </c>
      <c r="F10" s="16" t="s">
        <v>18</v>
      </c>
      <c r="G10" s="17">
        <v>0.04</v>
      </c>
      <c r="H10" s="17">
        <v>3.5000000000000003E-2</v>
      </c>
      <c r="I10" s="17">
        <v>0.13639999999999999</v>
      </c>
      <c r="J10" s="17">
        <v>2.9600000000000001E-2</v>
      </c>
      <c r="K10" s="17">
        <v>0.434</v>
      </c>
      <c r="L10" s="17">
        <v>0.32500000000000001</v>
      </c>
    </row>
    <row r="11" spans="1:14" ht="14.25" customHeight="1" x14ac:dyDescent="0.35">
      <c r="A11" s="11" t="s">
        <v>19</v>
      </c>
      <c r="B11" s="12">
        <v>1800000.01</v>
      </c>
      <c r="C11" s="13">
        <v>3600000</v>
      </c>
      <c r="D11" s="14">
        <v>0.21</v>
      </c>
      <c r="E11" s="15">
        <v>125640</v>
      </c>
      <c r="F11" s="16" t="s">
        <v>19</v>
      </c>
      <c r="G11" s="17">
        <v>0.04</v>
      </c>
      <c r="H11" s="17">
        <v>3.5000000000000003E-2</v>
      </c>
      <c r="I11" s="17">
        <v>0.12820000000000001</v>
      </c>
      <c r="J11" s="17">
        <v>2.7799999999999998E-2</v>
      </c>
      <c r="K11" s="17">
        <v>0.434</v>
      </c>
      <c r="L11" s="17">
        <v>0.33500000000000002</v>
      </c>
    </row>
    <row r="12" spans="1:14" ht="14.25" customHeight="1" x14ac:dyDescent="0.35">
      <c r="A12" s="11" t="s">
        <v>20</v>
      </c>
      <c r="B12" s="12">
        <v>3600000.01</v>
      </c>
      <c r="C12" s="13">
        <v>4800000</v>
      </c>
      <c r="D12" s="14">
        <v>0.33</v>
      </c>
      <c r="E12" s="15">
        <v>648000</v>
      </c>
      <c r="F12" s="16" t="s">
        <v>20</v>
      </c>
      <c r="G12" s="17">
        <v>0.35</v>
      </c>
      <c r="H12" s="17">
        <v>0.15</v>
      </c>
      <c r="I12" s="17">
        <v>0.1603</v>
      </c>
      <c r="J12" s="17">
        <v>3.4700000000000002E-2</v>
      </c>
      <c r="K12" s="17">
        <v>0.30499999999999999</v>
      </c>
      <c r="L12" s="17">
        <v>0</v>
      </c>
    </row>
    <row r="13" spans="1:14" ht="14.25" customHeight="1" x14ac:dyDescent="0.35">
      <c r="A13" s="18"/>
      <c r="B13" s="19"/>
      <c r="C13" s="19"/>
    </row>
    <row r="14" spans="1:14" ht="14.25" customHeight="1" x14ac:dyDescent="0.35">
      <c r="A14" s="18" t="s">
        <v>15</v>
      </c>
      <c r="B14" s="19" t="b">
        <f t="shared" ref="B14:B19" si="1">IF(AND($B$4&gt;=B7,$B$4&lt;=C7),($B$4*D7-E7)/$B$4)</f>
        <v>0</v>
      </c>
      <c r="C14" s="19">
        <f t="shared" ref="C14:C19" si="2">ROUND(B14,5)</f>
        <v>0</v>
      </c>
      <c r="D14" s="19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0.14019999999999999</v>
      </c>
      <c r="G14" s="10" t="s">
        <v>3</v>
      </c>
      <c r="H14" s="10" t="s">
        <v>4</v>
      </c>
      <c r="I14" s="10" t="s">
        <v>5</v>
      </c>
      <c r="J14" s="10" t="s">
        <v>6</v>
      </c>
      <c r="K14" s="10" t="s">
        <v>7</v>
      </c>
      <c r="L14" s="10" t="s">
        <v>8</v>
      </c>
      <c r="N14" s="20">
        <v>0.05</v>
      </c>
    </row>
    <row r="15" spans="1:14" ht="14.25" customHeight="1" x14ac:dyDescent="0.35">
      <c r="A15" s="18" t="s">
        <v>16</v>
      </c>
      <c r="B15" s="19" t="b">
        <f t="shared" si="1"/>
        <v>0</v>
      </c>
      <c r="C15" s="19">
        <f t="shared" si="2"/>
        <v>0</v>
      </c>
      <c r="D15" s="19">
        <f>ROUND(D14,4)</f>
        <v>0.14019999999999999</v>
      </c>
      <c r="G15" s="21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5.6080000000000001E-3</v>
      </c>
      <c r="H15" s="21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4.9069999999999999E-3</v>
      </c>
      <c r="I15" s="21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1.9123279999999999E-2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4.1499199999999997E-3</v>
      </c>
      <c r="K15" s="21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6.0846799999999993E-2</v>
      </c>
      <c r="L15" s="21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4.5565000000000001E-2</v>
      </c>
      <c r="M15" s="21"/>
    </row>
    <row r="16" spans="1:14" ht="14.25" customHeight="1" x14ac:dyDescent="0.35">
      <c r="A16" s="18" t="s">
        <v>17</v>
      </c>
      <c r="B16" s="19" t="b">
        <f t="shared" si="1"/>
        <v>0</v>
      </c>
      <c r="C16" s="19">
        <f t="shared" si="2"/>
        <v>0</v>
      </c>
      <c r="G16" s="6">
        <f t="shared" ref="G16:L16" si="3">ROUND(G15,4)</f>
        <v>5.5999999999999999E-3</v>
      </c>
      <c r="H16" s="6">
        <f t="shared" si="3"/>
        <v>4.8999999999999998E-3</v>
      </c>
      <c r="I16" s="6">
        <f t="shared" si="3"/>
        <v>1.9099999999999999E-2</v>
      </c>
      <c r="J16" s="6">
        <f t="shared" si="3"/>
        <v>4.1000000000000003E-3</v>
      </c>
      <c r="K16" s="6">
        <f t="shared" si="3"/>
        <v>6.08E-2</v>
      </c>
      <c r="L16" s="6">
        <f t="shared" si="3"/>
        <v>4.5600000000000002E-2</v>
      </c>
      <c r="M16" s="19">
        <f>SUM(G16:L16)</f>
        <v>0.1401</v>
      </c>
    </row>
    <row r="17" spans="1:14" ht="23.25" customHeight="1" x14ac:dyDescent="0.55000000000000004">
      <c r="A17" s="18" t="s">
        <v>18</v>
      </c>
      <c r="B17" s="19">
        <f t="shared" si="1"/>
        <v>0.14019999999999999</v>
      </c>
      <c r="C17" s="19">
        <f t="shared" si="2"/>
        <v>0.14019999999999999</v>
      </c>
      <c r="G17" s="6">
        <f t="shared" ref="G17:L17" si="4">IF(G16=MAX($G$16:$L$16),(G16+$M$19),IF(G16&lt;&gt;MAX($G$16:$L$16),G16))</f>
        <v>5.5999999999999999E-3</v>
      </c>
      <c r="H17" s="6">
        <f t="shared" si="4"/>
        <v>4.8999999999999998E-3</v>
      </c>
      <c r="I17" s="6">
        <f t="shared" si="4"/>
        <v>1.9099999999999999E-2</v>
      </c>
      <c r="J17" s="6">
        <f t="shared" si="4"/>
        <v>4.1000000000000003E-3</v>
      </c>
      <c r="K17" s="6">
        <f t="shared" si="4"/>
        <v>6.0899999999999989E-2</v>
      </c>
      <c r="L17" s="6">
        <f t="shared" si="4"/>
        <v>4.5600000000000002E-2</v>
      </c>
      <c r="M17" s="19">
        <f>SUM(G17:L17)</f>
        <v>0.14019999999999999</v>
      </c>
      <c r="N17" s="22">
        <f>SUM(G17:L17)</f>
        <v>0.14019999999999999</v>
      </c>
    </row>
    <row r="18" spans="1:14" ht="23.25" customHeight="1" x14ac:dyDescent="0.55000000000000004">
      <c r="A18" s="18" t="s">
        <v>19</v>
      </c>
      <c r="B18" s="19" t="b">
        <f t="shared" si="1"/>
        <v>0</v>
      </c>
      <c r="C18" s="19">
        <f t="shared" si="2"/>
        <v>0</v>
      </c>
      <c r="G18" s="6">
        <f t="shared" ref="G18:L18" si="5">ROUND(G17,4)</f>
        <v>5.5999999999999999E-3</v>
      </c>
      <c r="H18" s="6">
        <f t="shared" si="5"/>
        <v>4.8999999999999998E-3</v>
      </c>
      <c r="I18" s="6">
        <f t="shared" si="5"/>
        <v>1.9099999999999999E-2</v>
      </c>
      <c r="J18" s="6">
        <f t="shared" si="5"/>
        <v>4.1000000000000003E-3</v>
      </c>
      <c r="K18" s="6">
        <f t="shared" si="5"/>
        <v>6.0900000000000003E-2</v>
      </c>
      <c r="L18" s="6">
        <f t="shared" si="5"/>
        <v>4.5600000000000002E-2</v>
      </c>
      <c r="N18" s="23" t="str">
        <f>IF(C4=N17,"OK")</f>
        <v>OK</v>
      </c>
    </row>
    <row r="19" spans="1:14" ht="14.25" customHeight="1" x14ac:dyDescent="0.35">
      <c r="A19" s="18" t="s">
        <v>20</v>
      </c>
      <c r="B19" s="19" t="b">
        <f t="shared" si="1"/>
        <v>0</v>
      </c>
      <c r="C19" s="19">
        <f t="shared" si="2"/>
        <v>0</v>
      </c>
      <c r="G19" s="6">
        <f t="shared" ref="G19:L19" si="6">G18-G16</f>
        <v>0</v>
      </c>
      <c r="H19" s="6">
        <f t="shared" si="6"/>
        <v>0</v>
      </c>
      <c r="I19" s="6">
        <f t="shared" si="6"/>
        <v>0</v>
      </c>
      <c r="J19" s="6">
        <f t="shared" si="6"/>
        <v>0</v>
      </c>
      <c r="K19" s="6">
        <f t="shared" si="6"/>
        <v>1.0000000000000286E-4</v>
      </c>
      <c r="L19" s="6">
        <f t="shared" si="6"/>
        <v>0</v>
      </c>
      <c r="M19" s="19">
        <f>C4-M16</f>
        <v>9.9999999999988987E-5</v>
      </c>
    </row>
    <row r="20" spans="1:14" ht="14.25" customHeight="1" x14ac:dyDescent="0.35">
      <c r="A20" s="18"/>
      <c r="B20" s="19"/>
      <c r="C20" s="19"/>
      <c r="G20" s="6">
        <f t="shared" ref="G20:L20" si="7">G18</f>
        <v>5.5999999999999999E-3</v>
      </c>
      <c r="H20" s="6">
        <f t="shared" si="7"/>
        <v>4.8999999999999998E-3</v>
      </c>
      <c r="I20" s="6">
        <f t="shared" si="7"/>
        <v>1.9099999999999999E-2</v>
      </c>
      <c r="J20" s="6">
        <f t="shared" si="7"/>
        <v>4.1000000000000003E-3</v>
      </c>
      <c r="K20" s="6">
        <f t="shared" si="7"/>
        <v>6.0900000000000003E-2</v>
      </c>
      <c r="L20" s="6">
        <f t="shared" si="7"/>
        <v>4.5600000000000002E-2</v>
      </c>
      <c r="M20" s="6">
        <f>L20-N14</f>
        <v>-4.4000000000000011E-3</v>
      </c>
      <c r="N20" s="6">
        <f>IF(M20&gt;0,M20,0)</f>
        <v>0</v>
      </c>
    </row>
    <row r="21" spans="1:14" ht="14.25" customHeight="1" x14ac:dyDescent="0.35">
      <c r="G21" s="6">
        <f>$N$20*G29</f>
        <v>0</v>
      </c>
      <c r="H21" s="6">
        <f>$N$20*H29</f>
        <v>0</v>
      </c>
      <c r="I21" s="6">
        <f>$N$20*I29</f>
        <v>0</v>
      </c>
      <c r="J21" s="6">
        <f>$N$20*J29</f>
        <v>0</v>
      </c>
      <c r="K21" s="6">
        <f>$N$20*K29</f>
        <v>0</v>
      </c>
      <c r="M21" s="6">
        <f>SUM(G21:L21)</f>
        <v>0</v>
      </c>
    </row>
    <row r="22" spans="1:14" ht="14.25" customHeight="1" x14ac:dyDescent="0.35">
      <c r="G22" s="6">
        <f>G18+G21</f>
        <v>5.5999999999999999E-3</v>
      </c>
      <c r="H22" s="6">
        <f>H18+H21</f>
        <v>4.8999999999999998E-3</v>
      </c>
      <c r="I22" s="6">
        <f>I18+I21</f>
        <v>1.9099999999999999E-2</v>
      </c>
      <c r="J22" s="6">
        <f>J18+J21</f>
        <v>4.1000000000000003E-3</v>
      </c>
      <c r="K22" s="6">
        <f>K18+K21</f>
        <v>6.0900000000000003E-2</v>
      </c>
      <c r="L22" s="6">
        <f>L20-N20</f>
        <v>4.5600000000000002E-2</v>
      </c>
      <c r="M22" s="6">
        <f>SUM(G22:L22)</f>
        <v>0.14019999999999999</v>
      </c>
    </row>
    <row r="23" spans="1:14" ht="14.25" customHeight="1" x14ac:dyDescent="0.35">
      <c r="G23" s="6">
        <f>ROUND(G22,4)</f>
        <v>5.5999999999999999E-3</v>
      </c>
      <c r="H23" s="6">
        <f>ROUND(H22,4)</f>
        <v>4.8999999999999998E-3</v>
      </c>
      <c r="I23" s="6">
        <f>ROUND(I22,4)</f>
        <v>1.9099999999999999E-2</v>
      </c>
      <c r="J23" s="6">
        <f>ROUND(J22,4)</f>
        <v>4.1000000000000003E-3</v>
      </c>
      <c r="K23" s="6">
        <f>ROUND(K22,4)</f>
        <v>6.0900000000000003E-2</v>
      </c>
      <c r="L23" s="6">
        <f>TRUNC(L22,4)</f>
        <v>4.5600000000000002E-2</v>
      </c>
      <c r="M23" s="6">
        <f>SUM(G23:L23)</f>
        <v>0.14019999999999999</v>
      </c>
      <c r="N23" s="6">
        <f>M22-M23</f>
        <v>0</v>
      </c>
    </row>
    <row r="24" spans="1:14" ht="23.25" customHeight="1" x14ac:dyDescent="0.55000000000000004">
      <c r="A24" s="24" t="s">
        <v>21</v>
      </c>
      <c r="B24" s="25">
        <v>2064579</v>
      </c>
      <c r="G24" s="6">
        <f>IF(G23=MAX($G$23:$K$23),(G23+$N$23),IF(G23&lt;&gt;MAX($G$23:$K$23),G23))</f>
        <v>5.5999999999999999E-3</v>
      </c>
      <c r="H24" s="6">
        <f>IF(H23=MAX($G$23:$L$23),(H23+$N$23),IF(H23&lt;&gt;MAX($G$23:$L$23),H23))</f>
        <v>4.8999999999999998E-3</v>
      </c>
      <c r="I24" s="6">
        <f>IF(I23=MAX($G$23:$L$23),(I23+$N$23),IF(I23&lt;&gt;MAX($G$23:$L$23),I23))</f>
        <v>1.9099999999999999E-2</v>
      </c>
      <c r="J24" s="6">
        <f>IF(J23=MAX($G$23:$L$23),(J23+$N$23),IF(J23&lt;&gt;MAX($G$23:$L$23),J23))</f>
        <v>4.1000000000000003E-3</v>
      </c>
      <c r="K24" s="6">
        <f>IF(K23=MAX($G$23:$L$23),(K23+$N$23),IF(K23&lt;&gt;MAX($G$23:$L$23),K23))</f>
        <v>6.0900000000000003E-2</v>
      </c>
      <c r="L24" s="6">
        <f>IF(L23=MAX($G$23:$L$23),(L23+$N$23),IF(L23&lt;&gt;MAX($G$23:$L$23),L23))</f>
        <v>4.5600000000000002E-2</v>
      </c>
      <c r="M24" s="22">
        <f>SUM(G24:L24)</f>
        <v>0.14019999999999999</v>
      </c>
    </row>
    <row r="25" spans="1:14" ht="14.25" customHeight="1" x14ac:dyDescent="0.35">
      <c r="G25" s="6"/>
      <c r="H25" s="6"/>
      <c r="I25" s="6"/>
      <c r="J25" s="6"/>
      <c r="K25" s="6"/>
      <c r="L25" s="6"/>
      <c r="M25" s="6"/>
    </row>
    <row r="26" spans="1:14" ht="14.5" x14ac:dyDescent="0.35"/>
    <row r="27" spans="1:14" ht="15" customHeight="1" x14ac:dyDescent="0.35">
      <c r="G27" s="26">
        <v>0.04</v>
      </c>
      <c r="H27" s="26">
        <v>3.5000000000000003E-2</v>
      </c>
      <c r="I27" s="26">
        <v>0.12820000000000001</v>
      </c>
      <c r="J27" s="26">
        <v>2.7799999999999998E-2</v>
      </c>
      <c r="K27" s="26">
        <v>0.434</v>
      </c>
      <c r="L27" s="6">
        <f>SUM(G27:K27)</f>
        <v>0.66500000000000004</v>
      </c>
    </row>
    <row r="28" spans="1:14" ht="15" customHeight="1" x14ac:dyDescent="0.35">
      <c r="G28" s="27">
        <f>G27/$L$27</f>
        <v>6.0150375939849621E-2</v>
      </c>
      <c r="H28" s="27">
        <f>H27/$L$27</f>
        <v>5.2631578947368425E-2</v>
      </c>
      <c r="I28" s="27">
        <f>I27/$L$27</f>
        <v>0.19278195488721805</v>
      </c>
      <c r="J28" s="27">
        <f>J27/$L$27</f>
        <v>4.1804511278195483E-2</v>
      </c>
      <c r="K28" s="27">
        <f>K27/$L$27</f>
        <v>0.65263157894736834</v>
      </c>
      <c r="L28" s="26">
        <f>SUM(G28:K28)</f>
        <v>0.99999999999999989</v>
      </c>
    </row>
    <row r="29" spans="1:14" ht="14.25" customHeight="1" x14ac:dyDescent="0.35">
      <c r="G29" s="6">
        <f>G27/$L$27</f>
        <v>6.0150375939849621E-2</v>
      </c>
      <c r="H29" s="6">
        <f>H27/$L$27</f>
        <v>5.2631578947368425E-2</v>
      </c>
      <c r="I29" s="6">
        <f>I27/$L$27</f>
        <v>0.19278195488721805</v>
      </c>
      <c r="J29" s="6">
        <f>J27/$L$27</f>
        <v>4.1804511278195483E-2</v>
      </c>
      <c r="K29" s="6">
        <f>K27/$L$27</f>
        <v>0.65263157894736834</v>
      </c>
      <c r="L29" s="6">
        <f>SUM(G29:K29)</f>
        <v>0.99999999999999989</v>
      </c>
    </row>
    <row r="30" spans="1:14" ht="14.25" customHeight="1" x14ac:dyDescent="0.35">
      <c r="G30" s="6">
        <f>($C$4-5%)*G29</f>
        <v>5.425563909774435E-3</v>
      </c>
      <c r="H30" s="6">
        <f>($C$4-5%)*H29</f>
        <v>4.7473684210526312E-3</v>
      </c>
      <c r="I30" s="6">
        <f>($C$4-5%)*I29</f>
        <v>1.7388932330827066E-2</v>
      </c>
      <c r="J30" s="6">
        <f>($C$4-5%)*J29</f>
        <v>3.7707669172932323E-3</v>
      </c>
      <c r="K30" s="6">
        <f>($C$4-5%)*K29</f>
        <v>5.886736842105262E-2</v>
      </c>
      <c r="L30" s="20">
        <v>0.05</v>
      </c>
      <c r="M30" s="28">
        <f>SUM(G30:L30)</f>
        <v>0.14019999999999999</v>
      </c>
    </row>
    <row r="31" spans="1:14" ht="14.25" customHeight="1" x14ac:dyDescent="0.35">
      <c r="G31" s="6">
        <f t="shared" ref="G31:L31" si="8">ROUND(G30,4)</f>
        <v>5.4000000000000003E-3</v>
      </c>
      <c r="H31" s="6">
        <f t="shared" si="8"/>
        <v>4.7000000000000002E-3</v>
      </c>
      <c r="I31" s="6">
        <f t="shared" si="8"/>
        <v>1.7399999999999999E-2</v>
      </c>
      <c r="J31" s="6">
        <f t="shared" si="8"/>
        <v>3.8E-3</v>
      </c>
      <c r="K31" s="6">
        <f t="shared" si="8"/>
        <v>5.8900000000000001E-2</v>
      </c>
      <c r="L31" s="6">
        <f t="shared" si="8"/>
        <v>0.05</v>
      </c>
      <c r="M31" s="28">
        <f>SUM(G31:L31)</f>
        <v>0.14019999999999999</v>
      </c>
      <c r="N31" s="28">
        <f>-M31+M30</f>
        <v>0</v>
      </c>
    </row>
    <row r="32" spans="1:14" ht="14.25" customHeight="1" x14ac:dyDescent="0.35">
      <c r="G32" s="6">
        <f>IF(G31=MAX($G$31:$L$31),(G31+$N$31),IF(G31&lt;&gt;MAX($G$31:$L$31),G31))</f>
        <v>5.4000000000000003E-3</v>
      </c>
      <c r="H32" s="6">
        <f>IF(H31=MAX($G$31:$L$31),(H31+$N$31),IF(H31&lt;&gt;MAX($G$31:$L$31),H31))</f>
        <v>4.7000000000000002E-3</v>
      </c>
      <c r="I32" s="6">
        <f>IF(I31=MAX($G$31:$L$31),(I31+$N$31),IF(I31&lt;&gt;MAX($G$31:$L$31),I31))</f>
        <v>1.7399999999999999E-2</v>
      </c>
      <c r="J32" s="6">
        <f>IF(J31=MAX($G$31:$L$31),(J31+$N$31),IF(J31&lt;&gt;MAX($G$31:$L$31),J31))</f>
        <v>3.8E-3</v>
      </c>
      <c r="K32" s="6">
        <f>IF(K31=MAX($G$31:$L$31),(K31+$N$31),IF(K31&lt;&gt;MAX($G$31:$L$31),K31))</f>
        <v>5.8900000000000001E-2</v>
      </c>
      <c r="L32" s="6">
        <f>IF(L31=MAX($G$16:$L$16),(L31+$M$19),IF(L31&lt;&gt;MAX($G$16:$L$16),L31))</f>
        <v>0.05</v>
      </c>
      <c r="M32" s="6">
        <f>SUM(G32:L32)</f>
        <v>0.14019999999999999</v>
      </c>
    </row>
    <row r="33" spans="1:12" ht="14.5" x14ac:dyDescent="0.35"/>
    <row r="34" spans="1:12" ht="14.5" x14ac:dyDescent="0.35"/>
    <row r="35" spans="1:12" ht="14.25" customHeight="1" x14ac:dyDescent="0.35">
      <c r="G35" s="6" t="b">
        <f t="shared" ref="G35:L35" si="9">IF($C$4&lt;=$N$4,($C$4)*G11)</f>
        <v>0</v>
      </c>
      <c r="H35" s="6" t="b">
        <f t="shared" si="9"/>
        <v>0</v>
      </c>
      <c r="I35" s="6" t="b">
        <f t="shared" si="9"/>
        <v>0</v>
      </c>
      <c r="J35" s="6" t="b">
        <f t="shared" si="9"/>
        <v>0</v>
      </c>
      <c r="K35" s="6" t="b">
        <f t="shared" si="9"/>
        <v>0</v>
      </c>
      <c r="L35" s="6" t="b">
        <f t="shared" si="9"/>
        <v>0</v>
      </c>
    </row>
    <row r="36" spans="1:12" ht="14.25" customHeight="1" x14ac:dyDescent="0.35">
      <c r="G36" s="6">
        <f>IF($C$4&gt;$N$4,($C$4-$R$8)*G29)</f>
        <v>8.4330827067669156E-3</v>
      </c>
      <c r="H36" s="6">
        <f>IF($C$4&gt;$N$4,($C$4-$R$8)*H29)</f>
        <v>7.3789473684210526E-3</v>
      </c>
      <c r="I36" s="6">
        <f>IF($C$4&gt;$N$4,($C$4-$R$8)*I29)</f>
        <v>2.7028030075187968E-2</v>
      </c>
      <c r="J36" s="6">
        <f>IF($C$4&gt;$N$4,($C$4-$R$8)*J29)</f>
        <v>5.860992481203006E-3</v>
      </c>
      <c r="K36" s="6">
        <f>IF($C$4&gt;$N$4,($C$4-$R$8)*K29)</f>
        <v>9.1498947368421041E-2</v>
      </c>
    </row>
    <row r="37" spans="1:12" ht="14.5" x14ac:dyDescent="0.35"/>
    <row r="38" spans="1:12" ht="14.5" x14ac:dyDescent="0.35"/>
    <row r="39" spans="1:12" ht="14.5" x14ac:dyDescent="0.35"/>
    <row r="40" spans="1:12" ht="15" customHeight="1" x14ac:dyDescent="0.35">
      <c r="G40" s="26">
        <v>0.04</v>
      </c>
      <c r="H40" s="26">
        <v>3.5000000000000003E-2</v>
      </c>
      <c r="I40" s="26">
        <v>0.12820000000000001</v>
      </c>
      <c r="J40" s="26">
        <v>2.7799999999999998E-2</v>
      </c>
      <c r="K40" s="26">
        <v>0.434</v>
      </c>
      <c r="L40" s="6">
        <f>SUM(G40:K40)</f>
        <v>0.66500000000000004</v>
      </c>
    </row>
    <row r="41" spans="1:12" ht="14.25" customHeight="1" x14ac:dyDescent="0.35">
      <c r="G41" s="6">
        <f>G40/$L$40</f>
        <v>6.0150375939849621E-2</v>
      </c>
      <c r="H41" s="6">
        <f>H40/$L$40</f>
        <v>5.2631578947368425E-2</v>
      </c>
      <c r="I41" s="6">
        <f>I40/$L$40</f>
        <v>0.19278195488721805</v>
      </c>
      <c r="J41" s="6">
        <f>J40/$L$40</f>
        <v>4.1804511278195483E-2</v>
      </c>
      <c r="K41" s="6">
        <f>K40/$L$40</f>
        <v>0.65263157894736834</v>
      </c>
    </row>
    <row r="42" spans="1:12" ht="14.5" x14ac:dyDescent="0.35"/>
    <row r="43" spans="1:12" ht="14.25" customHeight="1" x14ac:dyDescent="0.35">
      <c r="A43" s="11"/>
      <c r="B43" s="11" t="s">
        <v>22</v>
      </c>
    </row>
    <row r="44" spans="1:12" ht="14.25" customHeight="1" x14ac:dyDescent="0.35">
      <c r="A44" s="11">
        <v>2017</v>
      </c>
      <c r="B44" s="29">
        <v>5.4199999999999998E-2</v>
      </c>
      <c r="D44">
        <v>7.3</v>
      </c>
    </row>
    <row r="45" spans="1:12" ht="14.25" customHeight="1" x14ac:dyDescent="0.35">
      <c r="A45" s="9"/>
      <c r="B45" s="9"/>
      <c r="D45">
        <v>11.05</v>
      </c>
    </row>
    <row r="46" spans="1:12" ht="14.25" customHeight="1" x14ac:dyDescent="0.35">
      <c r="A46" s="11">
        <v>2018</v>
      </c>
      <c r="B46" s="29">
        <v>5.8099999999999999E-2</v>
      </c>
      <c r="D46">
        <f>D45-D44</f>
        <v>3.7500000000000009</v>
      </c>
    </row>
    <row r="47" spans="1:12" ht="14.25" customHeight="1" x14ac:dyDescent="0.35">
      <c r="A47" s="9"/>
      <c r="B47" s="9"/>
    </row>
    <row r="48" spans="1:12" ht="14.25" customHeight="1" x14ac:dyDescent="0.35">
      <c r="A48" s="30" t="s">
        <v>23</v>
      </c>
      <c r="B48" s="31">
        <f>B46-B44</f>
        <v>3.9000000000000007E-3</v>
      </c>
    </row>
  </sheetData>
  <mergeCells count="5">
    <mergeCell ref="D2:I2"/>
    <mergeCell ref="G5:L5"/>
    <mergeCell ref="A1:L1"/>
    <mergeCell ref="B2:B3"/>
    <mergeCell ref="C2:C3"/>
  </mergeCells>
  <conditionalFormatting sqref="G19:L19">
    <cfRule type="cellIs" dxfId="3" priority="2" operator="notEqual">
      <formula>0</formula>
    </cfRule>
    <cfRule type="cellIs" dxfId="2" priority="3" operator="lessThan">
      <formula>0</formula>
    </cfRule>
    <cfRule type="cellIs" dxfId="1" priority="4" operator="greaterThan">
      <formula>0</formula>
    </cfRule>
    <cfRule type="expression" dxfId="0" priority="5">
      <formula>"SE+$G$19&lt;&gt;0"</formula>
    </cfRule>
  </conditionalFormatting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328125" defaultRowHeight="15" customHeight="1" x14ac:dyDescent="0.35"/>
  <cols>
    <col min="1" max="1" width="10" customWidth="1"/>
    <col min="2" max="3" width="14" customWidth="1"/>
    <col min="4" max="4" width="10" customWidth="1"/>
    <col min="5" max="5" width="13" customWidth="1"/>
    <col min="6" max="8" width="10" customWidth="1"/>
    <col min="9" max="9" width="11" customWidth="1"/>
    <col min="10" max="11" width="10" customWidth="1"/>
  </cols>
  <sheetData>
    <row r="1" spans="1:11" ht="30" customHeight="1" x14ac:dyDescent="0.35">
      <c r="A1" s="60" t="s">
        <v>24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8" customHeight="1" x14ac:dyDescent="0.35">
      <c r="A2" s="59" t="s">
        <v>25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36" customHeight="1" x14ac:dyDescent="0.35">
      <c r="A3" s="32" t="s">
        <v>26</v>
      </c>
      <c r="B3" s="32" t="s">
        <v>27</v>
      </c>
      <c r="C3" s="32" t="s">
        <v>28</v>
      </c>
      <c r="D3" s="32" t="s">
        <v>29</v>
      </c>
      <c r="E3" s="32" t="s">
        <v>30</v>
      </c>
      <c r="F3" s="32" t="s">
        <v>31</v>
      </c>
      <c r="G3" s="32" t="s">
        <v>32</v>
      </c>
      <c r="H3" s="32" t="s">
        <v>33</v>
      </c>
      <c r="I3" s="32" t="s">
        <v>34</v>
      </c>
      <c r="J3" s="32" t="s">
        <v>35</v>
      </c>
      <c r="K3" s="32" t="s">
        <v>36</v>
      </c>
    </row>
    <row r="4" spans="1:11" ht="15.75" customHeight="1" x14ac:dyDescent="0.35">
      <c r="A4" s="58" t="s">
        <v>37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 ht="15.75" customHeight="1" x14ac:dyDescent="0.35">
      <c r="A5" s="33" t="s">
        <v>38</v>
      </c>
      <c r="B5" s="34">
        <v>0</v>
      </c>
      <c r="C5" s="35">
        <f t="shared" ref="C5:C16" ca="1" si="0">SUM(INDIRECT("B"&amp;MAX(5,ROW()-11)&amp;":B"&amp;ROW()))</f>
        <v>0</v>
      </c>
      <c r="D5" s="36">
        <f ca="1">IF(C5=0,0,ROUND((C5*VLOOKUP(C5,'ANEXO III'!$B$7:$E$12,3,TRUE())-VLOOKUP(C5,'ANEXO III'!$B$7:$E$12,4,TRUE()))/C5,6))</f>
        <v>0</v>
      </c>
      <c r="E5" s="37">
        <f t="shared" ref="E5:E16" si="1">ROUND(SUM(F5:K5),2)</f>
        <v>0</v>
      </c>
      <c r="F5" s="38">
        <f>IF(B5=0,0,ROUND(B5*D5*VLOOKUP(C5,'ANEXO III'!$B$7:$L$12,6,TRUE()),2))</f>
        <v>0</v>
      </c>
      <c r="G5" s="38">
        <f>IF(B5=0,0,ROUND(B5*D5*VLOOKUP(C5,'ANEXO III'!$B$7:$L$12,7,TRUE()),2))</f>
        <v>0</v>
      </c>
      <c r="H5" s="38">
        <f>IF(B5=0,0,ROUND(B5*D5*VLOOKUP(C5,'ANEXO III'!$B$7:$L$12,8,TRUE()),2))</f>
        <v>0</v>
      </c>
      <c r="I5" s="38">
        <f>IF(B5=0,0,ROUND(B5*D5*VLOOKUP(C5,'ANEXO III'!$B$7:$L$12,9,TRUE()),2))</f>
        <v>0</v>
      </c>
      <c r="J5" s="38">
        <f>IF(B5=0,0,ROUND(B5*D5*VLOOKUP(C5,'ANEXO III'!$B$7:$L$12,10,TRUE()),2))</f>
        <v>0</v>
      </c>
      <c r="K5" s="38">
        <f>IF(B5=0,0,ROUND(MIN(B5*D5*VLOOKUP(C5,'ANEXO III'!$B$7:$L$12,11,TRUE()),B5*5%),2))</f>
        <v>0</v>
      </c>
    </row>
    <row r="6" spans="1:11" ht="15.75" customHeight="1" x14ac:dyDescent="0.35">
      <c r="A6" s="39" t="s">
        <v>39</v>
      </c>
      <c r="B6" s="34">
        <v>0</v>
      </c>
      <c r="C6" s="40">
        <f t="shared" ca="1" si="0"/>
        <v>0</v>
      </c>
      <c r="D6" s="41">
        <f ca="1">IF(C6=0,0,ROUND((C6*VLOOKUP(C6,'ANEXO III'!$B$7:$E$12,3,TRUE())-VLOOKUP(C6,'ANEXO III'!$B$7:$E$12,4,TRUE()))/C6,6))</f>
        <v>0</v>
      </c>
      <c r="E6" s="42">
        <f t="shared" si="1"/>
        <v>0</v>
      </c>
      <c r="F6" s="43">
        <f>IF(B6=0,0,ROUND(B6*D6*VLOOKUP(C6,'ANEXO III'!$B$7:$L$12,6,TRUE()),2))</f>
        <v>0</v>
      </c>
      <c r="G6" s="43">
        <f>IF(B6=0,0,ROUND(B6*D6*VLOOKUP(C6,'ANEXO III'!$B$7:$L$12,7,TRUE()),2))</f>
        <v>0</v>
      </c>
      <c r="H6" s="43">
        <f>IF(B6=0,0,ROUND(B6*D6*VLOOKUP(C6,'ANEXO III'!$B$7:$L$12,8,TRUE()),2))</f>
        <v>0</v>
      </c>
      <c r="I6" s="43">
        <f>IF(B6=0,0,ROUND(B6*D6*VLOOKUP(C6,'ANEXO III'!$B$7:$L$12,9,TRUE()),2))</f>
        <v>0</v>
      </c>
      <c r="J6" s="43">
        <f>IF(B6=0,0,ROUND(B6*D6*VLOOKUP(C6,'ANEXO III'!$B$7:$L$12,10,TRUE()),2))</f>
        <v>0</v>
      </c>
      <c r="K6" s="43">
        <f>IF(B6=0,0,ROUND(MIN(B6*D6*VLOOKUP(C6,'ANEXO III'!$B$7:$L$12,11,TRUE()),B6*5%),2))</f>
        <v>0</v>
      </c>
    </row>
    <row r="7" spans="1:11" ht="15.75" customHeight="1" x14ac:dyDescent="0.35">
      <c r="A7" s="33" t="s">
        <v>40</v>
      </c>
      <c r="B7" s="34">
        <v>0</v>
      </c>
      <c r="C7" s="35">
        <f t="shared" ca="1" si="0"/>
        <v>0</v>
      </c>
      <c r="D7" s="36">
        <f ca="1">IF(C7=0,0,ROUND((C7*VLOOKUP(C7,'ANEXO III'!$B$7:$E$12,3,TRUE())-VLOOKUP(C7,'ANEXO III'!$B$7:$E$12,4,TRUE()))/C7,6))</f>
        <v>0</v>
      </c>
      <c r="E7" s="37">
        <f t="shared" si="1"/>
        <v>0</v>
      </c>
      <c r="F7" s="38">
        <f>IF(B7=0,0,ROUND(B7*D7*VLOOKUP(C7,'ANEXO III'!$B$7:$L$12,6,TRUE()),2))</f>
        <v>0</v>
      </c>
      <c r="G7" s="38">
        <f>IF(B7=0,0,ROUND(B7*D7*VLOOKUP(C7,'ANEXO III'!$B$7:$L$12,7,TRUE()),2))</f>
        <v>0</v>
      </c>
      <c r="H7" s="38">
        <f>IF(B7=0,0,ROUND(B7*D7*VLOOKUP(C7,'ANEXO III'!$B$7:$L$12,8,TRUE()),2))</f>
        <v>0</v>
      </c>
      <c r="I7" s="38">
        <f>IF(B7=0,0,ROUND(B7*D7*VLOOKUP(C7,'ANEXO III'!$B$7:$L$12,9,TRUE()),2))</f>
        <v>0</v>
      </c>
      <c r="J7" s="38">
        <f>IF(B7=0,0,ROUND(B7*D7*VLOOKUP(C7,'ANEXO III'!$B$7:$L$12,10,TRUE()),2))</f>
        <v>0</v>
      </c>
      <c r="K7" s="38">
        <f>IF(B7=0,0,ROUND(MIN(B7*D7*VLOOKUP(C7,'ANEXO III'!$B$7:$L$12,11,TRUE()),B7*5%),2))</f>
        <v>0</v>
      </c>
    </row>
    <row r="8" spans="1:11" ht="15.75" customHeight="1" x14ac:dyDescent="0.35">
      <c r="A8" s="39" t="s">
        <v>41</v>
      </c>
      <c r="B8" s="34">
        <v>0</v>
      </c>
      <c r="C8" s="40">
        <f t="shared" ca="1" si="0"/>
        <v>0</v>
      </c>
      <c r="D8" s="41">
        <f ca="1">IF(C8=0,0,ROUND((C8*VLOOKUP(C8,'ANEXO III'!$B$7:$E$12,3,TRUE())-VLOOKUP(C8,'ANEXO III'!$B$7:$E$12,4,TRUE()))/C8,6))</f>
        <v>0</v>
      </c>
      <c r="E8" s="42">
        <f t="shared" si="1"/>
        <v>0</v>
      </c>
      <c r="F8" s="43">
        <f>IF(B8=0,0,ROUND(B8*D8*VLOOKUP(C8,'ANEXO III'!$B$7:$L$12,6,TRUE()),2))</f>
        <v>0</v>
      </c>
      <c r="G8" s="43">
        <f>IF(B8=0,0,ROUND(B8*D8*VLOOKUP(C8,'ANEXO III'!$B$7:$L$12,7,TRUE()),2))</f>
        <v>0</v>
      </c>
      <c r="H8" s="43">
        <f>IF(B8=0,0,ROUND(B8*D8*VLOOKUP(C8,'ANEXO III'!$B$7:$L$12,8,TRUE()),2))</f>
        <v>0</v>
      </c>
      <c r="I8" s="43">
        <f>IF(B8=0,0,ROUND(B8*D8*VLOOKUP(C8,'ANEXO III'!$B$7:$L$12,9,TRUE()),2))</f>
        <v>0</v>
      </c>
      <c r="J8" s="43">
        <f>IF(B8=0,0,ROUND(B8*D8*VLOOKUP(C8,'ANEXO III'!$B$7:$L$12,10,TRUE()),2))</f>
        <v>0</v>
      </c>
      <c r="K8" s="43">
        <f>IF(B8=0,0,ROUND(MIN(B8*D8*VLOOKUP(C8,'ANEXO III'!$B$7:$L$12,11,TRUE()),B8*5%),2))</f>
        <v>0</v>
      </c>
    </row>
    <row r="9" spans="1:11" ht="15.75" customHeight="1" x14ac:dyDescent="0.35">
      <c r="A9" s="33" t="s">
        <v>42</v>
      </c>
      <c r="B9" s="34">
        <v>0</v>
      </c>
      <c r="C9" s="35">
        <f t="shared" ca="1" si="0"/>
        <v>0</v>
      </c>
      <c r="D9" s="36">
        <f ca="1">IF(C9=0,0,ROUND((C9*VLOOKUP(C9,'ANEXO III'!$B$7:$E$12,3,TRUE())-VLOOKUP(C9,'ANEXO III'!$B$7:$E$12,4,TRUE()))/C9,6))</f>
        <v>0</v>
      </c>
      <c r="E9" s="37">
        <f t="shared" si="1"/>
        <v>0</v>
      </c>
      <c r="F9" s="38">
        <f>IF(B9=0,0,ROUND(B9*D9*VLOOKUP(C9,'ANEXO III'!$B$7:$L$12,6,TRUE()),2))</f>
        <v>0</v>
      </c>
      <c r="G9" s="38">
        <f>IF(B9=0,0,ROUND(B9*D9*VLOOKUP(C9,'ANEXO III'!$B$7:$L$12,7,TRUE()),2))</f>
        <v>0</v>
      </c>
      <c r="H9" s="38">
        <f>IF(B9=0,0,ROUND(B9*D9*VLOOKUP(C9,'ANEXO III'!$B$7:$L$12,8,TRUE()),2))</f>
        <v>0</v>
      </c>
      <c r="I9" s="38">
        <f>IF(B9=0,0,ROUND(B9*D9*VLOOKUP(C9,'ANEXO III'!$B$7:$L$12,9,TRUE()),2))</f>
        <v>0</v>
      </c>
      <c r="J9" s="38">
        <f>IF(B9=0,0,ROUND(B9*D9*VLOOKUP(C9,'ANEXO III'!$B$7:$L$12,10,TRUE()),2))</f>
        <v>0</v>
      </c>
      <c r="K9" s="38">
        <f>IF(B9=0,0,ROUND(MIN(B9*D9*VLOOKUP(C9,'ANEXO III'!$B$7:$L$12,11,TRUE()),B9*5%),2))</f>
        <v>0</v>
      </c>
    </row>
    <row r="10" spans="1:11" ht="15.75" customHeight="1" x14ac:dyDescent="0.35">
      <c r="A10" s="39" t="s">
        <v>43</v>
      </c>
      <c r="B10" s="34">
        <v>0</v>
      </c>
      <c r="C10" s="40">
        <f t="shared" ca="1" si="0"/>
        <v>0</v>
      </c>
      <c r="D10" s="41">
        <f ca="1">IF(C10=0,0,ROUND((C10*VLOOKUP(C10,'ANEXO III'!$B$7:$E$12,3,TRUE())-VLOOKUP(C10,'ANEXO III'!$B$7:$E$12,4,TRUE()))/C10,6))</f>
        <v>0</v>
      </c>
      <c r="E10" s="42">
        <f t="shared" si="1"/>
        <v>0</v>
      </c>
      <c r="F10" s="43">
        <f>IF(B10=0,0,ROUND(B10*D10*VLOOKUP(C10,'ANEXO III'!$B$7:$L$12,6,TRUE()),2))</f>
        <v>0</v>
      </c>
      <c r="G10" s="43">
        <f>IF(B10=0,0,ROUND(B10*D10*VLOOKUP(C10,'ANEXO III'!$B$7:$L$12,7,TRUE()),2))</f>
        <v>0</v>
      </c>
      <c r="H10" s="43">
        <f>IF(B10=0,0,ROUND(B10*D10*VLOOKUP(C10,'ANEXO III'!$B$7:$L$12,8,TRUE()),2))</f>
        <v>0</v>
      </c>
      <c r="I10" s="43">
        <f>IF(B10=0,0,ROUND(B10*D10*VLOOKUP(C10,'ANEXO III'!$B$7:$L$12,9,TRUE()),2))</f>
        <v>0</v>
      </c>
      <c r="J10" s="43">
        <f>IF(B10=0,0,ROUND(B10*D10*VLOOKUP(C10,'ANEXO III'!$B$7:$L$12,10,TRUE()),2))</f>
        <v>0</v>
      </c>
      <c r="K10" s="43">
        <f>IF(B10=0,0,ROUND(MIN(B10*D10*VLOOKUP(C10,'ANEXO III'!$B$7:$L$12,11,TRUE()),B10*5%),2))</f>
        <v>0</v>
      </c>
    </row>
    <row r="11" spans="1:11" ht="15.75" customHeight="1" x14ac:dyDescent="0.35">
      <c r="A11" s="33" t="s">
        <v>44</v>
      </c>
      <c r="B11" s="34">
        <v>0</v>
      </c>
      <c r="C11" s="35">
        <f t="shared" ca="1" si="0"/>
        <v>0</v>
      </c>
      <c r="D11" s="36">
        <f ca="1">IF(C11=0,0,ROUND((C11*VLOOKUP(C11,'ANEXO III'!$B$7:$E$12,3,TRUE())-VLOOKUP(C11,'ANEXO III'!$B$7:$E$12,4,TRUE()))/C11,6))</f>
        <v>0</v>
      </c>
      <c r="E11" s="37">
        <f t="shared" si="1"/>
        <v>0</v>
      </c>
      <c r="F11" s="38">
        <f>IF(B11=0,0,ROUND(B11*D11*VLOOKUP(C11,'ANEXO III'!$B$7:$L$12,6,TRUE()),2))</f>
        <v>0</v>
      </c>
      <c r="G11" s="38">
        <f>IF(B11=0,0,ROUND(B11*D11*VLOOKUP(C11,'ANEXO III'!$B$7:$L$12,7,TRUE()),2))</f>
        <v>0</v>
      </c>
      <c r="H11" s="38">
        <f>IF(B11=0,0,ROUND(B11*D11*VLOOKUP(C11,'ANEXO III'!$B$7:$L$12,8,TRUE()),2))</f>
        <v>0</v>
      </c>
      <c r="I11" s="38">
        <f>IF(B11=0,0,ROUND(B11*D11*VLOOKUP(C11,'ANEXO III'!$B$7:$L$12,9,TRUE()),2))</f>
        <v>0</v>
      </c>
      <c r="J11" s="38">
        <f>IF(B11=0,0,ROUND(B11*D11*VLOOKUP(C11,'ANEXO III'!$B$7:$L$12,10,TRUE()),2))</f>
        <v>0</v>
      </c>
      <c r="K11" s="38">
        <f>IF(B11=0,0,ROUND(MIN(B11*D11*VLOOKUP(C11,'ANEXO III'!$B$7:$L$12,11,TRUE()),B11*5%),2))</f>
        <v>0</v>
      </c>
    </row>
    <row r="12" spans="1:11" ht="15.75" customHeight="1" x14ac:dyDescent="0.35">
      <c r="A12" s="39" t="s">
        <v>45</v>
      </c>
      <c r="B12" s="34">
        <v>0</v>
      </c>
      <c r="C12" s="40">
        <f t="shared" ca="1" si="0"/>
        <v>0</v>
      </c>
      <c r="D12" s="41">
        <f ca="1">IF(C12=0,0,ROUND((C12*VLOOKUP(C12,'ANEXO III'!$B$7:$E$12,3,TRUE())-VLOOKUP(C12,'ANEXO III'!$B$7:$E$12,4,TRUE()))/C12,6))</f>
        <v>0</v>
      </c>
      <c r="E12" s="42">
        <f t="shared" si="1"/>
        <v>0</v>
      </c>
      <c r="F12" s="43">
        <f>IF(B12=0,0,ROUND(B12*D12*VLOOKUP(C12,'ANEXO III'!$B$7:$L$12,6,TRUE()),2))</f>
        <v>0</v>
      </c>
      <c r="G12" s="43">
        <f>IF(B12=0,0,ROUND(B12*D12*VLOOKUP(C12,'ANEXO III'!$B$7:$L$12,7,TRUE()),2))</f>
        <v>0</v>
      </c>
      <c r="H12" s="43">
        <f>IF(B12=0,0,ROUND(B12*D12*VLOOKUP(C12,'ANEXO III'!$B$7:$L$12,8,TRUE()),2))</f>
        <v>0</v>
      </c>
      <c r="I12" s="43">
        <f>IF(B12=0,0,ROUND(B12*D12*VLOOKUP(C12,'ANEXO III'!$B$7:$L$12,9,TRUE()),2))</f>
        <v>0</v>
      </c>
      <c r="J12" s="43">
        <f>IF(B12=0,0,ROUND(B12*D12*VLOOKUP(C12,'ANEXO III'!$B$7:$L$12,10,TRUE()),2))</f>
        <v>0</v>
      </c>
      <c r="K12" s="43">
        <f>IF(B12=0,0,ROUND(MIN(B12*D12*VLOOKUP(C12,'ANEXO III'!$B$7:$L$12,11,TRUE()),B12*5%),2))</f>
        <v>0</v>
      </c>
    </row>
    <row r="13" spans="1:11" ht="15.75" customHeight="1" x14ac:dyDescent="0.35">
      <c r="A13" s="33" t="s">
        <v>46</v>
      </c>
      <c r="B13" s="34">
        <v>0</v>
      </c>
      <c r="C13" s="35">
        <f t="shared" ca="1" si="0"/>
        <v>0</v>
      </c>
      <c r="D13" s="36">
        <f ca="1">IF(C13=0,0,ROUND((C13*VLOOKUP(C13,'ANEXO III'!$B$7:$E$12,3,TRUE())-VLOOKUP(C13,'ANEXO III'!$B$7:$E$12,4,TRUE()))/C13,6))</f>
        <v>0</v>
      </c>
      <c r="E13" s="37">
        <f t="shared" si="1"/>
        <v>0</v>
      </c>
      <c r="F13" s="38">
        <f>IF(B13=0,0,ROUND(B13*D13*VLOOKUP(C13,'ANEXO III'!$B$7:$L$12,6,TRUE()),2))</f>
        <v>0</v>
      </c>
      <c r="G13" s="38">
        <f>IF(B13=0,0,ROUND(B13*D13*VLOOKUP(C13,'ANEXO III'!$B$7:$L$12,7,TRUE()),2))</f>
        <v>0</v>
      </c>
      <c r="H13" s="38">
        <f>IF(B13=0,0,ROUND(B13*D13*VLOOKUP(C13,'ANEXO III'!$B$7:$L$12,8,TRUE()),2))</f>
        <v>0</v>
      </c>
      <c r="I13" s="38">
        <f>IF(B13=0,0,ROUND(B13*D13*VLOOKUP(C13,'ANEXO III'!$B$7:$L$12,9,TRUE()),2))</f>
        <v>0</v>
      </c>
      <c r="J13" s="38">
        <f>IF(B13=0,0,ROUND(B13*D13*VLOOKUP(C13,'ANEXO III'!$B$7:$L$12,10,TRUE()),2))</f>
        <v>0</v>
      </c>
      <c r="K13" s="38">
        <f>IF(B13=0,0,ROUND(MIN(B13*D13*VLOOKUP(C13,'ANEXO III'!$B$7:$L$12,11,TRUE()),B13*5%),2))</f>
        <v>0</v>
      </c>
    </row>
    <row r="14" spans="1:11" ht="15.75" customHeight="1" x14ac:dyDescent="0.35">
      <c r="A14" s="39" t="s">
        <v>47</v>
      </c>
      <c r="B14" s="34">
        <v>0</v>
      </c>
      <c r="C14" s="40">
        <f t="shared" ca="1" si="0"/>
        <v>0</v>
      </c>
      <c r="D14" s="41">
        <f ca="1">IF(C14=0,0,ROUND((C14*VLOOKUP(C14,'ANEXO III'!$B$7:$E$12,3,TRUE())-VLOOKUP(C14,'ANEXO III'!$B$7:$E$12,4,TRUE()))/C14,6))</f>
        <v>0</v>
      </c>
      <c r="E14" s="42">
        <f t="shared" si="1"/>
        <v>0</v>
      </c>
      <c r="F14" s="43">
        <f>IF(B14=0,0,ROUND(B14*D14*VLOOKUP(C14,'ANEXO III'!$B$7:$L$12,6,TRUE()),2))</f>
        <v>0</v>
      </c>
      <c r="G14" s="43">
        <f>IF(B14=0,0,ROUND(B14*D14*VLOOKUP(C14,'ANEXO III'!$B$7:$L$12,7,TRUE()),2))</f>
        <v>0</v>
      </c>
      <c r="H14" s="43">
        <f>IF(B14=0,0,ROUND(B14*D14*VLOOKUP(C14,'ANEXO III'!$B$7:$L$12,8,TRUE()),2))</f>
        <v>0</v>
      </c>
      <c r="I14" s="43">
        <f>IF(B14=0,0,ROUND(B14*D14*VLOOKUP(C14,'ANEXO III'!$B$7:$L$12,9,TRUE()),2))</f>
        <v>0</v>
      </c>
      <c r="J14" s="43">
        <f>IF(B14=0,0,ROUND(B14*D14*VLOOKUP(C14,'ANEXO III'!$B$7:$L$12,10,TRUE()),2))</f>
        <v>0</v>
      </c>
      <c r="K14" s="43">
        <f>IF(B14=0,0,ROUND(MIN(B14*D14*VLOOKUP(C14,'ANEXO III'!$B$7:$L$12,11,TRUE()),B14*5%),2))</f>
        <v>0</v>
      </c>
    </row>
    <row r="15" spans="1:11" ht="15.75" customHeight="1" x14ac:dyDescent="0.35">
      <c r="A15" s="33" t="s">
        <v>48</v>
      </c>
      <c r="B15" s="34">
        <v>0</v>
      </c>
      <c r="C15" s="35">
        <f t="shared" ca="1" si="0"/>
        <v>0</v>
      </c>
      <c r="D15" s="36">
        <f ca="1">IF(C15=0,0,ROUND((C15*VLOOKUP(C15,'ANEXO III'!$B$7:$E$12,3,TRUE())-VLOOKUP(C15,'ANEXO III'!$B$7:$E$12,4,TRUE()))/C15,6))</f>
        <v>0</v>
      </c>
      <c r="E15" s="37">
        <f t="shared" si="1"/>
        <v>0</v>
      </c>
      <c r="F15" s="38">
        <f>IF(B15=0,0,ROUND(B15*D15*VLOOKUP(C15,'ANEXO III'!$B$7:$L$12,6,TRUE()),2))</f>
        <v>0</v>
      </c>
      <c r="G15" s="38">
        <f>IF(B15=0,0,ROUND(B15*D15*VLOOKUP(C15,'ANEXO III'!$B$7:$L$12,7,TRUE()),2))</f>
        <v>0</v>
      </c>
      <c r="H15" s="38">
        <f>IF(B15=0,0,ROUND(B15*D15*VLOOKUP(C15,'ANEXO III'!$B$7:$L$12,8,TRUE()),2))</f>
        <v>0</v>
      </c>
      <c r="I15" s="38">
        <f>IF(B15=0,0,ROUND(B15*D15*VLOOKUP(C15,'ANEXO III'!$B$7:$L$12,9,TRUE()),2))</f>
        <v>0</v>
      </c>
      <c r="J15" s="38">
        <f>IF(B15=0,0,ROUND(B15*D15*VLOOKUP(C15,'ANEXO III'!$B$7:$L$12,10,TRUE()),2))</f>
        <v>0</v>
      </c>
      <c r="K15" s="38">
        <f>IF(B15=0,0,ROUND(MIN(B15*D15*VLOOKUP(C15,'ANEXO III'!$B$7:$L$12,11,TRUE()),B15*5%),2))</f>
        <v>0</v>
      </c>
    </row>
    <row r="16" spans="1:11" ht="15.75" customHeight="1" x14ac:dyDescent="0.35">
      <c r="A16" s="39" t="s">
        <v>49</v>
      </c>
      <c r="B16" s="34">
        <v>0</v>
      </c>
      <c r="C16" s="40">
        <f t="shared" ca="1" si="0"/>
        <v>0</v>
      </c>
      <c r="D16" s="41">
        <f ca="1">IF(C16=0,0,ROUND((C16*VLOOKUP(C16,'ANEXO III'!$B$7:$E$12,3,TRUE())-VLOOKUP(C16,'ANEXO III'!$B$7:$E$12,4,TRUE()))/C16,6))</f>
        <v>0</v>
      </c>
      <c r="E16" s="42">
        <f t="shared" si="1"/>
        <v>0</v>
      </c>
      <c r="F16" s="43">
        <f>IF(B16=0,0,ROUND(B16*D16*VLOOKUP(C16,'ANEXO III'!$B$7:$L$12,6,TRUE()),2))</f>
        <v>0</v>
      </c>
      <c r="G16" s="43">
        <f>IF(B16=0,0,ROUND(B16*D16*VLOOKUP(C16,'ANEXO III'!$B$7:$L$12,7,TRUE()),2))</f>
        <v>0</v>
      </c>
      <c r="H16" s="43">
        <f>IF(B16=0,0,ROUND(B16*D16*VLOOKUP(C16,'ANEXO III'!$B$7:$L$12,8,TRUE()),2))</f>
        <v>0</v>
      </c>
      <c r="I16" s="43">
        <f>IF(B16=0,0,ROUND(B16*D16*VLOOKUP(C16,'ANEXO III'!$B$7:$L$12,9,TRUE()),2))</f>
        <v>0</v>
      </c>
      <c r="J16" s="43">
        <f>IF(B16=0,0,ROUND(B16*D16*VLOOKUP(C16,'ANEXO III'!$B$7:$L$12,10,TRUE()),2))</f>
        <v>0</v>
      </c>
      <c r="K16" s="43">
        <f>IF(B16=0,0,ROUND(MIN(B16*D16*VLOOKUP(C16,'ANEXO III'!$B$7:$L$12,11,TRUE()),B16*5%),2))</f>
        <v>0</v>
      </c>
    </row>
    <row r="17" spans="1:11" ht="15.75" customHeight="1" x14ac:dyDescent="0.35">
      <c r="A17" s="58" t="s">
        <v>50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</row>
    <row r="18" spans="1:11" ht="15.75" customHeight="1" x14ac:dyDescent="0.35">
      <c r="A18" s="33" t="s">
        <v>51</v>
      </c>
      <c r="B18" s="34">
        <v>0</v>
      </c>
      <c r="C18" s="35">
        <f t="shared" ref="C18:C29" ca="1" si="2">SUM(INDIRECT("B"&amp;MAX(5,ROW()-11)&amp;":B"&amp;ROW()))</f>
        <v>0</v>
      </c>
      <c r="D18" s="36">
        <f ca="1">IF(C18=0,0,ROUND((C18*VLOOKUP(C18,'ANEXO III'!$B$7:$E$12,3,TRUE())-VLOOKUP(C18,'ANEXO III'!$B$7:$E$12,4,TRUE()))/C18,6))</f>
        <v>0</v>
      </c>
      <c r="E18" s="37">
        <f t="shared" ref="E18:E29" si="3">ROUND(SUM(F18:K18),2)</f>
        <v>0</v>
      </c>
      <c r="F18" s="38">
        <f>IF(B18=0,0,ROUND(B18*D18*VLOOKUP(C18,'ANEXO III'!$B$7:$L$12,6,TRUE()),2))</f>
        <v>0</v>
      </c>
      <c r="G18" s="38">
        <f>IF(B18=0,0,ROUND(B18*D18*VLOOKUP(C18,'ANEXO III'!$B$7:$L$12,7,TRUE()),2))</f>
        <v>0</v>
      </c>
      <c r="H18" s="38">
        <f>IF(B18=0,0,ROUND(B18*D18*VLOOKUP(C18,'ANEXO III'!$B$7:$L$12,8,TRUE()),2))</f>
        <v>0</v>
      </c>
      <c r="I18" s="38">
        <f>IF(B18=0,0,ROUND(B18*D18*VLOOKUP(C18,'ANEXO III'!$B$7:$L$12,9,TRUE()),2))</f>
        <v>0</v>
      </c>
      <c r="J18" s="38">
        <f>IF(B18=0,0,ROUND(B18*D18*VLOOKUP(C18,'ANEXO III'!$B$7:$L$12,10,TRUE()),2))</f>
        <v>0</v>
      </c>
      <c r="K18" s="38">
        <f>IF(B18=0,0,ROUND(MIN(B18*D18*VLOOKUP(C18,'ANEXO III'!$B$7:$L$12,11,TRUE()),B18*5%),2))</f>
        <v>0</v>
      </c>
    </row>
    <row r="19" spans="1:11" ht="15.75" customHeight="1" x14ac:dyDescent="0.35">
      <c r="A19" s="39" t="s">
        <v>52</v>
      </c>
      <c r="B19" s="34">
        <v>0</v>
      </c>
      <c r="C19" s="40">
        <f t="shared" ca="1" si="2"/>
        <v>0</v>
      </c>
      <c r="D19" s="41">
        <f ca="1">IF(C19=0,0,ROUND((C19*VLOOKUP(C19,'ANEXO III'!$B$7:$E$12,3,TRUE())-VLOOKUP(C19,'ANEXO III'!$B$7:$E$12,4,TRUE()))/C19,6))</f>
        <v>0</v>
      </c>
      <c r="E19" s="42">
        <f t="shared" si="3"/>
        <v>0</v>
      </c>
      <c r="F19" s="43">
        <f>IF(B19=0,0,ROUND(B19*D19*VLOOKUP(C19,'ANEXO III'!$B$7:$L$12,6,TRUE()),2))</f>
        <v>0</v>
      </c>
      <c r="G19" s="43">
        <f>IF(B19=0,0,ROUND(B19*D19*VLOOKUP(C19,'ANEXO III'!$B$7:$L$12,7,TRUE()),2))</f>
        <v>0</v>
      </c>
      <c r="H19" s="43">
        <f>IF(B19=0,0,ROUND(B19*D19*VLOOKUP(C19,'ANEXO III'!$B$7:$L$12,8,TRUE()),2))</f>
        <v>0</v>
      </c>
      <c r="I19" s="43">
        <f>IF(B19=0,0,ROUND(B19*D19*VLOOKUP(C19,'ANEXO III'!$B$7:$L$12,9,TRUE()),2))</f>
        <v>0</v>
      </c>
      <c r="J19" s="43">
        <f>IF(B19=0,0,ROUND(B19*D19*VLOOKUP(C19,'ANEXO III'!$B$7:$L$12,10,TRUE()),2))</f>
        <v>0</v>
      </c>
      <c r="K19" s="43">
        <f>IF(B19=0,0,ROUND(MIN(B19*D19*VLOOKUP(C19,'ANEXO III'!$B$7:$L$12,11,TRUE()),B19*5%),2))</f>
        <v>0</v>
      </c>
    </row>
    <row r="20" spans="1:11" ht="15.75" customHeight="1" x14ac:dyDescent="0.35">
      <c r="A20" s="33" t="s">
        <v>53</v>
      </c>
      <c r="B20" s="34">
        <v>0</v>
      </c>
      <c r="C20" s="35">
        <f t="shared" ca="1" si="2"/>
        <v>0</v>
      </c>
      <c r="D20" s="36">
        <f ca="1">IF(C20=0,0,ROUND((C20*VLOOKUP(C20,'ANEXO III'!$B$7:$E$12,3,TRUE())-VLOOKUP(C20,'ANEXO III'!$B$7:$E$12,4,TRUE()))/C20,6))</f>
        <v>0</v>
      </c>
      <c r="E20" s="37">
        <f t="shared" si="3"/>
        <v>0</v>
      </c>
      <c r="F20" s="38">
        <f>IF(B20=0,0,ROUND(B20*D20*VLOOKUP(C20,'ANEXO III'!$B$7:$L$12,6,TRUE()),2))</f>
        <v>0</v>
      </c>
      <c r="G20" s="38">
        <f>IF(B20=0,0,ROUND(B20*D20*VLOOKUP(C20,'ANEXO III'!$B$7:$L$12,7,TRUE()),2))</f>
        <v>0</v>
      </c>
      <c r="H20" s="38">
        <f>IF(B20=0,0,ROUND(B20*D20*VLOOKUP(C20,'ANEXO III'!$B$7:$L$12,8,TRUE()),2))</f>
        <v>0</v>
      </c>
      <c r="I20" s="38">
        <f>IF(B20=0,0,ROUND(B20*D20*VLOOKUP(C20,'ANEXO III'!$B$7:$L$12,9,TRUE()),2))</f>
        <v>0</v>
      </c>
      <c r="J20" s="38">
        <f>IF(B20=0,0,ROUND(B20*D20*VLOOKUP(C20,'ANEXO III'!$B$7:$L$12,10,TRUE()),2))</f>
        <v>0</v>
      </c>
      <c r="K20" s="38">
        <f>IF(B20=0,0,ROUND(MIN(B20*D20*VLOOKUP(C20,'ANEXO III'!$B$7:$L$12,11,TRUE()),B20*5%),2))</f>
        <v>0</v>
      </c>
    </row>
    <row r="21" spans="1:11" ht="15.75" customHeight="1" x14ac:dyDescent="0.35">
      <c r="A21" s="39" t="s">
        <v>54</v>
      </c>
      <c r="B21" s="34">
        <v>0</v>
      </c>
      <c r="C21" s="40">
        <f t="shared" ca="1" si="2"/>
        <v>0</v>
      </c>
      <c r="D21" s="41">
        <f ca="1">IF(C21=0,0,ROUND((C21*VLOOKUP(C21,'ANEXO III'!$B$7:$E$12,3,TRUE())-VLOOKUP(C21,'ANEXO III'!$B$7:$E$12,4,TRUE()))/C21,6))</f>
        <v>0</v>
      </c>
      <c r="E21" s="42">
        <f t="shared" si="3"/>
        <v>0</v>
      </c>
      <c r="F21" s="43">
        <f>IF(B21=0,0,ROUND(B21*D21*VLOOKUP(C21,'ANEXO III'!$B$7:$L$12,6,TRUE()),2))</f>
        <v>0</v>
      </c>
      <c r="G21" s="43">
        <f>IF(B21=0,0,ROUND(B21*D21*VLOOKUP(C21,'ANEXO III'!$B$7:$L$12,7,TRUE()),2))</f>
        <v>0</v>
      </c>
      <c r="H21" s="43">
        <f>IF(B21=0,0,ROUND(B21*D21*VLOOKUP(C21,'ANEXO III'!$B$7:$L$12,8,TRUE()),2))</f>
        <v>0</v>
      </c>
      <c r="I21" s="43">
        <f>IF(B21=0,0,ROUND(B21*D21*VLOOKUP(C21,'ANEXO III'!$B$7:$L$12,9,TRUE()),2))</f>
        <v>0</v>
      </c>
      <c r="J21" s="43">
        <f>IF(B21=0,0,ROUND(B21*D21*VLOOKUP(C21,'ANEXO III'!$B$7:$L$12,10,TRUE()),2))</f>
        <v>0</v>
      </c>
      <c r="K21" s="43">
        <f>IF(B21=0,0,ROUND(MIN(B21*D21*VLOOKUP(C21,'ANEXO III'!$B$7:$L$12,11,TRUE()),B21*5%),2))</f>
        <v>0</v>
      </c>
    </row>
    <row r="22" spans="1:11" ht="15.75" customHeight="1" x14ac:dyDescent="0.35">
      <c r="A22" s="33" t="s">
        <v>55</v>
      </c>
      <c r="B22" s="34">
        <v>0</v>
      </c>
      <c r="C22" s="35">
        <f t="shared" ca="1" si="2"/>
        <v>0</v>
      </c>
      <c r="D22" s="36">
        <f ca="1">IF(C22=0,0,ROUND((C22*VLOOKUP(C22,'ANEXO III'!$B$7:$E$12,3,TRUE())-VLOOKUP(C22,'ANEXO III'!$B$7:$E$12,4,TRUE()))/C22,6))</f>
        <v>0</v>
      </c>
      <c r="E22" s="37">
        <f t="shared" si="3"/>
        <v>0</v>
      </c>
      <c r="F22" s="38">
        <f>IF(B22=0,0,ROUND(B22*D22*VLOOKUP(C22,'ANEXO III'!$B$7:$L$12,6,TRUE()),2))</f>
        <v>0</v>
      </c>
      <c r="G22" s="38">
        <f>IF(B22=0,0,ROUND(B22*D22*VLOOKUP(C22,'ANEXO III'!$B$7:$L$12,7,TRUE()),2))</f>
        <v>0</v>
      </c>
      <c r="H22" s="38">
        <f>IF(B22=0,0,ROUND(B22*D22*VLOOKUP(C22,'ANEXO III'!$B$7:$L$12,8,TRUE()),2))</f>
        <v>0</v>
      </c>
      <c r="I22" s="38">
        <f>IF(B22=0,0,ROUND(B22*D22*VLOOKUP(C22,'ANEXO III'!$B$7:$L$12,9,TRUE()),2))</f>
        <v>0</v>
      </c>
      <c r="J22" s="38">
        <f>IF(B22=0,0,ROUND(B22*D22*VLOOKUP(C22,'ANEXO III'!$B$7:$L$12,10,TRUE()),2))</f>
        <v>0</v>
      </c>
      <c r="K22" s="38">
        <f>IF(B22=0,0,ROUND(MIN(B22*D22*VLOOKUP(C22,'ANEXO III'!$B$7:$L$12,11,TRUE()),B22*5%),2))</f>
        <v>0</v>
      </c>
    </row>
    <row r="23" spans="1:11" ht="15.75" customHeight="1" x14ac:dyDescent="0.35">
      <c r="A23" s="39" t="s">
        <v>56</v>
      </c>
      <c r="B23" s="34">
        <v>0</v>
      </c>
      <c r="C23" s="40">
        <f t="shared" ca="1" si="2"/>
        <v>0</v>
      </c>
      <c r="D23" s="41">
        <f ca="1">IF(C23=0,0,ROUND((C23*VLOOKUP(C23,'ANEXO III'!$B$7:$E$12,3,TRUE())-VLOOKUP(C23,'ANEXO III'!$B$7:$E$12,4,TRUE()))/C23,6))</f>
        <v>0</v>
      </c>
      <c r="E23" s="42">
        <f t="shared" si="3"/>
        <v>0</v>
      </c>
      <c r="F23" s="43">
        <f>IF(B23=0,0,ROUND(B23*D23*VLOOKUP(C23,'ANEXO III'!$B$7:$L$12,6,TRUE()),2))</f>
        <v>0</v>
      </c>
      <c r="G23" s="43">
        <f>IF(B23=0,0,ROUND(B23*D23*VLOOKUP(C23,'ANEXO III'!$B$7:$L$12,7,TRUE()),2))</f>
        <v>0</v>
      </c>
      <c r="H23" s="43">
        <f>IF(B23=0,0,ROUND(B23*D23*VLOOKUP(C23,'ANEXO III'!$B$7:$L$12,8,TRUE()),2))</f>
        <v>0</v>
      </c>
      <c r="I23" s="43">
        <f>IF(B23=0,0,ROUND(B23*D23*VLOOKUP(C23,'ANEXO III'!$B$7:$L$12,9,TRUE()),2))</f>
        <v>0</v>
      </c>
      <c r="J23" s="43">
        <f>IF(B23=0,0,ROUND(B23*D23*VLOOKUP(C23,'ANEXO III'!$B$7:$L$12,10,TRUE()),2))</f>
        <v>0</v>
      </c>
      <c r="K23" s="43">
        <f>IF(B23=0,0,ROUND(MIN(B23*D23*VLOOKUP(C23,'ANEXO III'!$B$7:$L$12,11,TRUE()),B23*5%),2))</f>
        <v>0</v>
      </c>
    </row>
    <row r="24" spans="1:11" ht="15.75" customHeight="1" x14ac:dyDescent="0.35">
      <c r="A24" s="33" t="s">
        <v>57</v>
      </c>
      <c r="B24" s="34">
        <v>0</v>
      </c>
      <c r="C24" s="35">
        <f t="shared" ca="1" si="2"/>
        <v>0</v>
      </c>
      <c r="D24" s="36">
        <f ca="1">IF(C24=0,0,ROUND((C24*VLOOKUP(C24,'ANEXO III'!$B$7:$E$12,3,TRUE())-VLOOKUP(C24,'ANEXO III'!$B$7:$E$12,4,TRUE()))/C24,6))</f>
        <v>0</v>
      </c>
      <c r="E24" s="37">
        <f t="shared" si="3"/>
        <v>0</v>
      </c>
      <c r="F24" s="38">
        <f>IF(B24=0,0,ROUND(B24*D24*VLOOKUP(C24,'ANEXO III'!$B$7:$L$12,6,TRUE()),2))</f>
        <v>0</v>
      </c>
      <c r="G24" s="38">
        <f>IF(B24=0,0,ROUND(B24*D24*VLOOKUP(C24,'ANEXO III'!$B$7:$L$12,7,TRUE()),2))</f>
        <v>0</v>
      </c>
      <c r="H24" s="38">
        <f>IF(B24=0,0,ROUND(B24*D24*VLOOKUP(C24,'ANEXO III'!$B$7:$L$12,8,TRUE()),2))</f>
        <v>0</v>
      </c>
      <c r="I24" s="38">
        <f>IF(B24=0,0,ROUND(B24*D24*VLOOKUP(C24,'ANEXO III'!$B$7:$L$12,9,TRUE()),2))</f>
        <v>0</v>
      </c>
      <c r="J24" s="38">
        <f>IF(B24=0,0,ROUND(B24*D24*VLOOKUP(C24,'ANEXO III'!$B$7:$L$12,10,TRUE()),2))</f>
        <v>0</v>
      </c>
      <c r="K24" s="38">
        <f>IF(B24=0,0,ROUND(MIN(B24*D24*VLOOKUP(C24,'ANEXO III'!$B$7:$L$12,11,TRUE()),B24*5%),2))</f>
        <v>0</v>
      </c>
    </row>
    <row r="25" spans="1:11" ht="15.75" customHeight="1" x14ac:dyDescent="0.35">
      <c r="A25" s="39" t="s">
        <v>58</v>
      </c>
      <c r="B25" s="34">
        <v>0</v>
      </c>
      <c r="C25" s="40">
        <f t="shared" ca="1" si="2"/>
        <v>0</v>
      </c>
      <c r="D25" s="41">
        <f ca="1">IF(C25=0,0,ROUND((C25*VLOOKUP(C25,'ANEXO III'!$B$7:$E$12,3,TRUE())-VLOOKUP(C25,'ANEXO III'!$B$7:$E$12,4,TRUE()))/C25,6))</f>
        <v>0</v>
      </c>
      <c r="E25" s="42">
        <f t="shared" si="3"/>
        <v>0</v>
      </c>
      <c r="F25" s="43">
        <f>IF(B25=0,0,ROUND(B25*D25*VLOOKUP(C25,'ANEXO III'!$B$7:$L$12,6,TRUE()),2))</f>
        <v>0</v>
      </c>
      <c r="G25" s="43">
        <f>IF(B25=0,0,ROUND(B25*D25*VLOOKUP(C25,'ANEXO III'!$B$7:$L$12,7,TRUE()),2))</f>
        <v>0</v>
      </c>
      <c r="H25" s="43">
        <f>IF(B25=0,0,ROUND(B25*D25*VLOOKUP(C25,'ANEXO III'!$B$7:$L$12,8,TRUE()),2))</f>
        <v>0</v>
      </c>
      <c r="I25" s="43">
        <f>IF(B25=0,0,ROUND(B25*D25*VLOOKUP(C25,'ANEXO III'!$B$7:$L$12,9,TRUE()),2))</f>
        <v>0</v>
      </c>
      <c r="J25" s="43">
        <f>IF(B25=0,0,ROUND(B25*D25*VLOOKUP(C25,'ANEXO III'!$B$7:$L$12,10,TRUE()),2))</f>
        <v>0</v>
      </c>
      <c r="K25" s="43">
        <f>IF(B25=0,0,ROUND(MIN(B25*D25*VLOOKUP(C25,'ANEXO III'!$B$7:$L$12,11,TRUE()),B25*5%),2))</f>
        <v>0</v>
      </c>
    </row>
    <row r="26" spans="1:11" ht="15.75" customHeight="1" x14ac:dyDescent="0.35">
      <c r="A26" s="33" t="s">
        <v>59</v>
      </c>
      <c r="B26" s="34">
        <v>0</v>
      </c>
      <c r="C26" s="35">
        <f t="shared" ca="1" si="2"/>
        <v>0</v>
      </c>
      <c r="D26" s="36">
        <f ca="1">IF(C26=0,0,ROUND((C26*VLOOKUP(C26,'ANEXO III'!$B$7:$E$12,3,TRUE())-VLOOKUP(C26,'ANEXO III'!$B$7:$E$12,4,TRUE()))/C26,6))</f>
        <v>0</v>
      </c>
      <c r="E26" s="37">
        <f t="shared" si="3"/>
        <v>0</v>
      </c>
      <c r="F26" s="38">
        <f>IF(B26=0,0,ROUND(B26*D26*VLOOKUP(C26,'ANEXO III'!$B$7:$L$12,6,TRUE()),2))</f>
        <v>0</v>
      </c>
      <c r="G26" s="38">
        <f>IF(B26=0,0,ROUND(B26*D26*VLOOKUP(C26,'ANEXO III'!$B$7:$L$12,7,TRUE()),2))</f>
        <v>0</v>
      </c>
      <c r="H26" s="38">
        <f>IF(B26=0,0,ROUND(B26*D26*VLOOKUP(C26,'ANEXO III'!$B$7:$L$12,8,TRUE()),2))</f>
        <v>0</v>
      </c>
      <c r="I26" s="38">
        <f>IF(B26=0,0,ROUND(B26*D26*VLOOKUP(C26,'ANEXO III'!$B$7:$L$12,9,TRUE()),2))</f>
        <v>0</v>
      </c>
      <c r="J26" s="38">
        <f>IF(B26=0,0,ROUND(B26*D26*VLOOKUP(C26,'ANEXO III'!$B$7:$L$12,10,TRUE()),2))</f>
        <v>0</v>
      </c>
      <c r="K26" s="38">
        <f>IF(B26=0,0,ROUND(MIN(B26*D26*VLOOKUP(C26,'ANEXO III'!$B$7:$L$12,11,TRUE()),B26*5%),2))</f>
        <v>0</v>
      </c>
    </row>
    <row r="27" spans="1:11" ht="15.75" customHeight="1" x14ac:dyDescent="0.35">
      <c r="A27" s="39" t="s">
        <v>60</v>
      </c>
      <c r="B27" s="34">
        <v>0</v>
      </c>
      <c r="C27" s="40">
        <f t="shared" ca="1" si="2"/>
        <v>0</v>
      </c>
      <c r="D27" s="41">
        <f ca="1">IF(C27=0,0,ROUND((C27*VLOOKUP(C27,'ANEXO III'!$B$7:$E$12,3,TRUE())-VLOOKUP(C27,'ANEXO III'!$B$7:$E$12,4,TRUE()))/C27,6))</f>
        <v>0</v>
      </c>
      <c r="E27" s="42">
        <f t="shared" si="3"/>
        <v>0</v>
      </c>
      <c r="F27" s="43">
        <f>IF(B27=0,0,ROUND(B27*D27*VLOOKUP(C27,'ANEXO III'!$B$7:$L$12,6,TRUE()),2))</f>
        <v>0</v>
      </c>
      <c r="G27" s="43">
        <f>IF(B27=0,0,ROUND(B27*D27*VLOOKUP(C27,'ANEXO III'!$B$7:$L$12,7,TRUE()),2))</f>
        <v>0</v>
      </c>
      <c r="H27" s="43">
        <f>IF(B27=0,0,ROUND(B27*D27*VLOOKUP(C27,'ANEXO III'!$B$7:$L$12,8,TRUE()),2))</f>
        <v>0</v>
      </c>
      <c r="I27" s="43">
        <f>IF(B27=0,0,ROUND(B27*D27*VLOOKUP(C27,'ANEXO III'!$B$7:$L$12,9,TRUE()),2))</f>
        <v>0</v>
      </c>
      <c r="J27" s="43">
        <f>IF(B27=0,0,ROUND(B27*D27*VLOOKUP(C27,'ANEXO III'!$B$7:$L$12,10,TRUE()),2))</f>
        <v>0</v>
      </c>
      <c r="K27" s="43">
        <f>IF(B27=0,0,ROUND(MIN(B27*D27*VLOOKUP(C27,'ANEXO III'!$B$7:$L$12,11,TRUE()),B27*5%),2))</f>
        <v>0</v>
      </c>
    </row>
    <row r="28" spans="1:11" ht="15.75" customHeight="1" x14ac:dyDescent="0.35">
      <c r="A28" s="33" t="s">
        <v>61</v>
      </c>
      <c r="B28" s="34">
        <v>0</v>
      </c>
      <c r="C28" s="35">
        <f t="shared" ca="1" si="2"/>
        <v>0</v>
      </c>
      <c r="D28" s="36">
        <f ca="1">IF(C28=0,0,ROUND((C28*VLOOKUP(C28,'ANEXO III'!$B$7:$E$12,3,TRUE())-VLOOKUP(C28,'ANEXO III'!$B$7:$E$12,4,TRUE()))/C28,6))</f>
        <v>0</v>
      </c>
      <c r="E28" s="37">
        <f t="shared" si="3"/>
        <v>0</v>
      </c>
      <c r="F28" s="38">
        <f>IF(B28=0,0,ROUND(B28*D28*VLOOKUP(C28,'ANEXO III'!$B$7:$L$12,6,TRUE()),2))</f>
        <v>0</v>
      </c>
      <c r="G28" s="38">
        <f>IF(B28=0,0,ROUND(B28*D28*VLOOKUP(C28,'ANEXO III'!$B$7:$L$12,7,TRUE()),2))</f>
        <v>0</v>
      </c>
      <c r="H28" s="38">
        <f>IF(B28=0,0,ROUND(B28*D28*VLOOKUP(C28,'ANEXO III'!$B$7:$L$12,8,TRUE()),2))</f>
        <v>0</v>
      </c>
      <c r="I28" s="38">
        <f>IF(B28=0,0,ROUND(B28*D28*VLOOKUP(C28,'ANEXO III'!$B$7:$L$12,9,TRUE()),2))</f>
        <v>0</v>
      </c>
      <c r="J28" s="38">
        <f>IF(B28=0,0,ROUND(B28*D28*VLOOKUP(C28,'ANEXO III'!$B$7:$L$12,10,TRUE()),2))</f>
        <v>0</v>
      </c>
      <c r="K28" s="38">
        <f>IF(B28=0,0,ROUND(MIN(B28*D28*VLOOKUP(C28,'ANEXO III'!$B$7:$L$12,11,TRUE()),B28*5%),2))</f>
        <v>0</v>
      </c>
    </row>
    <row r="29" spans="1:11" ht="15.75" customHeight="1" x14ac:dyDescent="0.35">
      <c r="A29" s="39" t="s">
        <v>62</v>
      </c>
      <c r="B29" s="34">
        <v>0</v>
      </c>
      <c r="C29" s="40">
        <f t="shared" ca="1" si="2"/>
        <v>0</v>
      </c>
      <c r="D29" s="41">
        <f ca="1">IF(C29=0,0,ROUND((C29*VLOOKUP(C29,'ANEXO III'!$B$7:$E$12,3,TRUE())-VLOOKUP(C29,'ANEXO III'!$B$7:$E$12,4,TRUE()))/C29,6))</f>
        <v>0</v>
      </c>
      <c r="E29" s="42">
        <f t="shared" si="3"/>
        <v>0</v>
      </c>
      <c r="F29" s="43">
        <f>IF(B29=0,0,ROUND(B29*D29*VLOOKUP(C29,'ANEXO III'!$B$7:$L$12,6,TRUE()),2))</f>
        <v>0</v>
      </c>
      <c r="G29" s="43">
        <f>IF(B29=0,0,ROUND(B29*D29*VLOOKUP(C29,'ANEXO III'!$B$7:$L$12,7,TRUE()),2))</f>
        <v>0</v>
      </c>
      <c r="H29" s="43">
        <f>IF(B29=0,0,ROUND(B29*D29*VLOOKUP(C29,'ANEXO III'!$B$7:$L$12,8,TRUE()),2))</f>
        <v>0</v>
      </c>
      <c r="I29" s="43">
        <f>IF(B29=0,0,ROUND(B29*D29*VLOOKUP(C29,'ANEXO III'!$B$7:$L$12,9,TRUE()),2))</f>
        <v>0</v>
      </c>
      <c r="J29" s="43">
        <f>IF(B29=0,0,ROUND(B29*D29*VLOOKUP(C29,'ANEXO III'!$B$7:$L$12,10,TRUE()),2))</f>
        <v>0</v>
      </c>
      <c r="K29" s="43">
        <f>IF(B29=0,0,ROUND(MIN(B29*D29*VLOOKUP(C29,'ANEXO III'!$B$7:$L$12,11,TRUE()),B29*5%),2))</f>
        <v>0</v>
      </c>
    </row>
    <row r="31" spans="1:11" ht="18" customHeight="1" x14ac:dyDescent="0.35">
      <c r="A31" s="44" t="s">
        <v>63</v>
      </c>
      <c r="B31" s="45">
        <f>SUM(B5:B16,B18:B29)</f>
        <v>0</v>
      </c>
      <c r="C31" s="46"/>
      <c r="D31" s="46"/>
      <c r="E31" s="45">
        <f t="shared" ref="E31:K31" si="4">SUM(E5:E16,E18:E29)</f>
        <v>0</v>
      </c>
      <c r="F31" s="45">
        <f t="shared" si="4"/>
        <v>0</v>
      </c>
      <c r="G31" s="45">
        <f t="shared" si="4"/>
        <v>0</v>
      </c>
      <c r="H31" s="45">
        <f t="shared" si="4"/>
        <v>0</v>
      </c>
      <c r="I31" s="45">
        <f t="shared" si="4"/>
        <v>0</v>
      </c>
      <c r="J31" s="45">
        <f t="shared" si="4"/>
        <v>0</v>
      </c>
      <c r="K31" s="45">
        <f t="shared" si="4"/>
        <v>0</v>
      </c>
    </row>
    <row r="33" spans="1:11" ht="15" customHeight="1" x14ac:dyDescent="0.35">
      <c r="A33" s="56" t="s">
        <v>64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</row>
    <row r="34" spans="1:11" ht="15" customHeight="1" x14ac:dyDescent="0.35">
      <c r="A34" s="56" t="s">
        <v>65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</row>
  </sheetData>
  <mergeCells count="6">
    <mergeCell ref="A34:K34"/>
    <mergeCell ref="A4:K4"/>
    <mergeCell ref="A2:K2"/>
    <mergeCell ref="A33:K33"/>
    <mergeCell ref="A1:K1"/>
    <mergeCell ref="A17:K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ANEXO III</vt:lpstr>
      <vt:lpstr>Impostos Mensais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Jefferson silva</cp:lastModifiedBy>
  <cp:revision>0</cp:revision>
  <cp:lastPrinted>2021-09-14T01:11:27Z</cp:lastPrinted>
  <dcterms:created xsi:type="dcterms:W3CDTF">2015-03-08T09:25:42Z</dcterms:created>
  <dcterms:modified xsi:type="dcterms:W3CDTF">2026-04-12T09:14:21Z</dcterms:modified>
  <dc:language>en-US</dc:language>
</cp:coreProperties>
</file>