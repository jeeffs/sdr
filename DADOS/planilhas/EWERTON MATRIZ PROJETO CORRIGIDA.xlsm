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_de_trabalho"/>
  <bookViews>
    <workbookView visibility="visible" minimized="0" showHorizontalScroll="1" showVerticalScroll="1" showSheetTabs="1" xWindow="-110" yWindow="-110" windowWidth="19420" windowHeight="11500" tabRatio="790" firstSheet="0" activeTab="1" autoFilterDateGrouping="1"/>
  </bookViews>
  <sheets>
    <sheet xmlns:r="http://schemas.openxmlformats.org/officeDocument/2006/relationships" name="ordem_servico" sheetId="1" state="visible" r:id="rId1"/>
    <sheet xmlns:r="http://schemas.openxmlformats.org/officeDocument/2006/relationships" name="base" sheetId="2" state="visible" r:id="rId2"/>
    <sheet xmlns:r="http://schemas.openxmlformats.org/officeDocument/2006/relationships" name="de_para" sheetId="3" state="visible" r:id="rId3"/>
  </sheets>
  <definedNames>
    <definedName name="Filial">de_para!$H$2:$H$9</definedName>
    <definedName name="Matriz">de_para!$I$2:$I$7</definedName>
    <definedName name="Produtos">OFFSET(#REF!,0,0,COUNTA(#REF!)-1,1)</definedName>
    <definedName name="TabelaEstoque">#REF!</definedName>
    <definedName name="Tipo_Movimentacao">OFFSET(#REF!,0,0,COUNTA(#REF!),1)</definedName>
    <definedName name="TabelaEstoque" localSheetId="0">#REF!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_-* #,##0_-;\-* #,##0_-;_-* &quot;-&quot;??_-;_-@_-"/>
    <numFmt numFmtId="166" formatCode="_-&quot;R$&quot;\ * #,##0.00_-;\-&quot;R$&quot;\ * #,##0.00_-;_-&quot;R$&quot;\ * &quot;-&quot;??_-;_-@_-"/>
    <numFmt numFmtId="167" formatCode="yyyymmddhhmmss"/>
    <numFmt numFmtId="168" formatCode="_-[$R$-416]\ * #,##0.00_-;\-[$R$-416]\ * #,##0.00_-;_-[$R$-416]\ * &quot;-&quot;??_-;_-@_-"/>
  </numFmts>
  <fonts count="14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5"/>
      <scheme val="minor"/>
    </font>
    <font>
      <name val="Calibri"/>
      <family val="2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sz val="8"/>
      <scheme val="minor"/>
    </font>
    <font>
      <name val="Calibri"/>
      <family val="2"/>
      <b val="1"/>
      <color rgb="FF000000"/>
      <sz val="11"/>
    </font>
    <font>
      <name val="Calibri"/>
      <family val="2"/>
      <b val="1"/>
      <i val="1"/>
      <color theme="1"/>
      <sz val="16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0"/>
      <sz val="11"/>
      <scheme val="minor"/>
    </font>
  </fonts>
  <fills count="17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67955565050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7999816888943144"/>
        <bgColor rgb="FF000000"/>
      </patternFill>
    </fill>
    <fill>
      <patternFill patternType="solid">
        <fgColor theme="9" tint="0.5999938962981048"/>
        <bgColor rgb="FF000000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1" fillId="0" borderId="0"/>
    <xf numFmtId="43" fontId="1" fillId="0" borderId="0"/>
    <xf numFmtId="0" fontId="3" fillId="0" borderId="0"/>
  </cellStyleXfs>
  <cellXfs count="72">
    <xf numFmtId="0" fontId="0" fillId="0" borderId="0" pivotButton="0" quotePrefix="0" xfId="0"/>
    <xf numFmtId="14" fontId="0" fillId="0" borderId="0" pivotButton="0" quotePrefix="0" xfId="0"/>
    <xf numFmtId="164" fontId="0" fillId="0" borderId="0" pivotButton="0" quotePrefix="0" xfId="1"/>
    <xf numFmtId="165" fontId="0" fillId="0" borderId="0" pivotButton="0" quotePrefix="0" xfId="1"/>
    <xf numFmtId="164" fontId="2" fillId="3" borderId="0" applyAlignment="1" pivotButton="0" quotePrefix="0" xfId="1">
      <alignment horizontal="center"/>
    </xf>
    <xf numFmtId="0" fontId="0" fillId="3" borderId="0" pivotButton="0" quotePrefix="0" xfId="0"/>
    <xf numFmtId="14" fontId="0" fillId="3" borderId="0" pivotButton="0" quotePrefix="0" xfId="0"/>
    <xf numFmtId="165" fontId="0" fillId="3" borderId="0" pivotButton="0" quotePrefix="0" xfId="1"/>
    <xf numFmtId="164" fontId="0" fillId="3" borderId="0" pivotButton="0" quotePrefix="0" xfId="1"/>
    <xf numFmtId="0" fontId="4" fillId="4" borderId="2" applyAlignment="1" pivotButton="0" quotePrefix="0" xfId="0">
      <alignment horizontal="left"/>
    </xf>
    <xf numFmtId="0" fontId="4" fillId="4" borderId="3" applyAlignment="1" pivotButton="0" quotePrefix="0" xfId="0">
      <alignment horizontal="left"/>
    </xf>
    <xf numFmtId="0" fontId="6" fillId="6" borderId="0" applyAlignment="1" pivotButton="0" quotePrefix="0" xfId="0">
      <alignment vertical="center"/>
    </xf>
    <xf numFmtId="166" fontId="6" fillId="7" borderId="0" pivotButton="0" quotePrefix="0" xfId="0"/>
    <xf numFmtId="166" fontId="6" fillId="7" borderId="0" applyAlignment="1" pivotButton="0" quotePrefix="0" xfId="0">
      <alignment vertical="center"/>
    </xf>
    <xf numFmtId="14" fontId="7" fillId="8" borderId="9" applyAlignment="1" pivotButton="0" quotePrefix="0" xfId="0">
      <alignment horizontal="center" vertical="center"/>
    </xf>
    <xf numFmtId="0" fontId="4" fillId="4" borderId="1" applyAlignment="1" pivotButton="0" quotePrefix="0" xfId="2">
      <alignment horizontal="left"/>
    </xf>
    <xf numFmtId="167" fontId="2" fillId="3" borderId="0" applyAlignment="1" pivotButton="0" quotePrefix="0" xfId="0">
      <alignment horizontal="center" vertical="center"/>
    </xf>
    <xf numFmtId="165" fontId="0" fillId="5" borderId="7" applyAlignment="1" pivotButton="0" quotePrefix="0" xfId="1">
      <alignment horizontal="center"/>
    </xf>
    <xf numFmtId="165" fontId="0" fillId="5" borderId="8" applyAlignment="1" pivotButton="0" quotePrefix="0" xfId="1">
      <alignment horizontal="center"/>
    </xf>
    <xf numFmtId="0" fontId="4" fillId="4" borderId="1" applyAlignment="1" pivotButton="0" quotePrefix="0" xfId="0">
      <alignment horizontal="left"/>
    </xf>
    <xf numFmtId="2" fontId="0" fillId="2" borderId="7" applyAlignment="1" applyProtection="1" pivotButton="0" quotePrefix="0" xfId="1">
      <alignment horizontal="center"/>
      <protection locked="0" hidden="0"/>
    </xf>
    <xf numFmtId="2" fontId="0" fillId="2" borderId="8" applyAlignment="1" applyProtection="1" pivotButton="0" quotePrefix="0" xfId="1">
      <alignment horizontal="center"/>
      <protection locked="0" hidden="0"/>
    </xf>
    <xf numFmtId="0" fontId="2" fillId="9" borderId="0" applyAlignment="1" pivotButton="0" quotePrefix="0" xfId="0">
      <alignment horizontal="center"/>
    </xf>
    <xf numFmtId="0" fontId="0" fillId="9" borderId="0" pivotButton="0" quotePrefix="0" xfId="0"/>
    <xf numFmtId="165" fontId="2" fillId="9" borderId="0" applyAlignment="1" pivotButton="0" quotePrefix="0" xfId="1">
      <alignment horizontal="center"/>
    </xf>
    <xf numFmtId="165" fontId="0" fillId="9" borderId="0" pivotButton="0" quotePrefix="0" xfId="1"/>
    <xf numFmtId="14" fontId="0" fillId="9" borderId="0" pivotButton="0" quotePrefix="0" xfId="0"/>
    <xf numFmtId="0" fontId="4" fillId="10" borderId="11" applyAlignment="1" pivotButton="0" quotePrefix="0" xfId="0">
      <alignment horizontal="center" vertical="center"/>
    </xf>
    <xf numFmtId="168" fontId="4" fillId="10" borderId="11" applyAlignment="1" pivotButton="0" quotePrefix="0" xfId="0">
      <alignment horizontal="center" vertical="center"/>
    </xf>
    <xf numFmtId="0" fontId="11" fillId="0" borderId="12" applyAlignment="1" pivotButton="0" quotePrefix="0" xfId="0">
      <alignment horizontal="center" vertical="center"/>
    </xf>
    <xf numFmtId="168" fontId="12" fillId="13" borderId="12" applyAlignment="1" pivotButton="0" quotePrefix="0" xfId="0">
      <alignment horizontal="center" vertical="center"/>
    </xf>
    <xf numFmtId="168" fontId="11" fillId="3" borderId="12" applyAlignment="1" pivotButton="0" quotePrefix="0" xfId="0">
      <alignment horizontal="center" vertical="center"/>
    </xf>
    <xf numFmtId="165" fontId="0" fillId="14" borderId="6" applyAlignment="1" applyProtection="1" pivotButton="0" quotePrefix="0" xfId="1">
      <alignment horizontal="center"/>
      <protection locked="0" hidden="0"/>
    </xf>
    <xf numFmtId="165" fontId="0" fillId="14" borderId="7" applyAlignment="1" applyProtection="1" pivotButton="0" quotePrefix="0" xfId="1">
      <alignment horizontal="center"/>
      <protection locked="0" hidden="0"/>
    </xf>
    <xf numFmtId="0" fontId="4" fillId="10" borderId="0" applyAlignment="1" pivotButton="0" quotePrefix="0" xfId="0">
      <alignment horizontal="center"/>
    </xf>
    <xf numFmtId="0" fontId="13" fillId="10" borderId="0" applyAlignment="1" pivotButton="0" quotePrefix="0" xfId="0">
      <alignment horizontal="center"/>
    </xf>
    <xf numFmtId="0" fontId="6" fillId="15" borderId="0" applyAlignment="1" pivotButton="0" quotePrefix="0" xfId="0">
      <alignment vertical="center"/>
    </xf>
    <xf numFmtId="0" fontId="4" fillId="10" borderId="11" applyAlignment="1" pivotButton="0" quotePrefix="0" xfId="0">
      <alignment horizontal="center" vertical="center" wrapText="1"/>
    </xf>
    <xf numFmtId="0" fontId="11" fillId="0" borderId="12" applyAlignment="1" pivotButton="0" quotePrefix="0" xfId="0">
      <alignment horizontal="center" vertical="center" wrapText="1"/>
    </xf>
    <xf numFmtId="166" fontId="6" fillId="16" borderId="0" pivotButton="0" quotePrefix="0" xfId="0"/>
    <xf numFmtId="14" fontId="11" fillId="0" borderId="12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2" fillId="12" borderId="0" applyAlignment="1" pivotButton="0" quotePrefix="0" xfId="0">
      <alignment horizontal="center" vertical="center"/>
    </xf>
    <xf numFmtId="168" fontId="2" fillId="11" borderId="0" applyAlignment="1" pivotButton="0" quotePrefix="0" xfId="0">
      <alignment horizontal="center" vertical="center"/>
    </xf>
    <xf numFmtId="168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10" fillId="0" borderId="10" applyAlignment="1" pivotButton="0" quotePrefix="0" xfId="0">
      <alignment horizontal="center" vertical="center"/>
    </xf>
    <xf numFmtId="0" fontId="5" fillId="4" borderId="4" applyAlignment="1" pivotButton="0" quotePrefix="0" xfId="0">
      <alignment horizontal="center"/>
    </xf>
    <xf numFmtId="0" fontId="5" fillId="4" borderId="5" applyAlignment="1" pivotButton="0" quotePrefix="0" xfId="0">
      <alignment horizontal="center"/>
    </xf>
    <xf numFmtId="165" fontId="0" fillId="0" borderId="0" pivotButton="0" quotePrefix="0" xfId="1"/>
    <xf numFmtId="164" fontId="0" fillId="0" borderId="0" pivotButton="0" quotePrefix="0" xfId="1"/>
    <xf numFmtId="0" fontId="5" fillId="4" borderId="13" applyAlignment="1" pivotButton="0" quotePrefix="0" xfId="0">
      <alignment horizontal="center"/>
    </xf>
    <xf numFmtId="0" fontId="0" fillId="0" borderId="5" pivotButton="0" quotePrefix="0" xfId="0"/>
    <xf numFmtId="165" fontId="2" fillId="9" borderId="0" applyAlignment="1" pivotButton="0" quotePrefix="0" xfId="1">
      <alignment horizontal="center"/>
    </xf>
    <xf numFmtId="164" fontId="2" fillId="3" borderId="0" applyAlignment="1" pivotButton="0" quotePrefix="0" xfId="1">
      <alignment horizontal="center"/>
    </xf>
    <xf numFmtId="165" fontId="0" fillId="9" borderId="0" pivotButton="0" quotePrefix="0" xfId="1"/>
    <xf numFmtId="164" fontId="0" fillId="3" borderId="0" pivotButton="0" quotePrefix="0" xfId="1"/>
    <xf numFmtId="167" fontId="2" fillId="3" borderId="0" applyAlignment="1" pivotButton="0" quotePrefix="0" xfId="0">
      <alignment horizontal="center" vertical="center"/>
    </xf>
    <xf numFmtId="165" fontId="0" fillId="5" borderId="7" applyAlignment="1" pivotButton="0" quotePrefix="0" xfId="1">
      <alignment horizontal="center"/>
    </xf>
    <xf numFmtId="165" fontId="0" fillId="5" borderId="8" applyAlignment="1" pivotButton="0" quotePrefix="0" xfId="1">
      <alignment horizontal="center"/>
    </xf>
    <xf numFmtId="165" fontId="0" fillId="14" borderId="6" applyAlignment="1" applyProtection="1" pivotButton="0" quotePrefix="0" xfId="1">
      <alignment horizontal="center"/>
      <protection locked="0" hidden="0"/>
    </xf>
    <xf numFmtId="165" fontId="0" fillId="14" borderId="7" applyAlignment="1" applyProtection="1" pivotButton="0" quotePrefix="0" xfId="1">
      <alignment horizontal="center"/>
      <protection locked="0" hidden="0"/>
    </xf>
    <xf numFmtId="165" fontId="0" fillId="3" borderId="0" pivotButton="0" quotePrefix="0" xfId="1"/>
    <xf numFmtId="168" fontId="0" fillId="0" borderId="0" applyAlignment="1" pivotButton="0" quotePrefix="0" xfId="0">
      <alignment horizontal="center" vertical="center"/>
    </xf>
    <xf numFmtId="0" fontId="0" fillId="0" borderId="10" pivotButton="0" quotePrefix="0" xfId="0"/>
    <xf numFmtId="168" fontId="2" fillId="11" borderId="0" applyAlignment="1" pivotButton="0" quotePrefix="0" xfId="0">
      <alignment horizontal="center" vertical="center"/>
    </xf>
    <xf numFmtId="168" fontId="4" fillId="10" borderId="11" applyAlignment="1" pivotButton="0" quotePrefix="0" xfId="0">
      <alignment horizontal="center" vertical="center"/>
    </xf>
    <xf numFmtId="168" fontId="11" fillId="3" borderId="12" applyAlignment="1" pivotButton="0" quotePrefix="0" xfId="0">
      <alignment horizontal="center" vertical="center"/>
    </xf>
    <xf numFmtId="168" fontId="12" fillId="13" borderId="12" applyAlignment="1" pivotButton="0" quotePrefix="0" xfId="0">
      <alignment horizontal="center" vertical="center"/>
    </xf>
    <xf numFmtId="166" fontId="6" fillId="7" borderId="0" pivotButton="0" quotePrefix="0" xfId="0"/>
    <xf numFmtId="166" fontId="6" fillId="7" borderId="0" applyAlignment="1" pivotButton="0" quotePrefix="0" xfId="0">
      <alignment vertical="center"/>
    </xf>
    <xf numFmtId="166" fontId="6" fillId="16" borderId="0" pivotButton="0" quotePrefix="0" xfId="0"/>
  </cellXfs>
  <cellStyles count="3">
    <cellStyle name="Normal" xfId="0" builtinId="0"/>
    <cellStyle name="Vírgula" xfId="1" builtinId="3"/>
    <cellStyle name="Hiperlink" xfId="2" builtinId="8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 editAs="oneCell">
    <from>
      <col>3</col>
      <colOff>85725</colOff>
      <row>0</row>
      <rowOff>76201</rowOff>
    </from>
    <to>
      <col>3</col>
      <colOff>1314451</colOff>
      <row>4</row>
      <rowOff>28576</rowOff>
    </to>
    <pic>
      <nvPicPr>
        <cNvPr id="5" name="Imagem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34050" y="76201"/>
          <a:ext cx="1228726" cy="6477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Plan7">
    <tabColor theme="4" tint="0.3999755851924192"/>
    <outlinePr summaryBelow="1" summaryRight="1"/>
    <pageSetUpPr/>
  </sheetPr>
  <dimension ref="A1:S39"/>
  <sheetViews>
    <sheetView workbookViewId="0">
      <selection activeCell="C16" sqref="C16"/>
    </sheetView>
  </sheetViews>
  <sheetFormatPr baseColWidth="8" defaultColWidth="0" defaultRowHeight="15" customHeight="1" zeroHeight="1"/>
  <cols>
    <col width="20.7265625" customWidth="1" min="1" max="1"/>
    <col width="21.81640625" bestFit="1" customWidth="1" min="2" max="2"/>
    <col width="42.1796875" customWidth="1" style="1" min="3" max="3"/>
    <col width="20.7265625" customWidth="1" style="49" min="4" max="4"/>
    <col hidden="1" width="13.453125" customWidth="1" style="50" min="5" max="5"/>
    <col hidden="1" width="9.1796875" customWidth="1" min="6" max="11"/>
    <col hidden="1" min="12" max="19"/>
    <col hidden="1" width="9.1796875" customWidth="1" min="20" max="16384"/>
  </cols>
  <sheetData>
    <row r="1" ht="15" customHeight="1" thickBot="1">
      <c r="A1" s="22" t="n"/>
      <c r="B1" s="22" t="n"/>
      <c r="C1" s="22" t="n"/>
      <c r="D1" s="22" t="n"/>
    </row>
    <row r="2" ht="20" customHeight="1" thickBot="1">
      <c r="A2" s="22" t="n"/>
      <c r="B2" s="51" t="inlineStr">
        <is>
          <t>Lançamento de Serviço</t>
        </is>
      </c>
      <c r="C2" s="52" t="n"/>
      <c r="D2" s="53" t="n"/>
      <c r="E2" s="54" t="n"/>
      <c r="F2" s="5" t="n"/>
      <c r="G2" s="5" t="n"/>
      <c r="H2" s="5" t="n"/>
      <c r="I2" s="5" t="n"/>
      <c r="J2" s="5" t="n"/>
      <c r="K2" s="5" t="n"/>
      <c r="L2" s="5" t="n"/>
      <c r="M2" s="5" t="n"/>
      <c r="N2" s="5" t="n"/>
      <c r="O2" s="5" t="n"/>
      <c r="P2" s="5" t="n"/>
      <c r="Q2" s="5" t="n"/>
      <c r="R2" s="5" t="n"/>
      <c r="S2" s="5" t="n"/>
    </row>
    <row r="3" ht="5.15" customHeight="1">
      <c r="A3" s="23" t="n"/>
      <c r="B3" s="5" t="n"/>
      <c r="C3" s="6" t="n"/>
      <c r="D3" s="55" t="n"/>
      <c r="E3" s="56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  <c r="O3" s="5" t="n"/>
      <c r="P3" s="5" t="n"/>
      <c r="Q3" s="5" t="n"/>
      <c r="R3" s="5" t="n"/>
      <c r="S3" s="5" t="n"/>
    </row>
    <row r="4" ht="14.5" customHeight="1">
      <c r="A4" s="23" t="n"/>
      <c r="B4" s="57" t="inlineStr">
        <is>
          <t>Código OS</t>
        </is>
      </c>
      <c r="C4" s="57">
        <f>NOW()</f>
        <v/>
      </c>
      <c r="D4" s="55" t="n"/>
      <c r="E4" s="56" t="n"/>
      <c r="F4" s="5" t="n"/>
      <c r="G4" s="5" t="n"/>
      <c r="H4" s="5" t="n"/>
      <c r="I4" s="5" t="n"/>
      <c r="J4" s="5" t="n"/>
      <c r="K4" s="5" t="n"/>
      <c r="L4" s="5" t="n"/>
      <c r="M4" s="5" t="n"/>
      <c r="N4" s="5" t="n"/>
      <c r="O4" s="5" t="n"/>
      <c r="P4" s="5" t="n"/>
      <c r="Q4" s="5" t="n"/>
      <c r="R4" s="5" t="n"/>
      <c r="S4" s="5" t="n"/>
    </row>
    <row r="5" ht="5.15" customHeight="1" thickBot="1">
      <c r="A5" s="23" t="n"/>
      <c r="B5" s="57" t="n"/>
      <c r="C5" s="57" t="n"/>
      <c r="D5" s="55" t="n"/>
      <c r="E5" s="56" t="n"/>
      <c r="F5" s="5" t="n"/>
      <c r="G5" s="5" t="n"/>
      <c r="H5" s="5" t="n"/>
      <c r="I5" s="5" t="n"/>
      <c r="J5" s="5" t="n"/>
      <c r="K5" s="5" t="n"/>
      <c r="L5" s="5" t="n"/>
      <c r="M5" s="5" t="n"/>
      <c r="N5" s="5" t="n"/>
      <c r="O5" s="5" t="n"/>
      <c r="P5" s="5" t="n"/>
      <c r="Q5" s="5" t="n"/>
      <c r="R5" s="5" t="n"/>
      <c r="S5" s="5" t="n"/>
    </row>
    <row r="6" ht="15.5" customHeight="1">
      <c r="A6" s="23" t="n"/>
      <c r="B6" s="15" t="inlineStr">
        <is>
          <t>Data</t>
        </is>
      </c>
      <c r="C6" s="14" t="n">
        <v>45688</v>
      </c>
      <c r="D6" s="55" t="n"/>
      <c r="E6" s="56" t="n"/>
      <c r="F6" s="5" t="n"/>
      <c r="G6" s="5" t="n"/>
      <c r="H6" s="5" t="n"/>
      <c r="I6" s="5" t="n"/>
      <c r="J6" s="5" t="n"/>
      <c r="K6" s="5" t="n"/>
      <c r="L6" s="5" t="n"/>
      <c r="M6" s="5" t="n"/>
      <c r="N6" s="5" t="n"/>
      <c r="O6" s="5" t="n"/>
      <c r="P6" s="5" t="n"/>
      <c r="Q6" s="5" t="n"/>
      <c r="R6" s="5" t="n"/>
      <c r="S6" s="5" t="n"/>
    </row>
    <row r="7" ht="14.5" customHeight="1">
      <c r="A7" s="23" t="n"/>
      <c r="B7" s="9" t="inlineStr">
        <is>
          <t>Profile</t>
        </is>
      </c>
      <c r="C7" s="58" t="n"/>
      <c r="D7" s="55" t="n"/>
      <c r="E7" s="56" t="n"/>
      <c r="F7" s="5" t="n"/>
      <c r="G7" s="5" t="n"/>
      <c r="H7" s="5" t="n"/>
      <c r="I7" s="5" t="n"/>
      <c r="J7" s="5" t="n"/>
      <c r="K7" s="5" t="n"/>
      <c r="L7" s="5" t="n"/>
      <c r="M7" s="5" t="n"/>
      <c r="N7" s="5" t="n"/>
      <c r="O7" s="5" t="n"/>
      <c r="P7" s="5" t="n"/>
      <c r="Q7" s="5" t="n"/>
      <c r="R7" s="5" t="n"/>
      <c r="S7" s="5" t="n"/>
    </row>
    <row r="8" ht="14.5" customHeight="1">
      <c r="A8" s="23" t="n"/>
      <c r="B8" s="9" t="inlineStr">
        <is>
          <t>Cidade</t>
        </is>
      </c>
      <c r="C8" s="58" t="n"/>
      <c r="D8" s="55" t="n"/>
      <c r="E8" s="56" t="n"/>
      <c r="F8" s="5" t="n"/>
      <c r="G8" s="5" t="n"/>
      <c r="H8" s="5" t="n"/>
      <c r="I8" s="5" t="n"/>
      <c r="J8" s="5" t="n"/>
      <c r="K8" s="5" t="n"/>
      <c r="L8" s="5" t="n"/>
      <c r="M8" s="5" t="n"/>
      <c r="N8" s="5" t="n"/>
      <c r="O8" s="5" t="n"/>
      <c r="P8" s="5" t="n"/>
      <c r="Q8" s="5" t="n"/>
      <c r="R8" s="5" t="n"/>
      <c r="S8" s="5" t="n"/>
    </row>
    <row r="9" thickBot="1">
      <c r="A9" s="23" t="n"/>
      <c r="B9" s="9" t="inlineStr">
        <is>
          <t>Referência_Localização</t>
        </is>
      </c>
      <c r="C9" s="59" t="n"/>
      <c r="D9" s="55" t="n"/>
      <c r="E9" s="56" t="n"/>
      <c r="F9" s="5" t="n"/>
      <c r="G9" s="5" t="n"/>
      <c r="H9" s="5" t="n"/>
      <c r="I9" s="5" t="n"/>
      <c r="J9" s="5" t="n"/>
      <c r="K9" s="5" t="n"/>
      <c r="L9" s="5" t="n"/>
      <c r="M9" s="5" t="n"/>
      <c r="N9" s="5" t="n"/>
      <c r="O9" s="5" t="n"/>
      <c r="P9" s="5" t="n"/>
      <c r="Q9" s="5" t="n"/>
      <c r="R9" s="5" t="n"/>
      <c r="S9" s="5" t="n"/>
    </row>
    <row r="10" thickBot="1">
      <c r="A10" s="23" t="n"/>
      <c r="B10" s="10" t="inlineStr">
        <is>
          <t>CTO/CEO</t>
        </is>
      </c>
      <c r="D10" s="55" t="n"/>
      <c r="E10" s="56" t="n"/>
      <c r="F10" s="5" t="n"/>
      <c r="G10" s="5" t="n"/>
      <c r="H10" s="5" t="n"/>
      <c r="I10" s="5" t="n"/>
      <c r="J10" s="5" t="n"/>
      <c r="K10" s="5" t="n"/>
      <c r="L10" s="5" t="n"/>
      <c r="M10" s="5" t="n"/>
      <c r="N10" s="5" t="n"/>
      <c r="O10" s="5" t="n"/>
      <c r="P10" s="5" t="n"/>
      <c r="Q10" s="5" t="n"/>
      <c r="R10" s="5" t="n"/>
      <c r="S10" s="5" t="n"/>
    </row>
    <row r="11" ht="5.15" customHeight="1" thickBot="1">
      <c r="A11" s="23" t="n"/>
      <c r="B11" s="57" t="n"/>
      <c r="C11" s="57" t="n"/>
      <c r="D11" s="55" t="n"/>
      <c r="E11" s="56" t="n"/>
      <c r="F11" s="5" t="n"/>
      <c r="G11" s="5" t="n"/>
      <c r="H11" s="5" t="n"/>
      <c r="I11" s="5" t="n"/>
      <c r="J11" s="5" t="n"/>
      <c r="K11" s="5" t="n"/>
      <c r="L11" s="5" t="n"/>
      <c r="M11" s="5" t="n"/>
      <c r="N11" s="5" t="n"/>
      <c r="O11" s="5" t="n"/>
      <c r="P11" s="5" t="n"/>
      <c r="Q11" s="5" t="n"/>
      <c r="R11" s="5" t="n"/>
      <c r="S11" s="5" t="n"/>
    </row>
    <row r="12" ht="14.5" customHeight="1">
      <c r="A12" s="23" t="n"/>
      <c r="B12" s="19" t="inlineStr">
        <is>
          <t>1º Serviço</t>
        </is>
      </c>
      <c r="C12" s="60" t="n"/>
      <c r="D12" s="55" t="n"/>
      <c r="E12" s="56" t="n"/>
      <c r="F12" s="5" t="n"/>
      <c r="G12" s="5" t="n"/>
      <c r="H12" s="5" t="n"/>
      <c r="I12" s="5" t="n"/>
      <c r="J12" s="5" t="n"/>
      <c r="K12" s="5" t="n"/>
      <c r="L12" s="5" t="n"/>
      <c r="M12" s="5" t="n"/>
      <c r="N12" s="5" t="n"/>
      <c r="O12" s="5" t="n"/>
      <c r="P12" s="5" t="n"/>
      <c r="Q12" s="5" t="n"/>
      <c r="R12" s="5" t="n"/>
      <c r="S12" s="5" t="n"/>
    </row>
    <row r="13" ht="14.5" customHeight="1">
      <c r="A13" s="23" t="n"/>
      <c r="B13" s="9" t="inlineStr">
        <is>
          <t>Quantidade</t>
        </is>
      </c>
      <c r="C13" s="20" t="n"/>
      <c r="D13" s="55" t="n"/>
      <c r="E13" s="56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  <c r="O13" s="5" t="n"/>
      <c r="P13" s="5" t="n"/>
      <c r="Q13" s="5" t="n"/>
      <c r="R13" s="5" t="n"/>
      <c r="S13" s="5" t="n"/>
    </row>
    <row r="14" ht="14.5" customHeight="1">
      <c r="A14" s="23" t="n"/>
      <c r="B14" s="9" t="inlineStr">
        <is>
          <t>2º Serviço</t>
        </is>
      </c>
      <c r="C14" s="61" t="n"/>
      <c r="D14" s="55" t="n"/>
      <c r="E14" s="56" t="n"/>
      <c r="F14" s="5" t="n"/>
      <c r="G14" s="5" t="n"/>
      <c r="H14" s="5" t="n"/>
      <c r="I14" s="5" t="n"/>
      <c r="J14" s="5" t="n"/>
      <c r="K14" s="5" t="n"/>
      <c r="L14" s="5" t="n"/>
      <c r="M14" s="5" t="n"/>
      <c r="N14" s="5" t="n"/>
      <c r="O14" s="5" t="n"/>
      <c r="P14" s="5" t="n"/>
      <c r="Q14" s="5" t="n"/>
      <c r="R14" s="5" t="n"/>
      <c r="S14" s="5" t="n"/>
    </row>
    <row r="15" ht="14.5" customHeight="1">
      <c r="A15" s="23" t="n"/>
      <c r="B15" s="9" t="inlineStr">
        <is>
          <t>Quantidade</t>
        </is>
      </c>
      <c r="C15" s="20" t="n"/>
      <c r="D15" s="55" t="n"/>
      <c r="E15" s="56" t="n"/>
      <c r="F15" s="5" t="n"/>
      <c r="G15" s="5" t="n"/>
      <c r="H15" s="5" t="n"/>
      <c r="I15" s="5" t="n"/>
      <c r="J15" s="5" t="n"/>
      <c r="K15" s="5" t="n"/>
      <c r="L15" s="5" t="n"/>
      <c r="M15" s="5" t="n"/>
      <c r="N15" s="5" t="n"/>
      <c r="O15" s="5" t="n"/>
      <c r="P15" s="5" t="n"/>
      <c r="Q15" s="5" t="n"/>
      <c r="R15" s="5" t="n"/>
      <c r="S15" s="5" t="n"/>
    </row>
    <row r="16" ht="14.5" customHeight="1">
      <c r="A16" s="23" t="n"/>
      <c r="B16" s="9" t="inlineStr">
        <is>
          <t>3º Serviço</t>
        </is>
      </c>
      <c r="C16" s="61" t="n"/>
      <c r="D16" s="55" t="n"/>
      <c r="E16" s="56" t="n"/>
      <c r="F16" s="5" t="n"/>
      <c r="G16" s="5" t="n"/>
      <c r="H16" s="5" t="n"/>
      <c r="I16" s="5" t="n"/>
      <c r="J16" s="5" t="n"/>
      <c r="K16" s="5" t="n"/>
      <c r="L16" s="5" t="n"/>
      <c r="M16" s="5" t="n"/>
      <c r="N16" s="5" t="n"/>
      <c r="O16" s="5" t="n"/>
      <c r="P16" s="5" t="n"/>
      <c r="Q16" s="5" t="n"/>
      <c r="R16" s="5" t="n"/>
      <c r="S16" s="5" t="n"/>
    </row>
    <row r="17" ht="14.5" customHeight="1">
      <c r="A17" s="23" t="n"/>
      <c r="B17" s="9" t="inlineStr">
        <is>
          <t>Quantidade</t>
        </is>
      </c>
      <c r="C17" s="20" t="n"/>
      <c r="D17" s="55" t="n"/>
      <c r="E17" s="56" t="n"/>
      <c r="F17" s="5" t="n"/>
      <c r="G17" s="5" t="n"/>
      <c r="H17" s="5" t="n"/>
      <c r="I17" s="5" t="n"/>
      <c r="J17" s="5" t="n"/>
      <c r="K17" s="5" t="n"/>
      <c r="L17" s="5" t="n"/>
      <c r="M17" s="5" t="n"/>
      <c r="N17" s="5" t="n"/>
      <c r="O17" s="5" t="n"/>
      <c r="P17" s="5" t="n"/>
      <c r="Q17" s="5" t="n"/>
      <c r="R17" s="5" t="n"/>
      <c r="S17" s="5" t="n"/>
    </row>
    <row r="18" ht="14.5" customHeight="1">
      <c r="A18" s="23" t="n"/>
      <c r="B18" s="9" t="inlineStr">
        <is>
          <t>4º Serviço</t>
        </is>
      </c>
      <c r="C18" s="61" t="n"/>
      <c r="D18" s="55" t="n"/>
      <c r="E18" s="56" t="n"/>
      <c r="F18" s="5" t="n"/>
      <c r="G18" s="5" t="n"/>
      <c r="H18" s="5" t="n"/>
      <c r="I18" s="5" t="n"/>
      <c r="J18" s="5" t="n"/>
      <c r="K18" s="5" t="n"/>
      <c r="L18" s="5" t="n"/>
      <c r="M18" s="5" t="n"/>
      <c r="N18" s="5" t="n"/>
      <c r="O18" s="5" t="n"/>
      <c r="P18" s="5" t="n"/>
      <c r="Q18" s="5" t="n"/>
      <c r="R18" s="5" t="n"/>
      <c r="S18" s="5" t="n"/>
    </row>
    <row r="19" ht="14.5" customHeight="1">
      <c r="A19" s="23" t="n"/>
      <c r="B19" s="9" t="inlineStr">
        <is>
          <t>Quantidade</t>
        </is>
      </c>
      <c r="C19" s="20" t="n"/>
      <c r="D19" s="55" t="n"/>
      <c r="E19" s="56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  <c r="O19" s="5" t="n"/>
      <c r="P19" s="5" t="n"/>
      <c r="Q19" s="5" t="n"/>
      <c r="R19" s="5" t="n"/>
      <c r="S19" s="5" t="n"/>
    </row>
    <row r="20" ht="14.5" customHeight="1">
      <c r="A20" s="23" t="n"/>
      <c r="B20" s="9" t="inlineStr">
        <is>
          <t>5º Serviço</t>
        </is>
      </c>
      <c r="C20" s="61" t="n"/>
      <c r="D20" s="55" t="n"/>
      <c r="E20" s="56" t="n"/>
      <c r="F20" s="5" t="n"/>
      <c r="G20" s="5" t="n"/>
      <c r="H20" s="5" t="n"/>
      <c r="I20" s="5" t="n"/>
      <c r="J20" s="5" t="n"/>
      <c r="K20" s="5" t="n"/>
      <c r="L20" s="5" t="n"/>
      <c r="M20" s="5" t="n"/>
      <c r="N20" s="5" t="n"/>
      <c r="O20" s="5" t="n"/>
      <c r="P20" s="5" t="n"/>
      <c r="Q20" s="5" t="n"/>
      <c r="R20" s="5" t="n"/>
      <c r="S20" s="5" t="n"/>
    </row>
    <row r="21" thickBot="1">
      <c r="A21" s="23" t="n"/>
      <c r="B21" s="10" t="inlineStr">
        <is>
          <t>Quantidade</t>
        </is>
      </c>
      <c r="C21" s="21" t="n"/>
      <c r="D21" s="55" t="n"/>
      <c r="E21" s="56" t="n"/>
      <c r="F21" s="5" t="n"/>
      <c r="G21" s="5" t="n"/>
      <c r="H21" s="5" t="n"/>
      <c r="I21" s="5" t="n"/>
      <c r="J21" s="5" t="n"/>
      <c r="K21" s="5" t="n"/>
      <c r="L21" s="5" t="n"/>
      <c r="M21" s="5" t="n"/>
      <c r="N21" s="5" t="n"/>
      <c r="O21" s="5" t="n"/>
      <c r="P21" s="5" t="n"/>
      <c r="Q21" s="5" t="n"/>
      <c r="R21" s="5" t="n"/>
      <c r="S21" s="5" t="n"/>
    </row>
    <row r="22" ht="14.5" customHeight="1">
      <c r="A22" s="23" t="n"/>
      <c r="B22" s="23" t="n"/>
      <c r="C22" s="26" t="n"/>
      <c r="D22" s="55" t="n"/>
      <c r="E22" s="56" t="n"/>
      <c r="F22" s="5" t="n"/>
      <c r="G22" s="5" t="n"/>
      <c r="H22" s="5" t="n"/>
      <c r="I22" s="5" t="n"/>
      <c r="J22" s="5" t="n"/>
      <c r="K22" s="5" t="n"/>
      <c r="L22" s="5" t="n"/>
      <c r="M22" s="5" t="n"/>
      <c r="N22" s="5" t="n"/>
      <c r="O22" s="5" t="n"/>
      <c r="P22" s="5" t="n"/>
      <c r="Q22" s="5" t="n"/>
      <c r="R22" s="5" t="n"/>
      <c r="S22" s="5" t="n"/>
    </row>
    <row r="23" ht="14.5" customHeight="1">
      <c r="A23" s="23" t="n"/>
      <c r="B23" s="23" t="n"/>
      <c r="C23" s="26" t="n"/>
      <c r="D23" s="55" t="n"/>
      <c r="E23" s="56" t="n"/>
      <c r="F23" s="5" t="n"/>
      <c r="G23" s="5" t="n"/>
      <c r="H23" s="5" t="n"/>
      <c r="I23" s="5" t="n"/>
      <c r="J23" s="5" t="n"/>
      <c r="K23" s="5" t="n"/>
      <c r="L23" s="5" t="n"/>
      <c r="M23" s="5" t="n"/>
      <c r="N23" s="5" t="n"/>
      <c r="O23" s="5" t="n"/>
      <c r="P23" s="5" t="n"/>
      <c r="Q23" s="5" t="n"/>
      <c r="R23" s="5" t="n"/>
      <c r="S23" s="5" t="n"/>
    </row>
    <row r="24" ht="14.5" customHeight="1">
      <c r="A24" s="23" t="n"/>
      <c r="B24" s="23" t="n"/>
      <c r="C24" s="26" t="n"/>
      <c r="D24" s="55" t="n"/>
      <c r="E24" s="56" t="n"/>
      <c r="F24" s="5" t="n"/>
      <c r="G24" s="5" t="n"/>
      <c r="H24" s="5" t="n"/>
      <c r="I24" s="5" t="n"/>
      <c r="J24" s="5" t="n"/>
      <c r="K24" s="5" t="n"/>
      <c r="L24" s="5" t="n"/>
      <c r="M24" s="5" t="n"/>
      <c r="N24" s="5" t="n"/>
      <c r="O24" s="5" t="n"/>
      <c r="P24" s="5" t="n"/>
      <c r="Q24" s="5" t="n"/>
      <c r="R24" s="5" t="n"/>
      <c r="S24" s="5" t="n"/>
    </row>
    <row r="25" ht="14.5" customHeight="1">
      <c r="A25" s="23" t="n"/>
      <c r="B25" s="23" t="n"/>
      <c r="C25" s="26" t="n"/>
      <c r="D25" s="55" t="n"/>
      <c r="E25" s="56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  <c r="O25" s="5" t="n"/>
      <c r="P25" s="5" t="n"/>
      <c r="Q25" s="5" t="n"/>
      <c r="R25" s="5" t="n"/>
      <c r="S25" s="5" t="n"/>
    </row>
    <row r="26" hidden="1" ht="14.5" customHeight="1">
      <c r="A26" s="5" t="n"/>
      <c r="B26" s="5" t="n"/>
      <c r="C26" s="6" t="n"/>
      <c r="D26" s="62" t="n"/>
      <c r="E26" s="56" t="n"/>
      <c r="F26" s="5" t="n"/>
      <c r="G26" s="5" t="n"/>
      <c r="H26" s="5" t="n"/>
      <c r="I26" s="5" t="n"/>
      <c r="J26" s="5" t="n"/>
      <c r="K26" s="5" t="n"/>
      <c r="L26" s="5" t="n"/>
      <c r="M26" s="5" t="n"/>
      <c r="N26" s="5" t="n"/>
      <c r="O26" s="5" t="n"/>
      <c r="P26" s="5" t="n"/>
      <c r="Q26" s="5" t="n"/>
      <c r="R26" s="5" t="n"/>
      <c r="S26" s="5" t="n"/>
    </row>
    <row r="27" hidden="1" ht="14.5" customHeight="1">
      <c r="A27" s="5" t="n"/>
      <c r="B27" s="5" t="n"/>
      <c r="C27" s="6" t="n"/>
      <c r="D27" s="62" t="n"/>
      <c r="E27" s="56" t="n"/>
      <c r="F27" s="5" t="n"/>
      <c r="G27" s="5" t="n"/>
      <c r="H27" s="5" t="n"/>
      <c r="I27" s="5" t="n"/>
      <c r="J27" s="5" t="n"/>
      <c r="K27" s="5" t="n"/>
      <c r="L27" s="5" t="n"/>
      <c r="M27" s="5" t="n"/>
      <c r="N27" s="5" t="n"/>
      <c r="O27" s="5" t="n"/>
      <c r="P27" s="5" t="n"/>
      <c r="Q27" s="5" t="n"/>
      <c r="R27" s="5" t="n"/>
      <c r="S27" s="5" t="n"/>
    </row>
    <row r="28" hidden="1" ht="14.5" customHeight="1">
      <c r="A28" s="5" t="n"/>
      <c r="B28" s="5" t="n"/>
      <c r="C28" s="6" t="n"/>
      <c r="D28" s="62" t="n"/>
      <c r="E28" s="56" t="n"/>
      <c r="F28" s="5" t="n"/>
      <c r="G28" s="5" t="n"/>
      <c r="H28" s="5" t="n"/>
      <c r="I28" s="5" t="n"/>
      <c r="J28" s="5" t="n"/>
      <c r="K28" s="5" t="n"/>
      <c r="L28" s="5" t="n"/>
      <c r="M28" s="5" t="n"/>
      <c r="N28" s="5" t="n"/>
      <c r="O28" s="5" t="n"/>
      <c r="P28" s="5" t="n"/>
      <c r="Q28" s="5" t="n"/>
      <c r="R28" s="5" t="n"/>
      <c r="S28" s="5" t="n"/>
    </row>
    <row r="29" hidden="1" ht="14.5" customHeight="1">
      <c r="A29" s="5" t="n"/>
      <c r="B29" s="5" t="n"/>
      <c r="C29" s="6" t="n"/>
      <c r="D29" s="62" t="n"/>
      <c r="E29" s="56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  <c r="O29" s="5" t="n"/>
      <c r="P29" s="5" t="n"/>
      <c r="Q29" s="5" t="n"/>
      <c r="R29" s="5" t="n"/>
      <c r="S29" s="5" t="n"/>
    </row>
    <row r="30" hidden="1" ht="14.5" customHeight="1">
      <c r="A30" s="5" t="n"/>
      <c r="B30" s="5" t="n"/>
      <c r="C30" s="6" t="n"/>
      <c r="D30" s="62" t="n"/>
      <c r="E30" s="56" t="n"/>
      <c r="F30" s="5" t="n"/>
      <c r="G30" s="5" t="n"/>
      <c r="H30" s="5" t="n"/>
      <c r="I30" s="5" t="n"/>
      <c r="J30" s="5" t="n"/>
      <c r="K30" s="5" t="n"/>
      <c r="L30" s="5" t="n"/>
      <c r="M30" s="5" t="n"/>
      <c r="N30" s="5" t="n"/>
      <c r="O30" s="5" t="n"/>
      <c r="P30" s="5" t="n"/>
      <c r="Q30" s="5" t="n"/>
      <c r="R30" s="5" t="n"/>
      <c r="S30" s="5" t="n"/>
    </row>
    <row r="31" hidden="1" ht="14.5" customHeight="1">
      <c r="A31" s="5" t="n"/>
      <c r="B31" s="5" t="n"/>
      <c r="C31" s="6" t="n"/>
      <c r="D31" s="62" t="n"/>
      <c r="E31" s="56" t="n"/>
      <c r="F31" s="5" t="n"/>
      <c r="G31" s="5" t="n"/>
      <c r="H31" s="5" t="n"/>
      <c r="I31" s="5" t="n"/>
      <c r="J31" s="5" t="n"/>
      <c r="K31" s="5" t="n"/>
      <c r="L31" s="5" t="n"/>
      <c r="M31" s="5" t="n"/>
      <c r="N31" s="5" t="n"/>
      <c r="O31" s="5" t="n"/>
      <c r="P31" s="5" t="n"/>
      <c r="Q31" s="5" t="n"/>
      <c r="R31" s="5" t="n"/>
      <c r="S31" s="5" t="n"/>
    </row>
    <row r="32" hidden="1" ht="14.5" customHeight="1">
      <c r="A32" s="5" t="n"/>
      <c r="B32" s="5" t="n"/>
      <c r="C32" s="6" t="n"/>
      <c r="D32" s="62" t="n"/>
      <c r="E32" s="56" t="n"/>
      <c r="F32" s="5" t="n"/>
      <c r="G32" s="5" t="n"/>
      <c r="H32" s="5" t="n"/>
      <c r="I32" s="5" t="n"/>
      <c r="J32" s="5" t="n"/>
      <c r="K32" s="5" t="n"/>
      <c r="L32" s="5" t="n"/>
      <c r="M32" s="5" t="n"/>
      <c r="N32" s="5" t="n"/>
      <c r="O32" s="5" t="n"/>
      <c r="P32" s="5" t="n"/>
      <c r="Q32" s="5" t="n"/>
      <c r="R32" s="5" t="n"/>
      <c r="S32" s="5" t="n"/>
    </row>
    <row r="33" hidden="1" ht="14.5" customHeight="1">
      <c r="A33" s="5" t="n"/>
      <c r="B33" s="5" t="n"/>
      <c r="C33" s="6" t="n"/>
      <c r="D33" s="62" t="n"/>
      <c r="E33" s="56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  <c r="O33" s="5" t="n"/>
      <c r="P33" s="5" t="n"/>
      <c r="Q33" s="5" t="n"/>
      <c r="R33" s="5" t="n"/>
      <c r="S33" s="5" t="n"/>
    </row>
    <row r="34" hidden="1" ht="14.5" customHeight="1">
      <c r="A34" s="5" t="n"/>
      <c r="B34" s="5" t="n"/>
      <c r="C34" s="6" t="n"/>
      <c r="D34" s="62" t="n"/>
      <c r="E34" s="56" t="n"/>
      <c r="F34" s="5" t="n"/>
      <c r="G34" s="5" t="n"/>
      <c r="H34" s="5" t="n"/>
      <c r="I34" s="5" t="n"/>
      <c r="J34" s="5" t="n"/>
      <c r="K34" s="5" t="n"/>
      <c r="L34" s="5" t="n"/>
      <c r="M34" s="5" t="n"/>
      <c r="N34" s="5" t="n"/>
      <c r="O34" s="5" t="n"/>
      <c r="P34" s="5" t="n"/>
      <c r="Q34" s="5" t="n"/>
      <c r="R34" s="5" t="n"/>
      <c r="S34" s="5" t="n"/>
    </row>
    <row r="35" hidden="1" ht="14.5" customHeight="1">
      <c r="A35" s="5" t="n"/>
      <c r="B35" s="5" t="n"/>
      <c r="C35" s="6" t="n"/>
      <c r="D35" s="62" t="n"/>
      <c r="E35" s="56" t="n"/>
      <c r="F35" s="5" t="n"/>
      <c r="G35" s="5" t="n"/>
      <c r="H35" s="5" t="n"/>
      <c r="I35" s="5" t="n"/>
      <c r="J35" s="5" t="n"/>
      <c r="K35" s="5" t="n"/>
      <c r="L35" s="5" t="n"/>
      <c r="M35" s="5" t="n"/>
      <c r="N35" s="5" t="n"/>
      <c r="O35" s="5" t="n"/>
      <c r="P35" s="5" t="n"/>
      <c r="Q35" s="5" t="n"/>
      <c r="R35" s="5" t="n"/>
      <c r="S35" s="5" t="n"/>
    </row>
    <row r="36" hidden="1" ht="14.5" customHeight="1">
      <c r="A36" s="5" t="n"/>
      <c r="B36" s="5" t="n"/>
      <c r="C36" s="6" t="n"/>
      <c r="D36" s="62" t="n"/>
      <c r="E36" s="56" t="n"/>
      <c r="F36" s="5" t="n"/>
      <c r="G36" s="5" t="n"/>
      <c r="H36" s="5" t="n"/>
      <c r="I36" s="5" t="n"/>
      <c r="J36" s="5" t="n"/>
      <c r="K36" s="5" t="n"/>
      <c r="L36" s="5" t="n"/>
      <c r="M36" s="5" t="n"/>
      <c r="N36" s="5" t="n"/>
      <c r="O36" s="5" t="n"/>
      <c r="P36" s="5" t="n"/>
      <c r="Q36" s="5" t="n"/>
      <c r="R36" s="5" t="n"/>
      <c r="S36" s="5" t="n"/>
    </row>
    <row r="37" hidden="1" ht="14.5" customHeight="1">
      <c r="A37" s="5" t="n"/>
      <c r="B37" s="5" t="n"/>
      <c r="C37" s="6" t="n"/>
      <c r="D37" s="62" t="n"/>
      <c r="E37" s="56" t="n"/>
      <c r="F37" s="5" t="n"/>
      <c r="G37" s="5" t="n"/>
      <c r="H37" s="5" t="n"/>
      <c r="I37" s="5" t="n"/>
      <c r="J37" s="5" t="n"/>
      <c r="K37" s="5" t="n"/>
      <c r="L37" s="5" t="n"/>
      <c r="M37" s="5" t="n"/>
      <c r="N37" s="5" t="n"/>
      <c r="O37" s="5" t="n"/>
      <c r="P37" s="5" t="n"/>
      <c r="Q37" s="5" t="n"/>
      <c r="R37" s="5" t="n"/>
      <c r="S37" s="5" t="n"/>
    </row>
    <row r="38" hidden="1" ht="14.5" customHeight="1">
      <c r="A38" s="5" t="n"/>
      <c r="B38" s="5" t="n"/>
      <c r="C38" s="6" t="n"/>
      <c r="D38" s="62" t="n"/>
      <c r="E38" s="56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  <c r="O38" s="5" t="n"/>
      <c r="P38" s="5" t="n"/>
      <c r="Q38" s="5" t="n"/>
      <c r="R38" s="5" t="n"/>
      <c r="S38" s="5" t="n"/>
    </row>
    <row r="39" hidden="1" ht="14.5" customHeight="1">
      <c r="A39" s="5" t="n"/>
      <c r="B39" s="5" t="n"/>
      <c r="C39" s="6" t="n"/>
      <c r="D39" s="62" t="n"/>
      <c r="E39" s="56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  <c r="O39" s="5" t="n"/>
      <c r="P39" s="5" t="n"/>
      <c r="Q39" s="5" t="n"/>
      <c r="R39" s="5" t="n"/>
      <c r="S39" s="5" t="n"/>
    </row>
  </sheetData>
  <mergeCells count="1">
    <mergeCell ref="B2:C2"/>
  </mergeCells>
  <dataValidations count="1">
    <dataValidation sqref="C8" showDropDown="0" showInputMessage="1" showErrorMessage="1" allowBlank="1" type="list">
      <formula1>INDIRECT($C$7)</formula1>
    </dataValidation>
  </dataValidations>
  <hyperlinks>
    <hyperlink ref="B6" location="'Cadastro de Produtos'!A1" display="Código"/>
  </hyperlinks>
  <pageMargins left="0.511811024" right="0.511811024" top="0.787401575" bottom="0.787401575" header="0.31496062" footer="0.31496062"/>
  <pageSetup orientation="portrait" paperSize="9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Planilha2">
    <tabColor theme="4" tint="0.3999755851924192"/>
    <outlinePr summaryBelow="1" summaryRight="1"/>
    <pageSetUpPr/>
  </sheetPr>
  <dimension ref="A1:U988"/>
  <sheetViews>
    <sheetView tabSelected="1" workbookViewId="0">
      <selection activeCell="T3" sqref="T3:T988"/>
    </sheetView>
  </sheetViews>
  <sheetFormatPr baseColWidth="8" defaultColWidth="103" defaultRowHeight="14.5"/>
  <cols>
    <col width="9.26953125" bestFit="1" customWidth="1" style="41" min="1" max="1"/>
    <col width="8.1796875" bestFit="1" customWidth="1" style="41" min="2" max="2"/>
    <col width="19.1796875" bestFit="1" customWidth="1" style="41" min="3" max="3"/>
    <col width="30.26953125" bestFit="1" customWidth="1" style="41" min="4" max="4"/>
    <col width="20.81640625" bestFit="1" customWidth="1" style="41" min="5" max="5"/>
    <col width="21.453125" bestFit="1" customWidth="1" style="41" min="6" max="6"/>
    <col width="6.1796875" bestFit="1" customWidth="1" style="41" min="7" max="7"/>
    <col width="10.26953125" bestFit="1" customWidth="1" style="63" min="8" max="8"/>
    <col width="19.453125" bestFit="1" customWidth="1" style="45" min="9" max="9"/>
    <col width="6.1796875" bestFit="1" customWidth="1" style="41" min="10" max="10"/>
    <col width="8.81640625" bestFit="1" customWidth="1" style="41" min="11" max="11"/>
    <col width="14.7265625" bestFit="1" customWidth="1" style="45" min="12" max="12"/>
    <col width="6.1796875" bestFit="1" customWidth="1" style="41" min="13" max="13"/>
    <col width="8.81640625" bestFit="1" customWidth="1" style="41" min="14" max="14"/>
    <col width="10.26953125" bestFit="1" customWidth="1" style="45" min="15" max="15"/>
    <col width="6.1796875" bestFit="1" customWidth="1" style="41" min="16" max="16"/>
    <col width="8.81640625" bestFit="1" customWidth="1" style="41" min="17" max="17"/>
    <col width="10" bestFit="1" customWidth="1" style="45" min="18" max="18"/>
    <col width="6.1796875" bestFit="1" customWidth="1" style="41" min="19" max="19"/>
    <col width="13.453125" bestFit="1" customWidth="1" style="41" min="20" max="20"/>
    <col width="12.1796875" bestFit="1" customWidth="1" style="41" min="21" max="21"/>
    <col width="103" customWidth="1" style="41" min="22" max="16384"/>
  </cols>
  <sheetData>
    <row r="1" ht="25.5" customHeight="1">
      <c r="A1" s="46" t="n"/>
      <c r="B1" s="64" t="n"/>
      <c r="C1" s="64" t="n"/>
      <c r="D1" s="64" t="n"/>
      <c r="E1" s="64" t="n"/>
      <c r="F1" s="64" t="n"/>
      <c r="G1" s="64" t="n"/>
      <c r="H1" s="64" t="n"/>
      <c r="I1" s="64" t="n"/>
      <c r="J1" s="64" t="n"/>
      <c r="K1" s="64" t="n"/>
      <c r="L1" s="64" t="n"/>
      <c r="M1" s="64" t="n"/>
      <c r="N1" s="64" t="n"/>
      <c r="O1" s="64" t="n"/>
      <c r="P1" s="64" t="n"/>
      <c r="Q1" s="64" t="n"/>
      <c r="R1" s="64" t="n"/>
      <c r="T1" s="42" t="inlineStr">
        <is>
          <t>TOTAL GERAL:</t>
        </is>
      </c>
      <c r="U1" s="65">
        <f>SUM(U3:U988)</f>
        <v/>
      </c>
    </row>
    <row r="2" ht="27.75" customHeight="1">
      <c r="A2" s="27" t="inlineStr">
        <is>
          <t>DATA</t>
        </is>
      </c>
      <c r="B2" s="27" t="inlineStr">
        <is>
          <t>PROFILE</t>
        </is>
      </c>
      <c r="C2" s="27" t="inlineStr">
        <is>
          <t>CIDADE</t>
        </is>
      </c>
      <c r="D2" s="27" t="inlineStr">
        <is>
          <t>REFERÊNCIA - LOCALIZAÇÃO</t>
        </is>
      </c>
      <c r="E2" s="27" t="inlineStr">
        <is>
          <t>CTO/CEO</t>
        </is>
      </c>
      <c r="F2" s="27" t="inlineStr">
        <is>
          <t>SERVIÇO 1</t>
        </is>
      </c>
      <c r="G2" s="27" t="inlineStr">
        <is>
          <t>QTD 1</t>
        </is>
      </c>
      <c r="H2" s="66" t="inlineStr">
        <is>
          <t xml:space="preserve"> VALOR 1</t>
        </is>
      </c>
      <c r="I2" s="37" t="inlineStr">
        <is>
          <t>SERVIÇO 2</t>
        </is>
      </c>
      <c r="J2" s="27" t="inlineStr">
        <is>
          <t>QTD 2</t>
        </is>
      </c>
      <c r="K2" s="27" t="inlineStr">
        <is>
          <t xml:space="preserve"> VALOR 2</t>
        </is>
      </c>
      <c r="L2" s="37" t="inlineStr">
        <is>
          <t>SERVIÇO 3</t>
        </is>
      </c>
      <c r="M2" s="27" t="inlineStr">
        <is>
          <t>QTD 3</t>
        </is>
      </c>
      <c r="N2" s="27" t="inlineStr">
        <is>
          <t xml:space="preserve"> VALOR 3</t>
        </is>
      </c>
      <c r="O2" s="37" t="inlineStr">
        <is>
          <t>SERVIÇO 4</t>
        </is>
      </c>
      <c r="P2" s="27" t="inlineStr">
        <is>
          <t>QTD 4</t>
        </is>
      </c>
      <c r="Q2" s="27" t="inlineStr">
        <is>
          <t xml:space="preserve"> VALOR 4</t>
        </is>
      </c>
      <c r="R2" s="37" t="inlineStr">
        <is>
          <t>SERVIÇO 5</t>
        </is>
      </c>
      <c r="S2" s="27" t="inlineStr">
        <is>
          <t>QTD 5</t>
        </is>
      </c>
      <c r="T2" s="27" t="inlineStr">
        <is>
          <t xml:space="preserve"> VALOR 5</t>
        </is>
      </c>
      <c r="U2" s="27" t="inlineStr">
        <is>
          <t>TOTAL</t>
        </is>
      </c>
    </row>
    <row r="3">
      <c r="A3" s="40" t="n">
        <v>45663</v>
      </c>
      <c r="B3" s="29" t="inlineStr">
        <is>
          <t>MATRIZ</t>
        </is>
      </c>
      <c r="C3" s="29" t="inlineStr">
        <is>
          <t>JARINU</t>
        </is>
      </c>
      <c r="D3" s="29" t="inlineStr">
        <is>
          <t>RUA DAS ANDORINHAS</t>
        </is>
      </c>
      <c r="E3" s="29" t="inlineStr">
        <is>
          <t>LANÇAMENTO CABO 6FO</t>
        </is>
      </c>
      <c r="F3" s="29" t="inlineStr">
        <is>
          <t xml:space="preserve">LANÇAMENTO DE CABO       </t>
        </is>
      </c>
      <c r="G3" s="29" t="n">
        <v>200</v>
      </c>
      <c r="H3" s="67">
        <f>IF(base!F3&lt;&gt;"",VLOOKUP(F3,de_para!$A$1:$B$31,2,0)*base!G3,0)</f>
        <v/>
      </c>
      <c r="I3" s="38" t="n"/>
      <c r="J3" s="29" t="n"/>
      <c r="K3" s="67">
        <f>IF(base!I3&lt;&gt;"",VLOOKUP(I3,de_para!$A$1:$B$31,2,0)*base!J3,0)</f>
        <v/>
      </c>
      <c r="L3" s="38" t="n"/>
      <c r="M3" s="29" t="n"/>
      <c r="N3" s="67">
        <f>IF(base!L3&lt;&gt;"",VLOOKUP(L3,de_para!$A$1:$B$31,2,0)*base!M3,0)</f>
        <v/>
      </c>
      <c r="O3" s="38" t="n"/>
      <c r="P3" s="29" t="n"/>
      <c r="Q3" s="67">
        <f>IF(base!O3&lt;&gt;"",VLOOKUP(O3,de_para!$A$1:$B$31,2,0)*base!P3,0)</f>
        <v/>
      </c>
      <c r="R3" s="38" t="n"/>
      <c r="S3" s="29" t="n"/>
      <c r="T3" s="67">
        <f>IF(base!R3&lt;&gt;"",VLOOKUP(R3,de_para!$A$1:$B$31,2,0)*base!S3,0)</f>
        <v/>
      </c>
      <c r="U3" s="68">
        <f>H3+K3+N3+Q3+T3</f>
        <v/>
      </c>
    </row>
    <row r="4">
      <c r="A4" s="40" t="n">
        <v>45663</v>
      </c>
      <c r="B4" s="29" t="inlineStr">
        <is>
          <t>MATRIZ</t>
        </is>
      </c>
      <c r="C4" s="29" t="inlineStr">
        <is>
          <t>JARINU</t>
        </is>
      </c>
      <c r="D4" s="29" t="inlineStr">
        <is>
          <t xml:space="preserve"> RUA DAS SIRIEMAS </t>
        </is>
      </c>
      <c r="E4" s="29" t="inlineStr">
        <is>
          <t>LANÇAMENTO CABO 6FO</t>
        </is>
      </c>
      <c r="F4" s="29" t="inlineStr">
        <is>
          <t xml:space="preserve">LANÇAMENTO DE CABO       </t>
        </is>
      </c>
      <c r="G4" s="29" t="n">
        <v>269</v>
      </c>
      <c r="H4" s="67">
        <f>IF(base!F4&lt;&gt;"",VLOOKUP(F4,de_para!$A$1:$B$31,2,0)*base!G4,0)</f>
        <v/>
      </c>
      <c r="I4" s="38" t="n"/>
      <c r="J4" s="29" t="n"/>
      <c r="K4" s="67">
        <f>IF(base!I4&lt;&gt;"",VLOOKUP(I4,de_para!$A$1:$B$31,2,0)*base!J4,0)</f>
        <v/>
      </c>
      <c r="L4" s="38" t="n"/>
      <c r="M4" s="29" t="n"/>
      <c r="N4" s="67">
        <f>IF(base!L4&lt;&gt;"",VLOOKUP(L4,de_para!$A$1:$B$31,2,0)*base!M4,0)</f>
        <v/>
      </c>
      <c r="O4" s="38" t="n"/>
      <c r="P4" s="29" t="n"/>
      <c r="Q4" s="67">
        <f>IF(base!O4&lt;&gt;"",VLOOKUP(O4,de_para!$A$1:$B$31,2,0)*base!P4,0)</f>
        <v/>
      </c>
      <c r="R4" s="38" t="n"/>
      <c r="S4" s="29" t="n"/>
      <c r="T4" s="67">
        <f>IF(base!R4&lt;&gt;"",VLOOKUP(R4,de_para!$A$1:$B$31,2,0)*base!S4,0)</f>
        <v/>
      </c>
      <c r="U4" s="68">
        <f>H4+K4+N4+Q4+T4</f>
        <v/>
      </c>
    </row>
    <row r="5">
      <c r="A5" s="40" t="n">
        <v>45665</v>
      </c>
      <c r="B5" s="29" t="inlineStr">
        <is>
          <t>MATRIZ</t>
        </is>
      </c>
      <c r="C5" s="29" t="inlineStr">
        <is>
          <t>SP4</t>
        </is>
      </c>
      <c r="D5" s="29" t="inlineStr">
        <is>
          <t xml:space="preserve">RUA GUILHERME 1 </t>
        </is>
      </c>
      <c r="E5" s="29" t="inlineStr">
        <is>
          <t>CEO 12/12</t>
        </is>
      </c>
      <c r="F5" s="29" t="inlineStr">
        <is>
          <t>INSTALAÇÃO DE CEO</t>
        </is>
      </c>
      <c r="G5" s="29" t="n">
        <v>1</v>
      </c>
      <c r="H5" s="67">
        <f>IF(base!F5&lt;&gt;"",VLOOKUP(F5,de_para!$A$1:$B$31,2,0)*base!G5,0)</f>
        <v/>
      </c>
      <c r="I5" s="38" t="inlineStr">
        <is>
          <t xml:space="preserve">FUSÃO                    </t>
        </is>
      </c>
      <c r="J5" s="29" t="n">
        <v>12</v>
      </c>
      <c r="K5" s="67">
        <f>IF(base!I5&lt;&gt;"",VLOOKUP(I5,de_para!$A$1:$B$31,2,0)*base!J5,0)</f>
        <v/>
      </c>
      <c r="L5" s="38" t="inlineStr">
        <is>
          <t xml:space="preserve">KM RODADO </t>
        </is>
      </c>
      <c r="M5" s="29" t="n">
        <v>40</v>
      </c>
      <c r="N5" s="67">
        <f>IF(base!L5&lt;&gt;"",VLOOKUP(L5,de_para!$A$1:$B$31,2,0)*base!M5,0)</f>
        <v/>
      </c>
      <c r="O5" s="38" t="n"/>
      <c r="P5" s="29" t="n"/>
      <c r="Q5" s="67">
        <f>IF(base!O5&lt;&gt;"",VLOOKUP(O5,de_para!$A$1:$B$31,2,0)*base!P5,0)</f>
        <v/>
      </c>
      <c r="R5" s="38" t="n"/>
      <c r="S5" s="29" t="n"/>
      <c r="T5" s="67">
        <f>IF(base!R5&lt;&gt;"",VLOOKUP(R5,de_para!$A$1:$B$31,2,0)*base!S5,0)</f>
        <v/>
      </c>
      <c r="U5" s="68">
        <f>H5+K5+N5+Q5+T5</f>
        <v/>
      </c>
    </row>
    <row r="6">
      <c r="A6" s="40" t="n">
        <v>45665</v>
      </c>
      <c r="B6" s="29" t="inlineStr">
        <is>
          <t>MATRIZ</t>
        </is>
      </c>
      <c r="C6" s="29" t="inlineStr">
        <is>
          <t>JARINU</t>
        </is>
      </c>
      <c r="D6" s="29" t="inlineStr">
        <is>
          <t xml:space="preserve">RUA JOÃO BENEDITO BUENO  </t>
        </is>
      </c>
      <c r="E6" s="29" t="inlineStr">
        <is>
          <t>LANÇAMENTO  CABO 12 FO</t>
        </is>
      </c>
      <c r="F6" s="29" t="inlineStr">
        <is>
          <t xml:space="preserve">LANÇAMENTO DE CABO       </t>
        </is>
      </c>
      <c r="G6" s="29" t="n">
        <v>108</v>
      </c>
      <c r="H6" s="67">
        <f>IF(base!F6&lt;&gt;"",VLOOKUP(F6,de_para!$A$1:$B$31,2,0)*base!G6,0)</f>
        <v/>
      </c>
      <c r="I6" s="38" t="n"/>
      <c r="J6" s="29" t="n"/>
      <c r="K6" s="67">
        <f>IF(base!I6&lt;&gt;"",VLOOKUP(I6,de_para!$A$1:$B$31,2,0)*base!J6,0)</f>
        <v/>
      </c>
      <c r="L6" s="38" t="n"/>
      <c r="M6" s="29" t="n"/>
      <c r="N6" s="67">
        <f>IF(base!L6&lt;&gt;"",VLOOKUP(L6,de_para!$A$1:$B$31,2,0)*base!M6,0)</f>
        <v/>
      </c>
      <c r="O6" s="38" t="n"/>
      <c r="P6" s="29" t="n"/>
      <c r="Q6" s="67">
        <f>IF(base!O6&lt;&gt;"",VLOOKUP(O6,de_para!$A$1:$B$31,2,0)*base!P6,0)</f>
        <v/>
      </c>
      <c r="R6" s="38" t="n"/>
      <c r="S6" s="29" t="n"/>
      <c r="T6" s="67">
        <f>IF(base!R6&lt;&gt;"",VLOOKUP(R6,de_para!$A$1:$B$31,2,0)*base!S6,0)</f>
        <v/>
      </c>
      <c r="U6" s="68">
        <f>H6+K6+N6+Q6+T6</f>
        <v/>
      </c>
    </row>
    <row r="7">
      <c r="A7" s="40" t="n">
        <v>45665</v>
      </c>
      <c r="B7" s="29" t="inlineStr">
        <is>
          <t>MATRIZ</t>
        </is>
      </c>
      <c r="C7" s="29" t="inlineStr">
        <is>
          <t>JARINU</t>
        </is>
      </c>
      <c r="D7" s="29" t="inlineStr">
        <is>
          <t xml:space="preserve">RUA JOÃO BENEDITO BUENO  </t>
        </is>
      </c>
      <c r="E7" s="29" t="inlineStr">
        <is>
          <t>LANÇAMENTO CABO 6FO</t>
        </is>
      </c>
      <c r="F7" s="29" t="inlineStr">
        <is>
          <t xml:space="preserve">LANÇAMENTO DE CABO       </t>
        </is>
      </c>
      <c r="G7" s="29" t="n">
        <v>110</v>
      </c>
      <c r="H7" s="67">
        <f>IF(base!F7&lt;&gt;"",VLOOKUP(F7,de_para!$A$1:$B$31,2,0)*base!G7,0)</f>
        <v/>
      </c>
      <c r="I7" s="38" t="n"/>
      <c r="J7" s="29" t="n"/>
      <c r="K7" s="67">
        <f>IF(base!I7&lt;&gt;"",VLOOKUP(I7,de_para!$A$1:$B$31,2,0)*base!J7,0)</f>
        <v/>
      </c>
      <c r="L7" s="38" t="n"/>
      <c r="M7" s="29" t="n"/>
      <c r="N7" s="67">
        <f>IF(base!L7&lt;&gt;"",VLOOKUP(L7,de_para!$A$1:$B$31,2,0)*base!M7,0)</f>
        <v/>
      </c>
      <c r="O7" s="38" t="n"/>
      <c r="P7" s="29" t="n"/>
      <c r="Q7" s="67">
        <f>IF(base!O7&lt;&gt;"",VLOOKUP(O7,de_para!$A$1:$B$31,2,0)*base!P7,0)</f>
        <v/>
      </c>
      <c r="R7" s="38" t="n"/>
      <c r="S7" s="29" t="n"/>
      <c r="T7" s="67">
        <f>IF(base!R7&lt;&gt;"",VLOOKUP(R7,de_para!$A$1:$B$31,2,0)*base!S7,0)</f>
        <v/>
      </c>
      <c r="U7" s="68">
        <f>H7+K7+N7+Q7+T7</f>
        <v/>
      </c>
    </row>
    <row r="8">
      <c r="A8" s="40" t="n">
        <v>45665</v>
      </c>
      <c r="B8" s="29" t="inlineStr">
        <is>
          <t>MATRIZ</t>
        </is>
      </c>
      <c r="C8" s="29" t="inlineStr">
        <is>
          <t>JARINU</t>
        </is>
      </c>
      <c r="D8" s="29" t="inlineStr">
        <is>
          <t xml:space="preserve">RUA EUGÊNIO DA SILVA BRESSANE </t>
        </is>
      </c>
      <c r="E8" s="29" t="inlineStr">
        <is>
          <t>C20</t>
        </is>
      </c>
      <c r="F8" s="29" t="inlineStr">
        <is>
          <t xml:space="preserve">MANUTENÇÃO EM CTO      </t>
        </is>
      </c>
      <c r="G8" s="29" t="n">
        <v>1</v>
      </c>
      <c r="H8" s="67">
        <f>IF(base!F8&lt;&gt;"",VLOOKUP(F8,de_para!$A$1:$B$31,2,0)*base!G8,0)</f>
        <v/>
      </c>
      <c r="I8" s="38" t="inlineStr">
        <is>
          <t xml:space="preserve">INSERÇÃO DE CABO         </t>
        </is>
      </c>
      <c r="J8" s="29" t="n">
        <v>1</v>
      </c>
      <c r="K8" s="67">
        <f>IF(base!I8&lt;&gt;"",VLOOKUP(I8,de_para!$A$1:$B$31,2,0)*base!J8,0)</f>
        <v/>
      </c>
      <c r="L8" s="38" t="inlineStr">
        <is>
          <t xml:space="preserve">FUSÃO                    </t>
        </is>
      </c>
      <c r="M8" s="29" t="n">
        <v>1</v>
      </c>
      <c r="N8" s="67">
        <f>IF(base!L8&lt;&gt;"",VLOOKUP(L8,de_para!$A$1:$B$31,2,0)*base!M8,0)</f>
        <v/>
      </c>
      <c r="O8" s="38" t="inlineStr">
        <is>
          <t xml:space="preserve">KM RODADO </t>
        </is>
      </c>
      <c r="P8" s="29" t="n">
        <v>50</v>
      </c>
      <c r="Q8" s="67">
        <f>IF(base!O8&lt;&gt;"",VLOOKUP(O8,de_para!$A$1:$B$31,2,0)*base!P8,0)</f>
        <v/>
      </c>
      <c r="R8" s="38" t="n"/>
      <c r="S8" s="29" t="n"/>
      <c r="T8" s="67">
        <f>IF(base!R8&lt;&gt;"",VLOOKUP(R8,de_para!$A$1:$B$31,2,0)*base!S8,0)</f>
        <v/>
      </c>
      <c r="U8" s="68">
        <f>H8+K8+N8+Q8+T8</f>
        <v/>
      </c>
    </row>
    <row r="9">
      <c r="A9" s="40" t="n">
        <v>45665</v>
      </c>
      <c r="B9" s="29" t="inlineStr">
        <is>
          <t>MATRIZ</t>
        </is>
      </c>
      <c r="C9" s="29" t="inlineStr">
        <is>
          <t>JARINU</t>
        </is>
      </c>
      <c r="D9" s="29" t="inlineStr">
        <is>
          <t>RUA LUIS SOARES DE MOURA</t>
        </is>
      </c>
      <c r="E9" s="29" t="inlineStr">
        <is>
          <t>C30</t>
        </is>
      </c>
      <c r="F9" s="29" t="inlineStr">
        <is>
          <t xml:space="preserve">MANUTENÇÃO EM CTO      </t>
        </is>
      </c>
      <c r="G9" s="29" t="n">
        <v>1</v>
      </c>
      <c r="H9" s="67">
        <f>IF(base!F9&lt;&gt;"",VLOOKUP(F9,de_para!$A$1:$B$31,2,0)*base!G9,0)</f>
        <v/>
      </c>
      <c r="I9" s="38" t="inlineStr">
        <is>
          <t xml:space="preserve">FUSÃO                    </t>
        </is>
      </c>
      <c r="J9" s="29" t="n">
        <v>1</v>
      </c>
      <c r="K9" s="67">
        <f>IF(base!I9&lt;&gt;"",VLOOKUP(I9,de_para!$A$1:$B$31,2,0)*base!J9,0)</f>
        <v/>
      </c>
      <c r="L9" s="38" t="n"/>
      <c r="M9" s="29" t="n"/>
      <c r="N9" s="67">
        <f>IF(base!L9&lt;&gt;"",VLOOKUP(L9,de_para!$A$1:$B$31,2,0)*base!M9,0)</f>
        <v/>
      </c>
      <c r="O9" s="38" t="n"/>
      <c r="P9" s="29" t="n"/>
      <c r="Q9" s="67">
        <f>IF(base!O9&lt;&gt;"",VLOOKUP(O9,de_para!$A$1:$B$31,2,0)*base!P9,0)</f>
        <v/>
      </c>
      <c r="R9" s="38" t="n"/>
      <c r="S9" s="29" t="n"/>
      <c r="T9" s="67">
        <f>IF(base!R9&lt;&gt;"",VLOOKUP(R9,de_para!$A$1:$B$31,2,0)*base!S9,0)</f>
        <v/>
      </c>
      <c r="U9" s="68">
        <f>H9+K9+N9+Q9+T9</f>
        <v/>
      </c>
    </row>
    <row r="10">
      <c r="A10" s="40" t="n">
        <v>45666</v>
      </c>
      <c r="B10" s="29" t="inlineStr">
        <is>
          <t>MATRIZ</t>
        </is>
      </c>
      <c r="C10" s="29" t="inlineStr">
        <is>
          <t>JARINU</t>
        </is>
      </c>
      <c r="D10" s="29" t="inlineStr">
        <is>
          <t xml:space="preserve">ESTRADA MUN GINO DARTORA </t>
        </is>
      </c>
      <c r="E10" s="29" t="inlineStr">
        <is>
          <t>CEO 12/12</t>
        </is>
      </c>
      <c r="F10" s="29" t="inlineStr">
        <is>
          <t>INSTALAÇÃO DE CEO</t>
        </is>
      </c>
      <c r="G10" s="29" t="n">
        <v>1</v>
      </c>
      <c r="H10" s="67">
        <f>IF(base!F10&lt;&gt;"",VLOOKUP(F10,de_para!$A$1:$B$31,2,0)*base!G10,0)</f>
        <v/>
      </c>
      <c r="I10" s="38" t="inlineStr">
        <is>
          <t xml:space="preserve">FUSÃO                    </t>
        </is>
      </c>
      <c r="J10" s="29" t="n">
        <v>12</v>
      </c>
      <c r="K10" s="67">
        <f>IF(base!I10&lt;&gt;"",VLOOKUP(I10,de_para!$A$1:$B$31,2,0)*base!J10,0)</f>
        <v/>
      </c>
      <c r="L10" s="38" t="n"/>
      <c r="M10" s="29" t="n"/>
      <c r="N10" s="67">
        <f>IF(base!L10&lt;&gt;"",VLOOKUP(L10,de_para!$A$1:$B$31,2,0)*base!M10,0)</f>
        <v/>
      </c>
      <c r="O10" s="38" t="n"/>
      <c r="P10" s="29" t="n"/>
      <c r="Q10" s="67">
        <f>IF(base!O10&lt;&gt;"",VLOOKUP(O10,de_para!$A$1:$B$31,2,0)*base!P10,0)</f>
        <v/>
      </c>
      <c r="R10" s="38" t="n"/>
      <c r="S10" s="29" t="n"/>
      <c r="T10" s="67">
        <f>IF(base!R10&lt;&gt;"",VLOOKUP(R10,de_para!$A$1:$B$31,2,0)*base!S10,0)</f>
        <v/>
      </c>
      <c r="U10" s="68">
        <f>H10+K10+N10+Q10+T10</f>
        <v/>
      </c>
    </row>
    <row r="11">
      <c r="A11" s="40" t="n">
        <v>45666</v>
      </c>
      <c r="B11" s="29" t="inlineStr">
        <is>
          <t>MATRIZ</t>
        </is>
      </c>
      <c r="C11" s="29" t="inlineStr">
        <is>
          <t>JARINU</t>
        </is>
      </c>
      <c r="D11" s="29" t="inlineStr">
        <is>
          <t xml:space="preserve">RUA TERESINHA CANOTILHO </t>
        </is>
      </c>
      <c r="E11" s="29" t="inlineStr">
        <is>
          <t>CEO 6/6</t>
        </is>
      </c>
      <c r="F11" s="29" t="inlineStr">
        <is>
          <t>INSTALAÇÃO DE CEO</t>
        </is>
      </c>
      <c r="G11" s="29" t="n">
        <v>1</v>
      </c>
      <c r="H11" s="67">
        <f>IF(base!F11&lt;&gt;"",VLOOKUP(F11,de_para!$A$1:$B$31,2,0)*base!G11,0)</f>
        <v/>
      </c>
      <c r="I11" s="38" t="inlineStr">
        <is>
          <t xml:space="preserve">FUSÃO                    </t>
        </is>
      </c>
      <c r="J11" s="29" t="n">
        <v>6</v>
      </c>
      <c r="K11" s="67">
        <f>IF(base!I11&lt;&gt;"",VLOOKUP(I11,de_para!$A$1:$B$31,2,0)*base!J11,0)</f>
        <v/>
      </c>
      <c r="L11" s="38" t="n"/>
      <c r="M11" s="29" t="n"/>
      <c r="N11" s="67">
        <f>IF(base!L11&lt;&gt;"",VLOOKUP(L11,de_para!$A$1:$B$31,2,0)*base!M11,0)</f>
        <v/>
      </c>
      <c r="O11" s="38" t="n"/>
      <c r="P11" s="29" t="n"/>
      <c r="Q11" s="67">
        <f>IF(base!O11&lt;&gt;"",VLOOKUP(O11,de_para!$A$1:$B$31,2,0)*base!P11,0)</f>
        <v/>
      </c>
      <c r="R11" s="38" t="n"/>
      <c r="S11" s="29" t="n"/>
      <c r="T11" s="67">
        <f>IF(base!R11&lt;&gt;"",VLOOKUP(R11,de_para!$A$1:$B$31,2,0)*base!S11,0)</f>
        <v/>
      </c>
      <c r="U11" s="68">
        <f>H11+K11+N11+Q11+T11</f>
        <v/>
      </c>
    </row>
    <row r="12">
      <c r="A12" s="40" t="n">
        <v>45666</v>
      </c>
      <c r="B12" s="29" t="inlineStr">
        <is>
          <t>MATRIZ</t>
        </is>
      </c>
      <c r="C12" s="29" t="inlineStr">
        <is>
          <t>JARINU</t>
        </is>
      </c>
      <c r="D12" s="29" t="inlineStr">
        <is>
          <t>RUA SERGIO FRANCÊS</t>
        </is>
      </c>
      <c r="E12" s="29" t="inlineStr">
        <is>
          <t>CEO 6/6</t>
        </is>
      </c>
      <c r="F12" s="29" t="inlineStr">
        <is>
          <t>INSTALAÇÃO DE CEO</t>
        </is>
      </c>
      <c r="G12" s="29" t="n">
        <v>1</v>
      </c>
      <c r="H12" s="67">
        <f>IF(base!F12&lt;&gt;"",VLOOKUP(F12,de_para!$A$1:$B$31,2,0)*base!G12,0)</f>
        <v/>
      </c>
      <c r="I12" s="38" t="inlineStr">
        <is>
          <t xml:space="preserve">FUSÃO                    </t>
        </is>
      </c>
      <c r="J12" s="29" t="n">
        <v>6</v>
      </c>
      <c r="K12" s="67">
        <f>IF(base!I12&lt;&gt;"",VLOOKUP(I12,de_para!$A$1:$B$31,2,0)*base!J12,0)</f>
        <v/>
      </c>
      <c r="L12" s="38" t="n"/>
      <c r="M12" s="29" t="n"/>
      <c r="N12" s="67">
        <f>IF(base!L12&lt;&gt;"",VLOOKUP(L12,de_para!$A$1:$B$31,2,0)*base!M12,0)</f>
        <v/>
      </c>
      <c r="O12" s="38" t="n"/>
      <c r="P12" s="29" t="n"/>
      <c r="Q12" s="67">
        <f>IF(base!O12&lt;&gt;"",VLOOKUP(O12,de_para!$A$1:$B$31,2,0)*base!P12,0)</f>
        <v/>
      </c>
      <c r="R12" s="38" t="n"/>
      <c r="S12" s="29" t="n"/>
      <c r="T12" s="67">
        <f>IF(base!R12&lt;&gt;"",VLOOKUP(R12,de_para!$A$1:$B$31,2,0)*base!S12,0)</f>
        <v/>
      </c>
      <c r="U12" s="68">
        <f>H12+K12+N12+Q12+T12</f>
        <v/>
      </c>
    </row>
    <row r="13">
      <c r="A13" s="40" t="n">
        <v>45666</v>
      </c>
      <c r="B13" s="29" t="inlineStr">
        <is>
          <t>MATRIZ</t>
        </is>
      </c>
      <c r="C13" s="29" t="inlineStr">
        <is>
          <t>JARINU</t>
        </is>
      </c>
      <c r="D13" s="29" t="inlineStr">
        <is>
          <t xml:space="preserve">RUA  DOS BEM TE VIS </t>
        </is>
      </c>
      <c r="E13" s="29" t="inlineStr">
        <is>
          <t>LANÇAMENTO CABO 12 FO</t>
        </is>
      </c>
      <c r="F13" s="29" t="inlineStr">
        <is>
          <t xml:space="preserve">LANÇAMENTO DE CABO       </t>
        </is>
      </c>
      <c r="G13" s="29" t="n">
        <v>79</v>
      </c>
      <c r="H13" s="67">
        <f>IF(base!F13&lt;&gt;"",VLOOKUP(F13,de_para!$A$1:$B$31,2,0)*base!G13,0)</f>
        <v/>
      </c>
      <c r="I13" s="38" t="n"/>
      <c r="J13" s="29" t="n"/>
      <c r="K13" s="67">
        <f>IF(base!I13&lt;&gt;"",VLOOKUP(I13,de_para!$A$1:$B$31,2,0)*base!J13,0)</f>
        <v/>
      </c>
      <c r="L13" s="38" t="n"/>
      <c r="M13" s="29" t="n"/>
      <c r="N13" s="67">
        <f>IF(base!L13&lt;&gt;"",VLOOKUP(L13,de_para!$A$1:$B$31,2,0)*base!M13,0)</f>
        <v/>
      </c>
      <c r="O13" s="38" t="n"/>
      <c r="P13" s="29" t="n"/>
      <c r="Q13" s="67">
        <f>IF(base!O13&lt;&gt;"",VLOOKUP(O13,de_para!$A$1:$B$31,2,0)*base!P13,0)</f>
        <v/>
      </c>
      <c r="R13" s="38" t="n"/>
      <c r="S13" s="29" t="n"/>
      <c r="T13" s="67">
        <f>IF(base!R13&lt;&gt;"",VLOOKUP(R13,de_para!$A$1:$B$31,2,0)*base!S13,0)</f>
        <v/>
      </c>
      <c r="U13" s="68">
        <f>H13+K13+N13+Q13+T13</f>
        <v/>
      </c>
    </row>
    <row r="14">
      <c r="A14" s="40" t="n">
        <v>45667</v>
      </c>
      <c r="B14" s="29" t="inlineStr">
        <is>
          <t>MATRIZ</t>
        </is>
      </c>
      <c r="C14" s="29" t="inlineStr">
        <is>
          <t>JARINU</t>
        </is>
      </c>
      <c r="D14" s="29" t="inlineStr">
        <is>
          <t xml:space="preserve">RUA DOMINGOS VALDEMAR GALATI </t>
        </is>
      </c>
      <c r="E14" s="29" t="inlineStr">
        <is>
          <t>LANÇAMENTO CABO 6FO</t>
        </is>
      </c>
      <c r="F14" s="29" t="inlineStr">
        <is>
          <t xml:space="preserve">LANÇAMENTO DE CABO       </t>
        </is>
      </c>
      <c r="G14" s="29" t="n">
        <v>90</v>
      </c>
      <c r="H14" s="67">
        <f>IF(base!F14&lt;&gt;"",VLOOKUP(F14,de_para!$A$1:$B$31,2,0)*base!G14,0)</f>
        <v/>
      </c>
      <c r="I14" s="38" t="n"/>
      <c r="J14" s="29" t="n"/>
      <c r="K14" s="67">
        <f>IF(base!I14&lt;&gt;"",VLOOKUP(I14,de_para!$A$1:$B$31,2,0)*base!J14,0)</f>
        <v/>
      </c>
      <c r="L14" s="38" t="n"/>
      <c r="M14" s="29" t="n"/>
      <c r="N14" s="67">
        <f>IF(base!L14&lt;&gt;"",VLOOKUP(L14,de_para!$A$1:$B$31,2,0)*base!M14,0)</f>
        <v/>
      </c>
      <c r="O14" s="38" t="n"/>
      <c r="P14" s="29" t="n"/>
      <c r="Q14" s="67">
        <f>IF(base!O14&lt;&gt;"",VLOOKUP(O14,de_para!$A$1:$B$31,2,0)*base!P14,0)</f>
        <v/>
      </c>
      <c r="R14" s="38" t="n"/>
      <c r="S14" s="29" t="n"/>
      <c r="T14" s="67">
        <f>IF(base!R14&lt;&gt;"",VLOOKUP(R14,de_para!$A$1:$B$31,2,0)*base!S14,0)</f>
        <v/>
      </c>
      <c r="U14" s="68">
        <f>H14+K14+N14+Q14+T14</f>
        <v/>
      </c>
    </row>
    <row r="15">
      <c r="A15" s="40" t="n">
        <v>45667</v>
      </c>
      <c r="B15" s="29" t="inlineStr">
        <is>
          <t>MATRIZ</t>
        </is>
      </c>
      <c r="C15" s="29" t="inlineStr">
        <is>
          <t>JARINU</t>
        </is>
      </c>
      <c r="D15" s="29" t="inlineStr">
        <is>
          <t xml:space="preserve">ESTRADA MUN ATÍLIO SQUIZATO </t>
        </is>
      </c>
      <c r="E15" s="29" t="inlineStr">
        <is>
          <t>CEO 12/12</t>
        </is>
      </c>
      <c r="F15" s="29" t="inlineStr">
        <is>
          <t>INSTALAÇÃO DE CEO</t>
        </is>
      </c>
      <c r="G15" s="29" t="n">
        <v>1</v>
      </c>
      <c r="H15" s="67">
        <f>IF(base!F15&lt;&gt;"",VLOOKUP(F15,de_para!$A$1:$B$31,2,0)*base!G15,0)</f>
        <v/>
      </c>
      <c r="I15" s="38" t="inlineStr">
        <is>
          <t xml:space="preserve">FUSÃO                    </t>
        </is>
      </c>
      <c r="J15" s="29" t="n">
        <v>12</v>
      </c>
      <c r="K15" s="67">
        <f>IF(base!I15&lt;&gt;"",VLOOKUP(I15,de_para!$A$1:$B$31,2,0)*base!J15,0)</f>
        <v/>
      </c>
      <c r="L15" s="38" t="inlineStr">
        <is>
          <t xml:space="preserve">KM RODADO </t>
        </is>
      </c>
      <c r="M15" s="29" t="n">
        <v>70</v>
      </c>
      <c r="N15" s="67">
        <f>IF(base!L15&lt;&gt;"",VLOOKUP(L15,de_para!$A$1:$B$31,2,0)*base!M15,0)</f>
        <v/>
      </c>
      <c r="O15" s="38" t="n"/>
      <c r="P15" s="29" t="n"/>
      <c r="Q15" s="67">
        <f>IF(base!O15&lt;&gt;"",VLOOKUP(O15,de_para!$A$1:$B$31,2,0)*base!P15,0)</f>
        <v/>
      </c>
      <c r="R15" s="38" t="n"/>
      <c r="S15" s="29" t="n"/>
      <c r="T15" s="67">
        <f>IF(base!R15&lt;&gt;"",VLOOKUP(R15,de_para!$A$1:$B$31,2,0)*base!S15,0)</f>
        <v/>
      </c>
      <c r="U15" s="68">
        <f>H15+K15+N15+Q15+T15</f>
        <v/>
      </c>
    </row>
    <row r="16">
      <c r="A16" s="40" t="n">
        <v>45670</v>
      </c>
      <c r="B16" s="29" t="inlineStr">
        <is>
          <t>MATRIZ</t>
        </is>
      </c>
      <c r="C16" s="29" t="inlineStr">
        <is>
          <t>JARINU</t>
        </is>
      </c>
      <c r="D16" s="29" t="inlineStr">
        <is>
          <t xml:space="preserve">ESTRA MUN BENVENUTO PARISE </t>
        </is>
      </c>
      <c r="E16" s="29" t="inlineStr">
        <is>
          <t>CEO 6/12</t>
        </is>
      </c>
      <c r="F16" s="29" t="inlineStr">
        <is>
          <t>INSTALAÇÃO DE CEO</t>
        </is>
      </c>
      <c r="G16" s="29" t="n">
        <v>1</v>
      </c>
      <c r="H16" s="67">
        <f>IF(base!F16&lt;&gt;"",VLOOKUP(F16,de_para!$A$1:$B$31,2,0)*base!G16,0)</f>
        <v/>
      </c>
      <c r="I16" s="38" t="inlineStr">
        <is>
          <t xml:space="preserve">FUSÃO                    </t>
        </is>
      </c>
      <c r="J16" s="29" t="n">
        <v>6</v>
      </c>
      <c r="K16" s="67">
        <f>IF(base!I16&lt;&gt;"",VLOOKUP(I16,de_para!$A$1:$B$31,2,0)*base!J16,0)</f>
        <v/>
      </c>
      <c r="L16" s="38" t="n"/>
      <c r="M16" s="29" t="n"/>
      <c r="N16" s="67">
        <f>IF(base!L16&lt;&gt;"",VLOOKUP(L16,de_para!$A$1:$B$31,2,0)*base!M16,0)</f>
        <v/>
      </c>
      <c r="O16" s="38" t="n"/>
      <c r="P16" s="29" t="n"/>
      <c r="Q16" s="67">
        <f>IF(base!O16&lt;&gt;"",VLOOKUP(O16,de_para!$A$1:$B$31,2,0)*base!P16,0)</f>
        <v/>
      </c>
      <c r="R16" s="38" t="n"/>
      <c r="S16" s="29" t="n"/>
      <c r="T16" s="67">
        <f>IF(base!R16&lt;&gt;"",VLOOKUP(R16,de_para!$A$1:$B$31,2,0)*base!S16,0)</f>
        <v/>
      </c>
      <c r="U16" s="68">
        <f>H16+K16+N16+Q16+T16</f>
        <v/>
      </c>
    </row>
    <row r="17">
      <c r="A17" s="40" t="n">
        <v>45670</v>
      </c>
      <c r="B17" s="29" t="inlineStr">
        <is>
          <t>MATRIZ</t>
        </is>
      </c>
      <c r="C17" s="29" t="inlineStr">
        <is>
          <t>JARINU</t>
        </is>
      </c>
      <c r="D17" s="29" t="inlineStr">
        <is>
          <t xml:space="preserve">ESTRA MUN BENVENUTO PARISE </t>
        </is>
      </c>
      <c r="E17" s="29" t="inlineStr">
        <is>
          <t>LANÇAMENTO CABO 12FO</t>
        </is>
      </c>
      <c r="F17" s="29" t="inlineStr">
        <is>
          <t xml:space="preserve">LANÇAMENTO DE CABO       </t>
        </is>
      </c>
      <c r="G17" s="29" t="n">
        <v>20</v>
      </c>
      <c r="H17" s="67">
        <f>IF(base!F17&lt;&gt;"",VLOOKUP(F17,de_para!$A$1:$B$31,2,0)*base!G17,0)</f>
        <v/>
      </c>
      <c r="I17" s="38" t="n"/>
      <c r="J17" s="29" t="n"/>
      <c r="K17" s="67">
        <f>IF(base!I17&lt;&gt;"",VLOOKUP(I17,de_para!$A$1:$B$31,2,0)*base!J17,0)</f>
        <v/>
      </c>
      <c r="L17" s="38" t="n"/>
      <c r="M17" s="29" t="n"/>
      <c r="N17" s="67">
        <f>IF(base!L17&lt;&gt;"",VLOOKUP(L17,de_para!$A$1:$B$31,2,0)*base!M17,0)</f>
        <v/>
      </c>
      <c r="O17" s="38" t="n"/>
      <c r="P17" s="29" t="n"/>
      <c r="Q17" s="67">
        <f>IF(base!O17&lt;&gt;"",VLOOKUP(O17,de_para!$A$1:$B$31,2,0)*base!P17,0)</f>
        <v/>
      </c>
      <c r="R17" s="38" t="n"/>
      <c r="S17" s="29" t="n"/>
      <c r="T17" s="67">
        <f>IF(base!R17&lt;&gt;"",VLOOKUP(R17,de_para!$A$1:$B$31,2,0)*base!S17,0)</f>
        <v/>
      </c>
      <c r="U17" s="68">
        <f>H17+K17+N17+Q17+T17</f>
        <v/>
      </c>
    </row>
    <row r="18">
      <c r="A18" s="40" t="n">
        <v>45671</v>
      </c>
      <c r="B18" s="29" t="inlineStr">
        <is>
          <t>MATRIZ</t>
        </is>
      </c>
      <c r="C18" s="29" t="inlineStr">
        <is>
          <t>JARINU</t>
        </is>
      </c>
      <c r="D18" s="29" t="inlineStr">
        <is>
          <t>-23.122404,-46.677044</t>
        </is>
      </c>
      <c r="E18" s="29" t="inlineStr">
        <is>
          <t>C467B</t>
        </is>
      </c>
      <c r="F18" s="29" t="inlineStr">
        <is>
          <t xml:space="preserve">INSTALAÇÃO DE CTO        </t>
        </is>
      </c>
      <c r="G18" s="29" t="n">
        <v>1</v>
      </c>
      <c r="H18" s="67">
        <f>IF(base!F18&lt;&gt;"",VLOOKUP(F18,de_para!$A$1:$B$31,2,0)*base!G18,0)</f>
        <v/>
      </c>
      <c r="I18" s="38" t="n"/>
      <c r="J18" s="29" t="n"/>
      <c r="K18" s="67">
        <f>IF(base!I18&lt;&gt;"",VLOOKUP(I18,de_para!$A$1:$B$31,2,0)*base!J18,0)</f>
        <v/>
      </c>
      <c r="L18" s="38" t="n"/>
      <c r="M18" s="29" t="n"/>
      <c r="N18" s="67">
        <f>IF(base!L18&lt;&gt;"",VLOOKUP(L18,de_para!$A$1:$B$31,2,0)*base!M18,0)</f>
        <v/>
      </c>
      <c r="O18" s="38" t="n"/>
      <c r="P18" s="29" t="n"/>
      <c r="Q18" s="67">
        <f>IF(base!O18&lt;&gt;"",VLOOKUP(O18,de_para!$A$1:$B$31,2,0)*base!P18,0)</f>
        <v/>
      </c>
      <c r="R18" s="38" t="n"/>
      <c r="S18" s="29" t="n"/>
      <c r="T18" s="67">
        <f>IF(base!R18&lt;&gt;"",VLOOKUP(R18,de_para!$A$1:$B$31,2,0)*base!S18,0)</f>
        <v/>
      </c>
      <c r="U18" s="68">
        <f>H18+K18+N18+Q18+T18</f>
        <v/>
      </c>
    </row>
    <row r="19">
      <c r="A19" s="40" t="n">
        <v>45671</v>
      </c>
      <c r="B19" s="29" t="inlineStr">
        <is>
          <t>MATRIZ</t>
        </is>
      </c>
      <c r="C19" s="29" t="inlineStr">
        <is>
          <t>JARINU</t>
        </is>
      </c>
      <c r="D19" s="29" t="inlineStr">
        <is>
          <t>TRAVESSA RUA JOSÉ ARCA</t>
        </is>
      </c>
      <c r="E19" s="29" t="inlineStr">
        <is>
          <t>C537B</t>
        </is>
      </c>
      <c r="F19" s="29" t="inlineStr">
        <is>
          <t xml:space="preserve">INSTALAÇÃO DE CTO        </t>
        </is>
      </c>
      <c r="G19" s="29" t="n">
        <v>1</v>
      </c>
      <c r="H19" s="67">
        <f>IF(base!F19&lt;&gt;"",VLOOKUP(F19,de_para!$A$1:$B$31,2,0)*base!G19,0)</f>
        <v/>
      </c>
      <c r="I19" s="38" t="n"/>
      <c r="J19" s="29" t="n"/>
      <c r="K19" s="67">
        <f>IF(base!I19&lt;&gt;"",VLOOKUP(I19,de_para!$A$1:$B$31,2,0)*base!J19,0)</f>
        <v/>
      </c>
      <c r="L19" s="38" t="n"/>
      <c r="M19" s="29" t="n"/>
      <c r="N19" s="67">
        <f>IF(base!L19&lt;&gt;"",VLOOKUP(L19,de_para!$A$1:$B$31,2,0)*base!M19,0)</f>
        <v/>
      </c>
      <c r="O19" s="38" t="n"/>
      <c r="P19" s="29" t="n"/>
      <c r="Q19" s="67">
        <f>IF(base!O19&lt;&gt;"",VLOOKUP(O19,de_para!$A$1:$B$31,2,0)*base!P19,0)</f>
        <v/>
      </c>
      <c r="R19" s="38" t="n"/>
      <c r="S19" s="29" t="n"/>
      <c r="T19" s="67">
        <f>IF(base!R19&lt;&gt;"",VLOOKUP(R19,de_para!$A$1:$B$31,2,0)*base!S19,0)</f>
        <v/>
      </c>
      <c r="U19" s="68">
        <f>H19+K19+N19+Q19+T19</f>
        <v/>
      </c>
    </row>
    <row r="20">
      <c r="A20" s="40" t="n">
        <v>45672</v>
      </c>
      <c r="B20" s="29" t="inlineStr">
        <is>
          <t>MATRIZ</t>
        </is>
      </c>
      <c r="C20" s="29" t="inlineStr">
        <is>
          <t>JARINU</t>
        </is>
      </c>
      <c r="D20" s="29" t="inlineStr">
        <is>
          <t>ESTRADA MUN JURIPE</t>
        </is>
      </c>
      <c r="E20" s="29" t="inlineStr">
        <is>
          <t>C489</t>
        </is>
      </c>
      <c r="F20" s="29" t="inlineStr">
        <is>
          <t xml:space="preserve">INSTALAÇÃO DE CTO        </t>
        </is>
      </c>
      <c r="G20" s="29" t="n">
        <v>1</v>
      </c>
      <c r="H20" s="67">
        <f>IF(base!F20&lt;&gt;"",VLOOKUP(F20,de_para!$A$1:$B$31,2,0)*base!G20,0)</f>
        <v/>
      </c>
      <c r="I20" s="38" t="n"/>
      <c r="J20" s="29" t="n"/>
      <c r="K20" s="67">
        <f>IF(base!I20&lt;&gt;"",VLOOKUP(I20,de_para!$A$1:$B$31,2,0)*base!J20,0)</f>
        <v/>
      </c>
      <c r="L20" s="38" t="n"/>
      <c r="M20" s="29" t="n"/>
      <c r="N20" s="67">
        <f>IF(base!L20&lt;&gt;"",VLOOKUP(L20,de_para!$A$1:$B$31,2,0)*base!M20,0)</f>
        <v/>
      </c>
      <c r="O20" s="38" t="n"/>
      <c r="P20" s="29" t="n"/>
      <c r="Q20" s="67">
        <f>IF(base!O20&lt;&gt;"",VLOOKUP(O20,de_para!$A$1:$B$31,2,0)*base!P20,0)</f>
        <v/>
      </c>
      <c r="R20" s="38" t="n"/>
      <c r="S20" s="29" t="n"/>
      <c r="T20" s="67">
        <f>IF(base!R20&lt;&gt;"",VLOOKUP(R20,de_para!$A$1:$B$31,2,0)*base!S20,0)</f>
        <v/>
      </c>
      <c r="U20" s="68">
        <f>H20+K20+N20+Q20+T20</f>
        <v/>
      </c>
    </row>
    <row r="21">
      <c r="A21" s="40" t="n">
        <v>45672</v>
      </c>
      <c r="B21" s="29" t="inlineStr">
        <is>
          <t>MATRIZ</t>
        </is>
      </c>
      <c r="C21" s="29" t="inlineStr">
        <is>
          <t>ATIBAIA</t>
        </is>
      </c>
      <c r="D21" s="29" t="inlineStr">
        <is>
          <t xml:space="preserve">CONDOMÍNIO PORTAL OURO VERDE </t>
        </is>
      </c>
      <c r="E21" s="29" t="inlineStr">
        <is>
          <t>CEO 6/6</t>
        </is>
      </c>
      <c r="F21" s="29" t="inlineStr">
        <is>
          <t>INSTALAÇÃO DE CEO</t>
        </is>
      </c>
      <c r="G21" s="29" t="n">
        <v>1</v>
      </c>
      <c r="H21" s="67">
        <f>IF(base!F21&lt;&gt;"",VLOOKUP(F21,de_para!$A$1:$B$31,2,0)*base!G21,0)</f>
        <v/>
      </c>
      <c r="I21" s="38" t="inlineStr">
        <is>
          <t xml:space="preserve">FUSÃO                    </t>
        </is>
      </c>
      <c r="J21" s="29" t="n">
        <v>6</v>
      </c>
      <c r="K21" s="67">
        <f>IF(base!I21&lt;&gt;"",VLOOKUP(I21,de_para!$A$1:$B$31,2,0)*base!J21,0)</f>
        <v/>
      </c>
      <c r="L21" s="38" t="n"/>
      <c r="M21" s="29" t="n"/>
      <c r="N21" s="67">
        <f>IF(base!L21&lt;&gt;"",VLOOKUP(L21,de_para!$A$1:$B$31,2,0)*base!M21,0)</f>
        <v/>
      </c>
      <c r="O21" s="38" t="n"/>
      <c r="P21" s="29" t="n"/>
      <c r="Q21" s="67">
        <f>IF(base!O21&lt;&gt;"",VLOOKUP(O21,de_para!$A$1:$B$31,2,0)*base!P21,0)</f>
        <v/>
      </c>
      <c r="R21" s="38" t="n"/>
      <c r="S21" s="29" t="n"/>
      <c r="T21" s="67">
        <f>IF(base!R21&lt;&gt;"",VLOOKUP(R21,de_para!$A$1:$B$31,2,0)*base!S21,0)</f>
        <v/>
      </c>
      <c r="U21" s="68">
        <f>H21+K21+N21+Q21+T21</f>
        <v/>
      </c>
    </row>
    <row r="22">
      <c r="A22" s="40" t="n">
        <v>45672</v>
      </c>
      <c r="B22" s="29" t="inlineStr">
        <is>
          <t>MATRIZ</t>
        </is>
      </c>
      <c r="C22" s="29" t="inlineStr">
        <is>
          <t>JARINU</t>
        </is>
      </c>
      <c r="D22" s="29" t="inlineStr">
        <is>
          <t>RUA CINCO</t>
        </is>
      </c>
      <c r="E22" s="29" t="inlineStr">
        <is>
          <t>C196C/C193C</t>
        </is>
      </c>
      <c r="F22" s="29" t="inlineStr">
        <is>
          <t xml:space="preserve">INSTALAÇÃO DE CTO        </t>
        </is>
      </c>
      <c r="G22" s="29" t="n">
        <v>1</v>
      </c>
      <c r="H22" s="67">
        <f>IF(base!F22&lt;&gt;"",VLOOKUP(F22,de_para!$A$1:$B$31,2,0)*base!G22,0)</f>
        <v/>
      </c>
      <c r="I22" s="38" t="inlineStr">
        <is>
          <t xml:space="preserve">KM RODADO </t>
        </is>
      </c>
      <c r="J22" s="29" t="n">
        <v>86</v>
      </c>
      <c r="K22" s="67">
        <f>IF(base!I22&lt;&gt;"",VLOOKUP(I22,de_para!$A$1:$B$31,2,0)*base!J22,0)</f>
        <v/>
      </c>
      <c r="L22" s="38" t="n"/>
      <c r="M22" s="29" t="n"/>
      <c r="N22" s="67">
        <f>IF(base!L22&lt;&gt;"",VLOOKUP(L22,de_para!$A$1:$B$31,2,0)*base!M22,0)</f>
        <v/>
      </c>
      <c r="O22" s="38" t="n"/>
      <c r="P22" s="29" t="n"/>
      <c r="Q22" s="67">
        <f>IF(base!O22&lt;&gt;"",VLOOKUP(O22,de_para!$A$1:$B$31,2,0)*base!P22,0)</f>
        <v/>
      </c>
      <c r="R22" s="38" t="n"/>
      <c r="S22" s="29" t="n"/>
      <c r="T22" s="67">
        <f>IF(base!R22&lt;&gt;"",VLOOKUP(R22,de_para!$A$1:$B$31,2,0)*base!S22,0)</f>
        <v/>
      </c>
      <c r="U22" s="68">
        <f>H22+K22+N22+Q22+T22</f>
        <v/>
      </c>
    </row>
    <row r="23">
      <c r="A23" s="40" t="n">
        <v>45674</v>
      </c>
      <c r="B23" s="29" t="inlineStr">
        <is>
          <t>MATRIZ</t>
        </is>
      </c>
      <c r="C23" s="29" t="inlineStr">
        <is>
          <t>JARINU</t>
        </is>
      </c>
      <c r="D23" s="29" t="inlineStr">
        <is>
          <t>ALAMEDA DOS CIPRESTES</t>
        </is>
      </c>
      <c r="E23" s="29" t="inlineStr">
        <is>
          <t>CEO 6/6</t>
        </is>
      </c>
      <c r="F23" s="29" t="inlineStr">
        <is>
          <t>INSTALAÇÃO DE CEO</t>
        </is>
      </c>
      <c r="G23" s="29" t="n">
        <v>1</v>
      </c>
      <c r="H23" s="67">
        <f>IF(base!F23&lt;&gt;"",VLOOKUP(F23,de_para!$A$1:$B$31,2,0)*base!G23,0)</f>
        <v/>
      </c>
      <c r="I23" s="38" t="inlineStr">
        <is>
          <t xml:space="preserve">FUSÃO                    </t>
        </is>
      </c>
      <c r="J23" s="29" t="n">
        <v>6</v>
      </c>
      <c r="K23" s="67">
        <f>IF(base!I23&lt;&gt;"",VLOOKUP(I23,de_para!$A$1:$B$31,2,0)*base!J23,0)</f>
        <v/>
      </c>
      <c r="L23" s="38" t="n"/>
      <c r="M23" s="29" t="n"/>
      <c r="N23" s="67">
        <f>IF(base!L23&lt;&gt;"",VLOOKUP(L23,de_para!$A$1:$B$31,2,0)*base!M23,0)</f>
        <v/>
      </c>
      <c r="O23" s="38" t="n"/>
      <c r="P23" s="29" t="n"/>
      <c r="Q23" s="67">
        <f>IF(base!O23&lt;&gt;"",VLOOKUP(O23,de_para!$A$1:$B$31,2,0)*base!P23,0)</f>
        <v/>
      </c>
      <c r="R23" s="38" t="n"/>
      <c r="S23" s="29" t="n"/>
      <c r="T23" s="67">
        <f>IF(base!R23&lt;&gt;"",VLOOKUP(R23,de_para!$A$1:$B$31,2,0)*base!S23,0)</f>
        <v/>
      </c>
      <c r="U23" s="68">
        <f>H23+K23+N23+Q23+T23</f>
        <v/>
      </c>
    </row>
    <row r="24">
      <c r="A24" s="40" t="n">
        <v>45674</v>
      </c>
      <c r="B24" s="29" t="inlineStr">
        <is>
          <t>MATRIZ</t>
        </is>
      </c>
      <c r="C24" s="29" t="inlineStr">
        <is>
          <t>JARINU</t>
        </is>
      </c>
      <c r="D24" s="29" t="inlineStr">
        <is>
          <t>ALAMEDA DOS CIPRESTES</t>
        </is>
      </c>
      <c r="E24" s="29" t="inlineStr">
        <is>
          <t>LANÇAMENTO CABO 6FO</t>
        </is>
      </c>
      <c r="F24" s="29" t="inlineStr">
        <is>
          <t xml:space="preserve">LANÇAMENTO DE CABO       </t>
        </is>
      </c>
      <c r="G24" s="29" t="n">
        <v>140</v>
      </c>
      <c r="H24" s="67">
        <f>IF(base!F24&lt;&gt;"",VLOOKUP(F24,de_para!$A$1:$B$31,2,0)*base!G24,0)</f>
        <v/>
      </c>
      <c r="I24" s="38" t="n"/>
      <c r="J24" s="29" t="n"/>
      <c r="K24" s="67">
        <f>IF(base!I24&lt;&gt;"",VLOOKUP(I24,de_para!$A$1:$B$31,2,0)*base!J24,0)</f>
        <v/>
      </c>
      <c r="L24" s="38" t="n"/>
      <c r="M24" s="29" t="n"/>
      <c r="N24" s="67">
        <f>IF(base!L24&lt;&gt;"",VLOOKUP(L24,de_para!$A$1:$B$31,2,0)*base!M24,0)</f>
        <v/>
      </c>
      <c r="O24" s="38" t="n"/>
      <c r="P24" s="29" t="n"/>
      <c r="Q24" s="67">
        <f>IF(base!O24&lt;&gt;"",VLOOKUP(O24,de_para!$A$1:$B$31,2,0)*base!P24,0)</f>
        <v/>
      </c>
      <c r="R24" s="38" t="n"/>
      <c r="S24" s="29" t="n"/>
      <c r="T24" s="67">
        <f>IF(base!R24&lt;&gt;"",VLOOKUP(R24,de_para!$A$1:$B$31,2,0)*base!S24,0)</f>
        <v/>
      </c>
      <c r="U24" s="68">
        <f>H24+K24+N24+Q24+T24</f>
        <v/>
      </c>
    </row>
    <row r="25">
      <c r="A25" s="40" t="n">
        <v>45674</v>
      </c>
      <c r="B25" s="29" t="inlineStr">
        <is>
          <t>MATRIZ</t>
        </is>
      </c>
      <c r="C25" s="29" t="inlineStr">
        <is>
          <t>CAMPO LIMPO PAULISTA</t>
        </is>
      </c>
      <c r="D25" s="29" t="inlineStr">
        <is>
          <t xml:space="preserve">RUA BRAGANTINA </t>
        </is>
      </c>
      <c r="E25" s="29" t="inlineStr">
        <is>
          <t>C127B</t>
        </is>
      </c>
      <c r="F25" s="29" t="inlineStr">
        <is>
          <t xml:space="preserve">INSTALAÇÃO DE CTO        </t>
        </is>
      </c>
      <c r="G25" s="29" t="n">
        <v>1</v>
      </c>
      <c r="H25" s="67">
        <f>IF(base!F25&lt;&gt;"",VLOOKUP(F25,de_para!$A$1:$B$31,2,0)*base!G25,0)</f>
        <v/>
      </c>
      <c r="I25" s="38" t="n"/>
      <c r="J25" s="29" t="n"/>
      <c r="K25" s="67">
        <f>IF(base!I25&lt;&gt;"",VLOOKUP(I25,de_para!$A$1:$B$31,2,0)*base!J25,0)</f>
        <v/>
      </c>
      <c r="L25" s="38" t="n"/>
      <c r="M25" s="29" t="n"/>
      <c r="N25" s="67">
        <f>IF(base!L25&lt;&gt;"",VLOOKUP(L25,de_para!$A$1:$B$31,2,0)*base!M25,0)</f>
        <v/>
      </c>
      <c r="O25" s="38" t="n"/>
      <c r="P25" s="29" t="n"/>
      <c r="Q25" s="67">
        <f>IF(base!O25&lt;&gt;"",VLOOKUP(O25,de_para!$A$1:$B$31,2,0)*base!P25,0)</f>
        <v/>
      </c>
      <c r="R25" s="38" t="n"/>
      <c r="S25" s="29" t="n"/>
      <c r="T25" s="67">
        <f>IF(base!R25&lt;&gt;"",VLOOKUP(R25,de_para!$A$1:$B$31,2,0)*base!S25,0)</f>
        <v/>
      </c>
      <c r="U25" s="68">
        <f>H25+K25+N25+Q25+T25</f>
        <v/>
      </c>
    </row>
    <row r="26">
      <c r="A26" s="40" t="n">
        <v>45675</v>
      </c>
      <c r="B26" s="29" t="inlineStr">
        <is>
          <t>MATRIZ</t>
        </is>
      </c>
      <c r="C26" s="29" t="inlineStr">
        <is>
          <t>ATIBAIA</t>
        </is>
      </c>
      <c r="D26" s="29" t="inlineStr">
        <is>
          <t xml:space="preserve">CONDOMÍNIO OURO VERDE </t>
        </is>
      </c>
      <c r="E26" s="29" t="inlineStr">
        <is>
          <t>CEO 6/6</t>
        </is>
      </c>
      <c r="F26" s="29" t="inlineStr">
        <is>
          <t>INSTALAÇÃO DE CEO</t>
        </is>
      </c>
      <c r="G26" s="29" t="n">
        <v>1</v>
      </c>
      <c r="H26" s="67">
        <f>IF(base!F26&lt;&gt;"",VLOOKUP(F26,de_para!$A$1:$B$31,2,0)*base!G26,0)</f>
        <v/>
      </c>
      <c r="I26" s="38" t="inlineStr">
        <is>
          <t xml:space="preserve">FUSÃO                    </t>
        </is>
      </c>
      <c r="J26" s="29" t="n">
        <v>6</v>
      </c>
      <c r="K26" s="67">
        <f>IF(base!I26&lt;&gt;"",VLOOKUP(I26,de_para!$A$1:$B$31,2,0)*base!J26,0)</f>
        <v/>
      </c>
      <c r="L26" s="38" t="n"/>
      <c r="M26" s="29" t="n"/>
      <c r="N26" s="67">
        <f>IF(base!L26&lt;&gt;"",VLOOKUP(L26,de_para!$A$1:$B$31,2,0)*base!M26,0)</f>
        <v/>
      </c>
      <c r="O26" s="38" t="n"/>
      <c r="P26" s="29" t="n"/>
      <c r="Q26" s="67">
        <f>IF(base!O26&lt;&gt;"",VLOOKUP(O26,de_para!$A$1:$B$31,2,0)*base!P26,0)</f>
        <v/>
      </c>
      <c r="R26" s="38" t="n"/>
      <c r="S26" s="29" t="n"/>
      <c r="T26" s="67">
        <f>IF(base!R26&lt;&gt;"",VLOOKUP(R26,de_para!$A$1:$B$31,2,0)*base!S26,0)</f>
        <v/>
      </c>
      <c r="U26" s="68">
        <f>H26+K26+N26+Q26+T26</f>
        <v/>
      </c>
    </row>
    <row r="27">
      <c r="A27" s="40" t="n">
        <v>45675</v>
      </c>
      <c r="B27" s="29" t="inlineStr">
        <is>
          <t>MATRIZ</t>
        </is>
      </c>
      <c r="C27" s="29" t="inlineStr">
        <is>
          <t>ATIBAIA</t>
        </is>
      </c>
      <c r="D27" s="29" t="inlineStr">
        <is>
          <t xml:space="preserve">CONDOMÍNIO OURO VERDE </t>
        </is>
      </c>
      <c r="E27" s="29" t="inlineStr">
        <is>
          <t>CEO 6/6 ²</t>
        </is>
      </c>
      <c r="F27" s="29" t="inlineStr">
        <is>
          <t>INSTALAÇÃO DE CEO</t>
        </is>
      </c>
      <c r="G27" s="29" t="n">
        <v>1</v>
      </c>
      <c r="H27" s="67">
        <f>IF(base!F27&lt;&gt;"",VLOOKUP(F27,de_para!$A$1:$B$31,2,0)*base!G27,0)</f>
        <v/>
      </c>
      <c r="I27" s="38" t="inlineStr">
        <is>
          <t xml:space="preserve">FUSÃO                    </t>
        </is>
      </c>
      <c r="J27" s="29" t="n">
        <v>6</v>
      </c>
      <c r="K27" s="67">
        <f>IF(base!I27&lt;&gt;"",VLOOKUP(I27,de_para!$A$1:$B$31,2,0)*base!J27,0)</f>
        <v/>
      </c>
      <c r="L27" s="38" t="inlineStr">
        <is>
          <t xml:space="preserve">KM RODADO </t>
        </is>
      </c>
      <c r="M27" s="29" t="n">
        <v>74</v>
      </c>
      <c r="N27" s="67">
        <f>IF(base!L27&lt;&gt;"",VLOOKUP(L27,de_para!$A$1:$B$31,2,0)*base!M27,0)</f>
        <v/>
      </c>
      <c r="O27" s="38" t="n"/>
      <c r="P27" s="29" t="n"/>
      <c r="Q27" s="67">
        <f>IF(base!O27&lt;&gt;"",VLOOKUP(O27,de_para!$A$1:$B$31,2,0)*base!P27,0)</f>
        <v/>
      </c>
      <c r="R27" s="38" t="n"/>
      <c r="S27" s="29" t="n"/>
      <c r="T27" s="67">
        <f>IF(base!R27&lt;&gt;"",VLOOKUP(R27,de_para!$A$1:$B$31,2,0)*base!S27,0)</f>
        <v/>
      </c>
      <c r="U27" s="68">
        <f>H27+K27+N27+Q27+T27</f>
        <v/>
      </c>
    </row>
    <row r="28">
      <c r="A28" s="40" t="n">
        <v>45678</v>
      </c>
      <c r="B28" s="29" t="inlineStr">
        <is>
          <t>MATRIZ</t>
        </is>
      </c>
      <c r="C28" s="29" t="inlineStr">
        <is>
          <t>JARINU</t>
        </is>
      </c>
      <c r="D28" s="29" t="inlineStr">
        <is>
          <t>ESTRADA MUN JOAO LÚCIO DO PRADO</t>
        </is>
      </c>
      <c r="E28" s="29" t="inlineStr">
        <is>
          <t>CEO 12/12/6</t>
        </is>
      </c>
      <c r="F28" s="29" t="inlineStr">
        <is>
          <t>INSTALAÇÃO DE CEO</t>
        </is>
      </c>
      <c r="G28" s="29" t="n">
        <v>1</v>
      </c>
      <c r="H28" s="67">
        <f>IF(base!F28&lt;&gt;"",VLOOKUP(F28,de_para!$A$1:$B$31,2,0)*base!G28,0)</f>
        <v/>
      </c>
      <c r="I28" s="38" t="inlineStr">
        <is>
          <t xml:space="preserve">INSERÇÃO DE CABO         </t>
        </is>
      </c>
      <c r="J28" s="29" t="n">
        <v>1</v>
      </c>
      <c r="K28" s="67">
        <f>IF(base!I28&lt;&gt;"",VLOOKUP(I28,de_para!$A$1:$B$31,2,0)*base!J28,0)</f>
        <v/>
      </c>
      <c r="L28" s="38" t="inlineStr">
        <is>
          <t xml:space="preserve">FUSÃO                    </t>
        </is>
      </c>
      <c r="M28" s="29" t="n">
        <v>1</v>
      </c>
      <c r="N28" s="67">
        <f>IF(base!L28&lt;&gt;"",VLOOKUP(L28,de_para!$A$1:$B$31,2,0)*base!M28,0)</f>
        <v/>
      </c>
      <c r="O28" s="38" t="n"/>
      <c r="P28" s="29" t="n"/>
      <c r="Q28" s="67">
        <f>IF(base!O28&lt;&gt;"",VLOOKUP(O28,de_para!$A$1:$B$31,2,0)*base!P28,0)</f>
        <v/>
      </c>
      <c r="R28" s="38" t="n"/>
      <c r="S28" s="29" t="n"/>
      <c r="T28" s="67">
        <f>IF(base!R28&lt;&gt;"",VLOOKUP(R28,de_para!$A$1:$B$31,2,0)*base!S28,0)</f>
        <v/>
      </c>
      <c r="U28" s="68">
        <f>H28+K28+N28+Q28+T28</f>
        <v/>
      </c>
    </row>
    <row r="29">
      <c r="A29" s="40" t="n">
        <v>45678</v>
      </c>
      <c r="B29" s="29" t="inlineStr">
        <is>
          <t>MATRIZ</t>
        </is>
      </c>
      <c r="C29" s="29" t="inlineStr">
        <is>
          <t>JARINU</t>
        </is>
      </c>
      <c r="D29" s="29" t="inlineStr">
        <is>
          <t>ESTRADA MUN JOAO LÚCIO DO PRADO</t>
        </is>
      </c>
      <c r="E29" s="29" t="inlineStr">
        <is>
          <t xml:space="preserve">LANÇAMENTO CABO 6FO </t>
        </is>
      </c>
      <c r="F29" s="29" t="inlineStr">
        <is>
          <t xml:space="preserve">LANÇAMENTO DE CABO       </t>
        </is>
      </c>
      <c r="G29" s="29" t="n">
        <v>250</v>
      </c>
      <c r="H29" s="67">
        <f>IF(base!F29&lt;&gt;"",VLOOKUP(F29,de_para!$A$1:$B$31,2,0)*base!G29,0)</f>
        <v/>
      </c>
      <c r="I29" s="38" t="n"/>
      <c r="J29" s="29" t="n"/>
      <c r="K29" s="67">
        <f>IF(base!I29&lt;&gt;"",VLOOKUP(I29,de_para!$A$1:$B$31,2,0)*base!J29,0)</f>
        <v/>
      </c>
      <c r="L29" s="38" t="n"/>
      <c r="M29" s="29" t="n"/>
      <c r="N29" s="67">
        <f>IF(base!L29&lt;&gt;"",VLOOKUP(L29,de_para!$A$1:$B$31,2,0)*base!M29,0)</f>
        <v/>
      </c>
      <c r="O29" s="38" t="n"/>
      <c r="P29" s="29" t="n"/>
      <c r="Q29" s="67">
        <f>IF(base!O29&lt;&gt;"",VLOOKUP(O29,de_para!$A$1:$B$31,2,0)*base!P29,0)</f>
        <v/>
      </c>
      <c r="R29" s="38" t="n"/>
      <c r="S29" s="29" t="n"/>
      <c r="T29" s="67">
        <f>IF(base!R29&lt;&gt;"",VLOOKUP(R29,de_para!$A$1:$B$31,2,0)*base!S29,0)</f>
        <v/>
      </c>
      <c r="U29" s="68">
        <f>H29+K29+N29+Q29+T29</f>
        <v/>
      </c>
    </row>
    <row r="30">
      <c r="A30" s="40" t="n">
        <v>45678</v>
      </c>
      <c r="B30" s="29" t="inlineStr">
        <is>
          <t>MATRIZ</t>
        </is>
      </c>
      <c r="C30" s="29" t="inlineStr">
        <is>
          <t>JARINU</t>
        </is>
      </c>
      <c r="D30" s="29" t="inlineStr">
        <is>
          <t>ESTRADA MUN JOAO LÚCIO DO PRADO</t>
        </is>
      </c>
      <c r="E30" s="29" t="inlineStr">
        <is>
          <t>C63B</t>
        </is>
      </c>
      <c r="F30" s="29" t="inlineStr">
        <is>
          <t xml:space="preserve">INSTALAÇÃO DE CTO        </t>
        </is>
      </c>
      <c r="G30" s="29" t="n">
        <v>1</v>
      </c>
      <c r="H30" s="67">
        <f>IF(base!F30&lt;&gt;"",VLOOKUP(F30,de_para!$A$1:$B$31,2,0)*base!G30,0)</f>
        <v/>
      </c>
      <c r="I30" s="38" t="inlineStr">
        <is>
          <t xml:space="preserve">KM RODADO </t>
        </is>
      </c>
      <c r="J30" s="29" t="n">
        <v>60</v>
      </c>
      <c r="K30" s="67">
        <f>IF(base!I30&lt;&gt;"",VLOOKUP(I30,de_para!$A$1:$B$31,2,0)*base!J30,0)</f>
        <v/>
      </c>
      <c r="L30" s="38" t="n"/>
      <c r="M30" s="29" t="n"/>
      <c r="N30" s="67">
        <f>IF(base!L30&lt;&gt;"",VLOOKUP(L30,de_para!$A$1:$B$31,2,0)*base!M30,0)</f>
        <v/>
      </c>
      <c r="O30" s="38" t="n"/>
      <c r="P30" s="29" t="n"/>
      <c r="Q30" s="67">
        <f>IF(base!O30&lt;&gt;"",VLOOKUP(O30,de_para!$A$1:$B$31,2,0)*base!P30,0)</f>
        <v/>
      </c>
      <c r="R30" s="38" t="n"/>
      <c r="S30" s="29" t="n"/>
      <c r="T30" s="67">
        <f>IF(base!R30&lt;&gt;"",VLOOKUP(R30,de_para!$A$1:$B$31,2,0)*base!S30,0)</f>
        <v/>
      </c>
      <c r="U30" s="68">
        <f>H30+K30+N30+Q30+T30</f>
        <v/>
      </c>
    </row>
    <row r="31">
      <c r="A31" s="40" t="n">
        <v>45679</v>
      </c>
      <c r="B31" s="29" t="inlineStr">
        <is>
          <t>MATRIZ</t>
        </is>
      </c>
      <c r="C31" s="29" t="inlineStr">
        <is>
          <t>JARINU</t>
        </is>
      </c>
      <c r="D31" s="29" t="inlineStr">
        <is>
          <t xml:space="preserve">RUA DAS MANGUEIRAS </t>
        </is>
      </c>
      <c r="E31" s="29" t="inlineStr">
        <is>
          <t>CTOE 12/6/6</t>
        </is>
      </c>
      <c r="F31" s="29" t="inlineStr">
        <is>
          <t xml:space="preserve">INSTALAÇÃO DE CTO        </t>
        </is>
      </c>
      <c r="G31" s="29" t="n">
        <v>1</v>
      </c>
      <c r="H31" s="67">
        <f>IF(base!F31&lt;&gt;"",VLOOKUP(F31,de_para!$A$1:$B$31,2,0)*base!G31,0)</f>
        <v/>
      </c>
      <c r="I31" s="38" t="inlineStr">
        <is>
          <t xml:space="preserve">INSERÇÃO DE CABO         </t>
        </is>
      </c>
      <c r="J31" s="29" t="n">
        <v>1</v>
      </c>
      <c r="K31" s="67">
        <f>IF(base!I31&lt;&gt;"",VLOOKUP(I31,de_para!$A$1:$B$31,2,0)*base!J31,0)</f>
        <v/>
      </c>
      <c r="L31" s="38" t="inlineStr">
        <is>
          <t xml:space="preserve">FUSÃO                    </t>
        </is>
      </c>
      <c r="M31" s="29" t="n">
        <v>6</v>
      </c>
      <c r="N31" s="67">
        <f>IF(base!L31&lt;&gt;"",VLOOKUP(L31,de_para!$A$1:$B$31,2,0)*base!M31,0)</f>
        <v/>
      </c>
      <c r="O31" s="38" t="n"/>
      <c r="P31" s="29" t="n"/>
      <c r="Q31" s="67">
        <f>IF(base!O31&lt;&gt;"",VLOOKUP(O31,de_para!$A$1:$B$31,2,0)*base!P31,0)</f>
        <v/>
      </c>
      <c r="R31" s="38" t="n"/>
      <c r="S31" s="29" t="n"/>
      <c r="T31" s="67">
        <f>IF(base!R31&lt;&gt;"",VLOOKUP(R31,de_para!$A$1:$B$31,2,0)*base!S31,0)</f>
        <v/>
      </c>
      <c r="U31" s="68">
        <f>H31+K31+N31+Q31+T31</f>
        <v/>
      </c>
    </row>
    <row r="32">
      <c r="A32" s="40" t="n">
        <v>45679</v>
      </c>
      <c r="B32" s="29" t="inlineStr">
        <is>
          <t>MATRIZ</t>
        </is>
      </c>
      <c r="C32" s="29" t="inlineStr">
        <is>
          <t>JARINU</t>
        </is>
      </c>
      <c r="D32" s="29" t="inlineStr">
        <is>
          <t xml:space="preserve">RUA DAS MANGUEIRAS </t>
        </is>
      </c>
      <c r="E32" s="29" t="inlineStr">
        <is>
          <t>LANÇAMENTO CABO 12FO</t>
        </is>
      </c>
      <c r="F32" s="29" t="inlineStr">
        <is>
          <t xml:space="preserve">LANÇAMENTO DE CABO       </t>
        </is>
      </c>
      <c r="G32" s="29" t="n">
        <v>104</v>
      </c>
      <c r="H32" s="67">
        <f>IF(base!F32&lt;&gt;"",VLOOKUP(F32,de_para!$A$1:$B$31,2,0)*base!G32,0)</f>
        <v/>
      </c>
      <c r="I32" s="38" t="n"/>
      <c r="J32" s="29" t="n"/>
      <c r="K32" s="67">
        <f>IF(base!I32&lt;&gt;"",VLOOKUP(I32,de_para!$A$1:$B$31,2,0)*base!J32,0)</f>
        <v/>
      </c>
      <c r="L32" s="38" t="n"/>
      <c r="M32" s="29" t="n"/>
      <c r="N32" s="67">
        <f>IF(base!L32&lt;&gt;"",VLOOKUP(L32,de_para!$A$1:$B$31,2,0)*base!M32,0)</f>
        <v/>
      </c>
      <c r="O32" s="38" t="n"/>
      <c r="P32" s="29" t="n"/>
      <c r="Q32" s="67">
        <f>IF(base!O32&lt;&gt;"",VLOOKUP(O32,de_para!$A$1:$B$31,2,0)*base!P32,0)</f>
        <v/>
      </c>
      <c r="R32" s="38" t="n"/>
      <c r="S32" s="29" t="n"/>
      <c r="T32" s="67">
        <f>IF(base!R32&lt;&gt;"",VLOOKUP(R32,de_para!$A$1:$B$31,2,0)*base!S32,0)</f>
        <v/>
      </c>
      <c r="U32" s="68">
        <f>H32+K32+N32+Q32+T32</f>
        <v/>
      </c>
    </row>
    <row r="33">
      <c r="A33" s="40" t="n">
        <v>45680</v>
      </c>
      <c r="B33" s="29" t="inlineStr">
        <is>
          <t>MATRIZ</t>
        </is>
      </c>
      <c r="C33" s="29" t="inlineStr">
        <is>
          <t>ITATIBA</t>
        </is>
      </c>
      <c r="D33" s="29" t="inlineStr">
        <is>
          <t xml:space="preserve"> AV ARMELINDA SCARAMEL</t>
        </is>
      </c>
      <c r="E33" s="29" t="inlineStr">
        <is>
          <t>C143</t>
        </is>
      </c>
      <c r="F33" s="29" t="inlineStr">
        <is>
          <t xml:space="preserve">INSTALAÇÃO DE CTO        </t>
        </is>
      </c>
      <c r="G33" s="29" t="n">
        <v>1</v>
      </c>
      <c r="H33" s="67">
        <f>IF(base!F33&lt;&gt;"",VLOOKUP(F33,de_para!$A$1:$B$31,2,0)*base!G33,0)</f>
        <v/>
      </c>
      <c r="I33" s="38" t="inlineStr">
        <is>
          <t xml:space="preserve">FUSÃO                    </t>
        </is>
      </c>
      <c r="J33" s="29" t="n">
        <v>5</v>
      </c>
      <c r="K33" s="67">
        <f>IF(base!I33&lt;&gt;"",VLOOKUP(I33,de_para!$A$1:$B$31,2,0)*base!J33,0)</f>
        <v/>
      </c>
      <c r="L33" s="38" t="n"/>
      <c r="M33" s="29" t="n"/>
      <c r="N33" s="67">
        <f>IF(base!L33&lt;&gt;"",VLOOKUP(L33,de_para!$A$1:$B$31,2,0)*base!M33,0)</f>
        <v/>
      </c>
      <c r="O33" s="38" t="n"/>
      <c r="P33" s="29" t="n"/>
      <c r="Q33" s="67">
        <f>IF(base!O33&lt;&gt;"",VLOOKUP(O33,de_para!$A$1:$B$31,2,0)*base!P33,0)</f>
        <v/>
      </c>
      <c r="R33" s="38" t="n"/>
      <c r="S33" s="29" t="n"/>
      <c r="T33" s="67">
        <f>IF(base!R33&lt;&gt;"",VLOOKUP(R33,de_para!$A$1:$B$31,2,0)*base!S33,0)</f>
        <v/>
      </c>
      <c r="U33" s="68">
        <f>H33+K33+N33+Q33+T33</f>
        <v/>
      </c>
    </row>
    <row r="34">
      <c r="A34" s="40" t="n">
        <v>45681</v>
      </c>
      <c r="B34" s="29" t="inlineStr">
        <is>
          <t>MATRIZ</t>
        </is>
      </c>
      <c r="C34" s="29" t="inlineStr">
        <is>
          <t>ITATIBA</t>
        </is>
      </c>
      <c r="D34" s="29" t="inlineStr">
        <is>
          <t>RUA WILSON TEGA</t>
        </is>
      </c>
      <c r="E34" s="29" t="inlineStr">
        <is>
          <t>C52</t>
        </is>
      </c>
      <c r="F34" s="29" t="inlineStr">
        <is>
          <t xml:space="preserve">INSTALAÇÃO DE CTO        </t>
        </is>
      </c>
      <c r="G34" s="29" t="n">
        <v>1</v>
      </c>
      <c r="H34" s="67">
        <f>IF(base!F34&lt;&gt;"",VLOOKUP(F34,de_para!$A$1:$B$31,2,0)*base!G34,0)</f>
        <v/>
      </c>
      <c r="I34" s="38" t="inlineStr">
        <is>
          <t xml:space="preserve">FUSÃO                    </t>
        </is>
      </c>
      <c r="J34" s="29" t="n">
        <v>5</v>
      </c>
      <c r="K34" s="67">
        <f>IF(base!I34&lt;&gt;"",VLOOKUP(I34,de_para!$A$1:$B$31,2,0)*base!J34,0)</f>
        <v/>
      </c>
      <c r="L34" s="38" t="n"/>
      <c r="M34" s="29" t="n"/>
      <c r="N34" s="67">
        <f>IF(base!L34&lt;&gt;"",VLOOKUP(L34,de_para!$A$1:$B$31,2,0)*base!M34,0)</f>
        <v/>
      </c>
      <c r="O34" s="38" t="n"/>
      <c r="P34" s="29" t="n"/>
      <c r="Q34" s="67">
        <f>IF(base!O34&lt;&gt;"",VLOOKUP(O34,de_para!$A$1:$B$31,2,0)*base!P34,0)</f>
        <v/>
      </c>
      <c r="R34" s="38" t="n"/>
      <c r="S34" s="29" t="n"/>
      <c r="T34" s="67">
        <f>IF(base!R34&lt;&gt;"",VLOOKUP(R34,de_para!$A$1:$B$31,2,0)*base!S34,0)</f>
        <v/>
      </c>
      <c r="U34" s="68">
        <f>H34+K34+N34+Q34+T34</f>
        <v/>
      </c>
    </row>
    <row r="35">
      <c r="A35" s="40" t="n">
        <v>45681</v>
      </c>
      <c r="B35" s="29" t="inlineStr">
        <is>
          <t>MATRIZ</t>
        </is>
      </c>
      <c r="C35" s="29" t="inlineStr">
        <is>
          <t>ATIBAIA</t>
        </is>
      </c>
      <c r="D35" s="29" t="inlineStr">
        <is>
          <t xml:space="preserve"> -23.096912,-46.665516</t>
        </is>
      </c>
      <c r="E35" s="29" t="inlineStr">
        <is>
          <t>CEO 12/12</t>
        </is>
      </c>
      <c r="F35" s="29" t="inlineStr">
        <is>
          <t>INSTALAÇÃO DE CEO</t>
        </is>
      </c>
      <c r="G35" s="29" t="n">
        <v>1</v>
      </c>
      <c r="H35" s="67">
        <f>IF(base!F35&lt;&gt;"",VLOOKUP(F35,de_para!$A$1:$B$31,2,0)*base!G35,0)</f>
        <v/>
      </c>
      <c r="I35" s="38" t="inlineStr">
        <is>
          <t xml:space="preserve">FUSÃO                    </t>
        </is>
      </c>
      <c r="J35" s="29" t="n">
        <v>12</v>
      </c>
      <c r="K35" s="67">
        <f>IF(base!I35&lt;&gt;"",VLOOKUP(I35,de_para!$A$1:$B$31,2,0)*base!J35,0)</f>
        <v/>
      </c>
      <c r="L35" s="38" t="n"/>
      <c r="M35" s="29" t="n"/>
      <c r="N35" s="67">
        <f>IF(base!L35&lt;&gt;"",VLOOKUP(L35,de_para!$A$1:$B$31,2,0)*base!M35,0)</f>
        <v/>
      </c>
      <c r="O35" s="38" t="n"/>
      <c r="P35" s="29" t="n"/>
      <c r="Q35" s="67">
        <f>IF(base!O35&lt;&gt;"",VLOOKUP(O35,de_para!$A$1:$B$31,2,0)*base!P35,0)</f>
        <v/>
      </c>
      <c r="R35" s="38" t="n"/>
      <c r="S35" s="29" t="n"/>
      <c r="T35" s="67">
        <f>IF(base!R35&lt;&gt;"",VLOOKUP(R35,de_para!$A$1:$B$31,2,0)*base!S35,0)</f>
        <v/>
      </c>
      <c r="U35" s="68">
        <f>H35+K35+N35+Q35+T35</f>
        <v/>
      </c>
    </row>
    <row r="36">
      <c r="A36" s="40" t="n">
        <v>45681</v>
      </c>
      <c r="B36" s="29" t="inlineStr">
        <is>
          <t>MATRIZ</t>
        </is>
      </c>
      <c r="C36" s="29" t="inlineStr">
        <is>
          <t>ATIBAIA</t>
        </is>
      </c>
      <c r="D36" s="29" t="inlineStr">
        <is>
          <t>-23.098402,-46.665173</t>
        </is>
      </c>
      <c r="E36" s="29" t="inlineStr">
        <is>
          <t>CEO 12/12 ²</t>
        </is>
      </c>
      <c r="F36" s="29" t="inlineStr">
        <is>
          <t>INSTALAÇÃO DE CEO</t>
        </is>
      </c>
      <c r="G36" s="29" t="n">
        <v>1</v>
      </c>
      <c r="H36" s="67">
        <f>IF(base!F36&lt;&gt;"",VLOOKUP(F36,de_para!$A$1:$B$31,2,0)*base!G36,0)</f>
        <v/>
      </c>
      <c r="I36" s="38" t="inlineStr">
        <is>
          <t xml:space="preserve">FUSÃO                    </t>
        </is>
      </c>
      <c r="J36" s="29" t="n">
        <v>12</v>
      </c>
      <c r="K36" s="67">
        <f>IF(base!I36&lt;&gt;"",VLOOKUP(I36,de_para!$A$1:$B$31,2,0)*base!J36,0)</f>
        <v/>
      </c>
      <c r="L36" s="38" t="inlineStr">
        <is>
          <t xml:space="preserve">KM RODADO </t>
        </is>
      </c>
      <c r="M36" s="29" t="n">
        <v>90</v>
      </c>
      <c r="N36" s="67">
        <f>IF(base!L36&lt;&gt;"",VLOOKUP(L36,de_para!$A$1:$B$31,2,0)*base!M36,0)</f>
        <v/>
      </c>
      <c r="O36" s="38" t="n"/>
      <c r="P36" s="29" t="n"/>
      <c r="Q36" s="67">
        <f>IF(base!O36&lt;&gt;"",VLOOKUP(O36,de_para!$A$1:$B$31,2,0)*base!P36,0)</f>
        <v/>
      </c>
      <c r="R36" s="38" t="n"/>
      <c r="S36" s="29" t="n"/>
      <c r="T36" s="67">
        <f>IF(base!R36&lt;&gt;"",VLOOKUP(R36,de_para!$A$1:$B$31,2,0)*base!S36,0)</f>
        <v/>
      </c>
      <c r="U36" s="68">
        <f>H36+K36+N36+Q36+T36</f>
        <v/>
      </c>
    </row>
    <row r="37">
      <c r="A37" s="40" t="n">
        <v>45681</v>
      </c>
      <c r="B37" s="29" t="inlineStr">
        <is>
          <t>MATRIZ</t>
        </is>
      </c>
      <c r="C37" s="29" t="inlineStr">
        <is>
          <t>ATIBAIA</t>
        </is>
      </c>
      <c r="D37" s="29" t="inlineStr">
        <is>
          <t>-23.098402,-46.665173</t>
        </is>
      </c>
      <c r="E37" s="29" t="inlineStr">
        <is>
          <t>LANÇAMENTO CABO 12FO</t>
        </is>
      </c>
      <c r="F37" s="29" t="inlineStr">
        <is>
          <t xml:space="preserve">LANÇAMENTO DE CABO       </t>
        </is>
      </c>
      <c r="G37" s="29" t="n">
        <v>180</v>
      </c>
      <c r="H37" s="67">
        <f>IF(base!F37&lt;&gt;"",VLOOKUP(F37,de_para!$A$1:$B$31,2,0)*base!G37,0)</f>
        <v/>
      </c>
      <c r="I37" s="38" t="n"/>
      <c r="J37" s="29" t="n"/>
      <c r="K37" s="67">
        <f>IF(base!I37&lt;&gt;"",VLOOKUP(I37,de_para!$A$1:$B$31,2,0)*base!J37,0)</f>
        <v/>
      </c>
      <c r="L37" s="38" t="n"/>
      <c r="M37" s="29" t="n"/>
      <c r="N37" s="67">
        <f>IF(base!L37&lt;&gt;"",VLOOKUP(L37,de_para!$A$1:$B$31,2,0)*base!M37,0)</f>
        <v/>
      </c>
      <c r="O37" s="38" t="n"/>
      <c r="P37" s="29" t="n"/>
      <c r="Q37" s="67">
        <f>IF(base!O37&lt;&gt;"",VLOOKUP(O37,de_para!$A$1:$B$31,2,0)*base!P37,0)</f>
        <v/>
      </c>
      <c r="R37" s="38" t="n"/>
      <c r="S37" s="29" t="n"/>
      <c r="T37" s="67">
        <f>IF(base!R37&lt;&gt;"",VLOOKUP(R37,de_para!$A$1:$B$31,2,0)*base!S37,0)</f>
        <v/>
      </c>
      <c r="U37" s="68">
        <f>H37+K37+N37+Q37+T37</f>
        <v/>
      </c>
    </row>
    <row r="38">
      <c r="A38" s="40" t="n">
        <v>45684</v>
      </c>
      <c r="B38" s="29" t="inlineStr">
        <is>
          <t>MATRIZ</t>
        </is>
      </c>
      <c r="C38" s="29" t="inlineStr">
        <is>
          <t>JARINU</t>
        </is>
      </c>
      <c r="D38" s="29" t="inlineStr">
        <is>
          <t xml:space="preserve">ESTRADA MUN NATAL LORENCINI </t>
        </is>
      </c>
      <c r="E38" s="29" t="inlineStr">
        <is>
          <t>C1129B</t>
        </is>
      </c>
      <c r="F38" s="29" t="inlineStr">
        <is>
          <t xml:space="preserve">INSTALAÇÃO DE CTO        </t>
        </is>
      </c>
      <c r="G38" s="29" t="n">
        <v>1</v>
      </c>
      <c r="H38" s="67">
        <f>IF(base!F38&lt;&gt;"",VLOOKUP(F38,de_para!$A$1:$B$31,2,0)*base!G38,0)</f>
        <v/>
      </c>
      <c r="I38" s="38" t="n"/>
      <c r="J38" s="29" t="n"/>
      <c r="K38" s="67">
        <f>IF(base!I38&lt;&gt;"",VLOOKUP(I38,de_para!$A$1:$B$31,2,0)*base!J38,0)</f>
        <v/>
      </c>
      <c r="L38" s="38" t="n"/>
      <c r="M38" s="29" t="n"/>
      <c r="N38" s="67">
        <f>IF(base!L38&lt;&gt;"",VLOOKUP(L38,de_para!$A$1:$B$31,2,0)*base!M38,0)</f>
        <v/>
      </c>
      <c r="O38" s="38" t="n"/>
      <c r="P38" s="29" t="n"/>
      <c r="Q38" s="67">
        <f>IF(base!O38&lt;&gt;"",VLOOKUP(O38,de_para!$A$1:$B$31,2,0)*base!P38,0)</f>
        <v/>
      </c>
      <c r="R38" s="38" t="n"/>
      <c r="S38" s="29" t="n"/>
      <c r="T38" s="67">
        <f>IF(base!R38&lt;&gt;"",VLOOKUP(R38,de_para!$A$1:$B$31,2,0)*base!S38,0)</f>
        <v/>
      </c>
      <c r="U38" s="68">
        <f>H38+K38+N38+Q38+T38</f>
        <v/>
      </c>
    </row>
    <row r="39">
      <c r="A39" s="40" t="n">
        <v>45684</v>
      </c>
      <c r="B39" s="29" t="inlineStr">
        <is>
          <t>MATRIZ</t>
        </is>
      </c>
      <c r="C39" s="29" t="inlineStr">
        <is>
          <t>JARINU</t>
        </is>
      </c>
      <c r="D39" s="29" t="inlineStr">
        <is>
          <t>ESTRADA LUIZ COMIN</t>
        </is>
      </c>
      <c r="E39" s="29" t="inlineStr">
        <is>
          <t>C1152</t>
        </is>
      </c>
      <c r="F39" s="29" t="inlineStr">
        <is>
          <t xml:space="preserve">INSTALAÇÃO DE CTO        </t>
        </is>
      </c>
      <c r="G39" s="29" t="n">
        <v>1</v>
      </c>
      <c r="H39" s="67">
        <f>IF(base!F39&lt;&gt;"",VLOOKUP(F39,de_para!$A$1:$B$31,2,0)*base!G39,0)</f>
        <v/>
      </c>
      <c r="I39" s="38" t="n"/>
      <c r="J39" s="29" t="n"/>
      <c r="K39" s="67">
        <f>IF(base!I39&lt;&gt;"",VLOOKUP(I39,de_para!$A$1:$B$31,2,0)*base!J39,0)</f>
        <v/>
      </c>
      <c r="L39" s="38" t="n"/>
      <c r="M39" s="29" t="n"/>
      <c r="N39" s="67">
        <f>IF(base!L39&lt;&gt;"",VLOOKUP(L39,de_para!$A$1:$B$31,2,0)*base!M39,0)</f>
        <v/>
      </c>
      <c r="O39" s="38" t="n"/>
      <c r="P39" s="29" t="n"/>
      <c r="Q39" s="67">
        <f>IF(base!O39&lt;&gt;"",VLOOKUP(O39,de_para!$A$1:$B$31,2,0)*base!P39,0)</f>
        <v/>
      </c>
      <c r="R39" s="38" t="n"/>
      <c r="S39" s="29" t="n"/>
      <c r="T39" s="67">
        <f>IF(base!R39&lt;&gt;"",VLOOKUP(R39,de_para!$A$1:$B$31,2,0)*base!S39,0)</f>
        <v/>
      </c>
      <c r="U39" s="68">
        <f>H39+K39+N39+Q39+T39</f>
        <v/>
      </c>
    </row>
    <row r="40">
      <c r="A40" s="40" t="n">
        <v>45684</v>
      </c>
      <c r="B40" s="29" t="inlineStr">
        <is>
          <t>MATRIZ</t>
        </is>
      </c>
      <c r="C40" s="29" t="inlineStr">
        <is>
          <t>JARINU</t>
        </is>
      </c>
      <c r="D40" s="29" t="inlineStr">
        <is>
          <t xml:space="preserve">ESTRADA BENTO GALDINO DE SOUZA   </t>
        </is>
      </c>
      <c r="E40" s="29" t="inlineStr">
        <is>
          <t>CEO 12/12</t>
        </is>
      </c>
      <c r="F40" s="29" t="inlineStr">
        <is>
          <t>INSTALAÇÃO DE CEO</t>
        </is>
      </c>
      <c r="G40" s="29" t="n">
        <v>1</v>
      </c>
      <c r="H40" s="67">
        <f>IF(base!F40&lt;&gt;"",VLOOKUP(F40,de_para!$A$1:$B$31,2,0)*base!G40,0)</f>
        <v/>
      </c>
      <c r="I40" s="38" t="inlineStr">
        <is>
          <t xml:space="preserve">FUSÃO                    </t>
        </is>
      </c>
      <c r="J40" s="29" t="n">
        <v>12</v>
      </c>
      <c r="K40" s="67">
        <f>IF(base!I40&lt;&gt;"",VLOOKUP(I40,de_para!$A$1:$B$31,2,0)*base!J40,0)</f>
        <v/>
      </c>
      <c r="L40" s="38" t="n"/>
      <c r="M40" s="29" t="n"/>
      <c r="N40" s="67">
        <f>IF(base!L40&lt;&gt;"",VLOOKUP(L40,de_para!$A$1:$B$31,2,0)*base!M40,0)</f>
        <v/>
      </c>
      <c r="O40" s="38" t="n"/>
      <c r="P40" s="29" t="n"/>
      <c r="Q40" s="67">
        <f>IF(base!O40&lt;&gt;"",VLOOKUP(O40,de_para!$A$1:$B$31,2,0)*base!P40,0)</f>
        <v/>
      </c>
      <c r="R40" s="38" t="n"/>
      <c r="S40" s="29" t="n"/>
      <c r="T40" s="67">
        <f>IF(base!R40&lt;&gt;"",VLOOKUP(R40,de_para!$A$1:$B$31,2,0)*base!S40,0)</f>
        <v/>
      </c>
      <c r="U40" s="68">
        <f>H40+K40+N40+Q40+T40</f>
        <v/>
      </c>
    </row>
    <row r="41">
      <c r="A41" s="40" t="n">
        <v>45684</v>
      </c>
      <c r="B41" s="29" t="inlineStr">
        <is>
          <t>MATRIZ</t>
        </is>
      </c>
      <c r="C41" s="29" t="inlineStr">
        <is>
          <t>JARINU</t>
        </is>
      </c>
      <c r="D41" s="29" t="inlineStr">
        <is>
          <t xml:space="preserve"> RUA MARIA ELISA  </t>
        </is>
      </c>
      <c r="E41" s="29" t="inlineStr">
        <is>
          <t>C661B</t>
        </is>
      </c>
      <c r="F41" s="29" t="inlineStr">
        <is>
          <t xml:space="preserve">INSTALAÇÃO DE CTO        </t>
        </is>
      </c>
      <c r="G41" s="29" t="n">
        <v>1</v>
      </c>
      <c r="H41" s="67">
        <f>IF(base!F41&lt;&gt;"",VLOOKUP(F41,de_para!$A$1:$B$31,2,0)*base!G41,0)</f>
        <v/>
      </c>
      <c r="I41" s="38" t="inlineStr">
        <is>
          <t xml:space="preserve">KM RODADO </t>
        </is>
      </c>
      <c r="J41" s="29" t="n">
        <v>65</v>
      </c>
      <c r="K41" s="67">
        <f>IF(base!I41&lt;&gt;"",VLOOKUP(I41,de_para!$A$1:$B$31,2,0)*base!J41,0)</f>
        <v/>
      </c>
      <c r="L41" s="38" t="n"/>
      <c r="M41" s="29" t="n"/>
      <c r="N41" s="67">
        <f>IF(base!L41&lt;&gt;"",VLOOKUP(L41,de_para!$A$1:$B$31,2,0)*base!M41,0)</f>
        <v/>
      </c>
      <c r="O41" s="38" t="n"/>
      <c r="P41" s="29" t="n"/>
      <c r="Q41" s="67">
        <f>IF(base!O41&lt;&gt;"",VLOOKUP(O41,de_para!$A$1:$B$31,2,0)*base!P41,0)</f>
        <v/>
      </c>
      <c r="R41" s="38" t="n"/>
      <c r="S41" s="29" t="n"/>
      <c r="T41" s="67">
        <f>IF(base!R41&lt;&gt;"",VLOOKUP(R41,de_para!$A$1:$B$31,2,0)*base!S41,0)</f>
        <v/>
      </c>
      <c r="U41" s="68">
        <f>H41+K41+N41+Q41+T41</f>
        <v/>
      </c>
    </row>
    <row r="42">
      <c r="A42" s="40" t="n">
        <v>45688</v>
      </c>
      <c r="B42" s="29" t="inlineStr">
        <is>
          <t>MATRIZ</t>
        </is>
      </c>
      <c r="C42" s="29" t="inlineStr">
        <is>
          <t>JARINU</t>
        </is>
      </c>
      <c r="D42" s="29" t="inlineStr">
        <is>
          <t>-23.032263,-46.684830</t>
        </is>
      </c>
      <c r="E42" s="29" t="inlineStr">
        <is>
          <t>C1171</t>
        </is>
      </c>
      <c r="F42" s="29" t="inlineStr">
        <is>
          <t xml:space="preserve">INSTALAÇÃO DE CTO        </t>
        </is>
      </c>
      <c r="G42" s="29" t="n">
        <v>1</v>
      </c>
      <c r="H42" s="67">
        <f>IF(base!F42&lt;&gt;"",VLOOKUP(F42,de_para!$A$1:$B$31,2,0)*base!G42,0)</f>
        <v/>
      </c>
      <c r="I42" s="38" t="n"/>
      <c r="J42" s="29" t="n"/>
      <c r="K42" s="67">
        <f>IF(base!I42&lt;&gt;"",VLOOKUP(I42,de_para!$A$1:$B$31,2,0)*base!J42,0)</f>
        <v/>
      </c>
      <c r="L42" s="38" t="n"/>
      <c r="M42" s="29" t="n"/>
      <c r="N42" s="67">
        <f>IF(base!L42&lt;&gt;"",VLOOKUP(L42,de_para!$A$1:$B$31,2,0)*base!M42,0)</f>
        <v/>
      </c>
      <c r="O42" s="38" t="n"/>
      <c r="P42" s="29" t="n"/>
      <c r="Q42" s="67">
        <f>IF(base!O42&lt;&gt;"",VLOOKUP(O42,de_para!$A$1:$B$31,2,0)*base!P42,0)</f>
        <v/>
      </c>
      <c r="R42" s="38" t="n"/>
      <c r="S42" s="29" t="n"/>
      <c r="T42" s="67">
        <f>IF(base!R42&lt;&gt;"",VLOOKUP(R42,de_para!$A$1:$B$31,2,0)*base!S42,0)</f>
        <v/>
      </c>
      <c r="U42" s="68">
        <f>H42+K42+N42+Q42+T42</f>
        <v/>
      </c>
    </row>
    <row r="43">
      <c r="A43" s="40" t="n">
        <v>45688</v>
      </c>
      <c r="B43" s="29" t="inlineStr">
        <is>
          <t>MATRIZ</t>
        </is>
      </c>
      <c r="C43" s="29" t="inlineStr">
        <is>
          <t>ATIBAIA</t>
        </is>
      </c>
      <c r="D43" s="29" t="inlineStr">
        <is>
          <t xml:space="preserve">ESTRADA MUN CARLOS CAVALARO </t>
        </is>
      </c>
      <c r="E43" s="29" t="inlineStr">
        <is>
          <t>C1199</t>
        </is>
      </c>
      <c r="F43" s="29" t="inlineStr">
        <is>
          <t xml:space="preserve">INSTALAÇÃO DE CTO        </t>
        </is>
      </c>
      <c r="G43" s="29" t="n">
        <v>1</v>
      </c>
      <c r="H43" s="67">
        <f>IF(base!F43&lt;&gt;"",VLOOKUP(F43,de_para!$A$1:$B$31,2,0)*base!G43,0)</f>
        <v/>
      </c>
      <c r="I43" s="38" t="inlineStr">
        <is>
          <t xml:space="preserve">INSERÇÃO DE CABO         </t>
        </is>
      </c>
      <c r="J43" s="29" t="n">
        <v>1</v>
      </c>
      <c r="K43" s="67">
        <f>IF(base!I43&lt;&gt;"",VLOOKUP(I43,de_para!$A$1:$B$31,2,0)*base!J43,0)</f>
        <v/>
      </c>
      <c r="L43" s="38" t="inlineStr">
        <is>
          <t xml:space="preserve">FUSÃO                    </t>
        </is>
      </c>
      <c r="M43" s="29" t="n">
        <v>12</v>
      </c>
      <c r="N43" s="67">
        <f>IF(base!L43&lt;&gt;"",VLOOKUP(L43,de_para!$A$1:$B$31,2,0)*base!M43,0)</f>
        <v/>
      </c>
      <c r="O43" s="38" t="n"/>
      <c r="P43" s="29" t="n"/>
      <c r="Q43" s="67">
        <f>IF(base!O43&lt;&gt;"",VLOOKUP(O43,de_para!$A$1:$B$31,2,0)*base!P43,0)</f>
        <v/>
      </c>
      <c r="R43" s="38" t="n"/>
      <c r="S43" s="29" t="n"/>
      <c r="T43" s="67">
        <f>IF(base!R43&lt;&gt;"",VLOOKUP(R43,de_para!$A$1:$B$31,2,0)*base!S43,0)</f>
        <v/>
      </c>
      <c r="U43" s="68">
        <f>H43+K43+N43+Q43+T43</f>
        <v/>
      </c>
    </row>
    <row r="44">
      <c r="A44" s="40" t="n">
        <v>45688</v>
      </c>
      <c r="B44" s="29" t="inlineStr">
        <is>
          <t>MATRIZ</t>
        </is>
      </c>
      <c r="C44" s="29" t="inlineStr">
        <is>
          <t>ATIBAIA</t>
        </is>
      </c>
      <c r="D44" s="29" t="inlineStr">
        <is>
          <t>ESTRADA MUN CARLOS CAVALARO</t>
        </is>
      </c>
      <c r="E44" s="29" t="inlineStr">
        <is>
          <t>CEO 12/12</t>
        </is>
      </c>
      <c r="F44" s="29" t="inlineStr">
        <is>
          <t>INSTALAÇÃO DE CEO</t>
        </is>
      </c>
      <c r="G44" s="29" t="n">
        <v>1</v>
      </c>
      <c r="H44" s="67">
        <f>IF(base!F44&lt;&gt;"",VLOOKUP(F44,de_para!$A$1:$B$31,2,0)*base!G44,0)</f>
        <v/>
      </c>
      <c r="I44" s="38" t="inlineStr">
        <is>
          <t xml:space="preserve">FUSÃO                    </t>
        </is>
      </c>
      <c r="J44" s="29" t="n">
        <v>12</v>
      </c>
      <c r="K44" s="67">
        <f>IF(base!I44&lt;&gt;"",VLOOKUP(I44,de_para!$A$1:$B$31,2,0)*base!J44,0)</f>
        <v/>
      </c>
      <c r="L44" s="38" t="n"/>
      <c r="M44" s="29" t="n"/>
      <c r="N44" s="67">
        <f>IF(base!L44&lt;&gt;"",VLOOKUP(L44,de_para!$A$1:$B$31,2,0)*base!M44,0)</f>
        <v/>
      </c>
      <c r="O44" s="38" t="n"/>
      <c r="P44" s="29" t="n"/>
      <c r="Q44" s="67">
        <f>IF(base!O44&lt;&gt;"",VLOOKUP(O44,de_para!$A$1:$B$31,2,0)*base!P44,0)</f>
        <v/>
      </c>
      <c r="R44" s="38" t="n"/>
      <c r="S44" s="29" t="n"/>
      <c r="T44" s="67">
        <f>IF(base!R44&lt;&gt;"",VLOOKUP(R44,de_para!$A$1:$B$31,2,0)*base!S44,0)</f>
        <v/>
      </c>
      <c r="U44" s="68">
        <f>H44+K44+N44+Q44+T44</f>
        <v/>
      </c>
    </row>
    <row r="45">
      <c r="A45" s="40" t="n">
        <v>45688</v>
      </c>
      <c r="B45" s="29" t="inlineStr">
        <is>
          <t>MATRIZ</t>
        </is>
      </c>
      <c r="C45" s="29" t="inlineStr">
        <is>
          <t>ATIBAIA</t>
        </is>
      </c>
      <c r="D45" s="29" t="inlineStr">
        <is>
          <t>ESTRADA MUN CARLOS CAVALARO</t>
        </is>
      </c>
      <c r="E45" s="29" t="inlineStr">
        <is>
          <t>LANÇAMENTO CABO 12FO</t>
        </is>
      </c>
      <c r="F45" s="29" t="inlineStr">
        <is>
          <t xml:space="preserve">LANÇAMENTO DE CABO       </t>
        </is>
      </c>
      <c r="G45" s="29" t="n">
        <v>111</v>
      </c>
      <c r="H45" s="67">
        <f>IF(base!F45&lt;&gt;"",VLOOKUP(F45,de_para!$A$1:$B$31,2,0)*base!G45,0)</f>
        <v/>
      </c>
      <c r="I45" s="38" t="n"/>
      <c r="J45" s="29" t="n"/>
      <c r="K45" s="67">
        <f>IF(base!I45&lt;&gt;"",VLOOKUP(I45,de_para!$A$1:$B$31,2,0)*base!J45,0)</f>
        <v/>
      </c>
      <c r="L45" s="38" t="n"/>
      <c r="M45" s="29" t="n"/>
      <c r="N45" s="67">
        <f>IF(base!L45&lt;&gt;"",VLOOKUP(L45,de_para!$A$1:$B$31,2,0)*base!M45,0)</f>
        <v/>
      </c>
      <c r="O45" s="38" t="n"/>
      <c r="P45" s="29" t="n"/>
      <c r="Q45" s="67">
        <f>IF(base!O45&lt;&gt;"",VLOOKUP(O45,de_para!$A$1:$B$31,2,0)*base!P45,0)</f>
        <v/>
      </c>
      <c r="R45" s="38" t="n"/>
      <c r="S45" s="29" t="n"/>
      <c r="T45" s="67">
        <f>IF(base!R45&lt;&gt;"",VLOOKUP(R45,de_para!$A$1:$B$31,2,0)*base!S45,0)</f>
        <v/>
      </c>
      <c r="U45" s="68">
        <f>H45+K45+N45+Q45+T45</f>
        <v/>
      </c>
    </row>
    <row r="46">
      <c r="A46" s="40" t="n">
        <v>45688</v>
      </c>
      <c r="B46" s="29" t="inlineStr">
        <is>
          <t>MATRIZ</t>
        </is>
      </c>
      <c r="C46" s="29" t="inlineStr">
        <is>
          <t>ATIBAIA</t>
        </is>
      </c>
      <c r="D46" s="29" t="inlineStr">
        <is>
          <t xml:space="preserve">ESTRADA MUN HISASHI MURAKAMI </t>
        </is>
      </c>
      <c r="E46" s="29" t="inlineStr">
        <is>
          <t>CEO 6/6</t>
        </is>
      </c>
      <c r="F46" s="29" t="inlineStr">
        <is>
          <t>INSTALAÇÃO DE CEO</t>
        </is>
      </c>
      <c r="G46" s="29" t="n">
        <v>1</v>
      </c>
      <c r="H46" s="67">
        <f>IF(base!F46&lt;&gt;"",VLOOKUP(F46,de_para!$A$1:$B$31,2,0)*base!G46,0)</f>
        <v/>
      </c>
      <c r="I46" s="38" t="inlineStr">
        <is>
          <t xml:space="preserve">FUSÃO                    </t>
        </is>
      </c>
      <c r="J46" s="29" t="n">
        <v>6</v>
      </c>
      <c r="K46" s="67">
        <f>IF(base!I46&lt;&gt;"",VLOOKUP(I46,de_para!$A$1:$B$31,2,0)*base!J46,0)</f>
        <v/>
      </c>
      <c r="L46" s="38" t="n"/>
      <c r="M46" s="29" t="n"/>
      <c r="N46" s="67">
        <f>IF(base!L46&lt;&gt;"",VLOOKUP(L46,de_para!$A$1:$B$31,2,0)*base!M46,0)</f>
        <v/>
      </c>
      <c r="O46" s="38" t="n"/>
      <c r="P46" s="29" t="n"/>
      <c r="Q46" s="67">
        <f>IF(base!O46&lt;&gt;"",VLOOKUP(O46,de_para!$A$1:$B$31,2,0)*base!P46,0)</f>
        <v/>
      </c>
      <c r="R46" s="38" t="n"/>
      <c r="S46" s="29" t="n"/>
      <c r="T46" s="67">
        <f>IF(base!R46&lt;&gt;"",VLOOKUP(R46,de_para!$A$1:$B$31,2,0)*base!S46,0)</f>
        <v/>
      </c>
      <c r="U46" s="68">
        <f>H46+K46+N46+Q46+T46</f>
        <v/>
      </c>
    </row>
    <row r="47">
      <c r="A47" s="29" t="n"/>
      <c r="B47" s="29" t="n"/>
      <c r="C47" s="29" t="n"/>
      <c r="D47" s="29" t="n"/>
      <c r="E47" s="29" t="n"/>
      <c r="F47" s="29" t="n"/>
      <c r="G47" s="29" t="n"/>
      <c r="H47" s="67">
        <f>IF(base!F47&lt;&gt;"",VLOOKUP(F47,de_para!$A$1:$B$31,2,0)*base!G47,0)</f>
        <v/>
      </c>
      <c r="I47" s="38" t="n"/>
      <c r="J47" s="29" t="n"/>
      <c r="K47" s="67">
        <f>IF(base!I47&lt;&gt;"",VLOOKUP(I47,de_para!$A$1:$B$31,2,0)*base!J47,0)</f>
        <v/>
      </c>
      <c r="L47" s="38" t="n"/>
      <c r="M47" s="29" t="n"/>
      <c r="N47" s="67">
        <f>IF(base!L47&lt;&gt;"",VLOOKUP(L47,de_para!$A$1:$B$31,2,0)*base!M47,0)</f>
        <v/>
      </c>
      <c r="O47" s="38" t="n"/>
      <c r="P47" s="29" t="n"/>
      <c r="Q47" s="67">
        <f>IF(base!O47&lt;&gt;"",VLOOKUP(O47,de_para!$A$1:$B$31,2,0)*base!P47,0)</f>
        <v/>
      </c>
      <c r="R47" s="38" t="n"/>
      <c r="S47" s="29" t="n"/>
      <c r="T47" s="67">
        <f>IF(base!R47&lt;&gt;"",VLOOKUP(R47,de_para!$A$1:$B$31,2,0)*base!S47,0)</f>
        <v/>
      </c>
      <c r="U47" s="68">
        <f>H47+K47+N47+Q47+T47</f>
        <v/>
      </c>
    </row>
    <row r="48">
      <c r="A48" s="29" t="n"/>
      <c r="B48" s="29" t="n"/>
      <c r="C48" s="29" t="n"/>
      <c r="D48" s="29" t="n"/>
      <c r="E48" s="29" t="n"/>
      <c r="F48" s="29" t="n"/>
      <c r="G48" s="29" t="n"/>
      <c r="H48" s="67">
        <f>IF(base!F48&lt;&gt;"",VLOOKUP(F48,de_para!$A$1:$B$31,2,0)*base!G48,0)</f>
        <v/>
      </c>
      <c r="I48" s="38" t="n"/>
      <c r="J48" s="29" t="n"/>
      <c r="K48" s="67">
        <f>IF(base!I48&lt;&gt;"",VLOOKUP(I48,de_para!$A$1:$B$31,2,0)*base!J48,0)</f>
        <v/>
      </c>
      <c r="L48" s="38" t="n"/>
      <c r="M48" s="29" t="n"/>
      <c r="N48" s="67">
        <f>IF(base!L48&lt;&gt;"",VLOOKUP(L48,de_para!$A$1:$B$31,2,0)*base!M48,0)</f>
        <v/>
      </c>
      <c r="O48" s="38" t="n"/>
      <c r="P48" s="29" t="n"/>
      <c r="Q48" s="67">
        <f>IF(base!O48&lt;&gt;"",VLOOKUP(O48,de_para!$A$1:$B$31,2,0)*base!P48,0)</f>
        <v/>
      </c>
      <c r="R48" s="38" t="n"/>
      <c r="S48" s="29" t="n"/>
      <c r="T48" s="67">
        <f>IF(base!R48&lt;&gt;"",VLOOKUP(R48,de_para!$A$1:$B$31,2,0)*base!S48,0)</f>
        <v/>
      </c>
      <c r="U48" s="68">
        <f>H48+K48+N48+Q48+T48</f>
        <v/>
      </c>
    </row>
    <row r="49">
      <c r="A49" s="29" t="n"/>
      <c r="B49" s="29" t="n"/>
      <c r="C49" s="29" t="n"/>
      <c r="D49" s="29" t="n"/>
      <c r="E49" s="29" t="n"/>
      <c r="F49" s="29" t="n"/>
      <c r="G49" s="29" t="n"/>
      <c r="H49" s="67">
        <f>IF(base!F49&lt;&gt;"",VLOOKUP(F49,de_para!$A$1:$B$31,2,0)*base!G49,0)</f>
        <v/>
      </c>
      <c r="I49" s="38" t="n"/>
      <c r="J49" s="29" t="n"/>
      <c r="K49" s="67">
        <f>IF(base!I49&lt;&gt;"",VLOOKUP(I49,de_para!$A$1:$B$31,2,0)*base!J49,0)</f>
        <v/>
      </c>
      <c r="L49" s="38" t="n"/>
      <c r="M49" s="29" t="n"/>
      <c r="N49" s="67">
        <f>IF(base!L49&lt;&gt;"",VLOOKUP(L49,de_para!$A$1:$B$31,2,0)*base!M49,0)</f>
        <v/>
      </c>
      <c r="O49" s="38" t="n"/>
      <c r="P49" s="29" t="n"/>
      <c r="Q49" s="67">
        <f>IF(base!O49&lt;&gt;"",VLOOKUP(O49,de_para!$A$1:$B$31,2,0)*base!P49,0)</f>
        <v/>
      </c>
      <c r="R49" s="38" t="n"/>
      <c r="S49" s="29" t="n"/>
      <c r="T49" s="67">
        <f>IF(base!R49&lt;&gt;"",VLOOKUP(R49,de_para!$A$1:$B$31,2,0)*base!S49,0)</f>
        <v/>
      </c>
      <c r="U49" s="68">
        <f>H49+K49+N49+Q49+T49</f>
        <v/>
      </c>
    </row>
    <row r="50">
      <c r="A50" s="29" t="n"/>
      <c r="B50" s="29" t="n"/>
      <c r="C50" s="29" t="n"/>
      <c r="D50" s="29" t="n"/>
      <c r="E50" s="29" t="n"/>
      <c r="F50" s="29" t="n"/>
      <c r="G50" s="29" t="n"/>
      <c r="H50" s="67">
        <f>IF(base!F50&lt;&gt;"",VLOOKUP(F50,de_para!$A$1:$B$31,2,0)*base!G50,0)</f>
        <v/>
      </c>
      <c r="I50" s="38" t="n"/>
      <c r="J50" s="29" t="n"/>
      <c r="K50" s="67">
        <f>IF(base!I50&lt;&gt;"",VLOOKUP(I50,de_para!$A$1:$B$31,2,0)*base!J50,0)</f>
        <v/>
      </c>
      <c r="L50" s="38" t="n"/>
      <c r="M50" s="29" t="n"/>
      <c r="N50" s="67">
        <f>IF(base!L50&lt;&gt;"",VLOOKUP(L50,de_para!$A$1:$B$31,2,0)*base!M50,0)</f>
        <v/>
      </c>
      <c r="O50" s="38" t="n"/>
      <c r="P50" s="29" t="n"/>
      <c r="Q50" s="67">
        <f>IF(base!O50&lt;&gt;"",VLOOKUP(O50,de_para!$A$1:$B$31,2,0)*base!P50,0)</f>
        <v/>
      </c>
      <c r="R50" s="38" t="n"/>
      <c r="S50" s="29" t="n"/>
      <c r="T50" s="67">
        <f>IF(base!R50&lt;&gt;"",VLOOKUP(R50,de_para!$A$1:$B$31,2,0)*base!S50,0)</f>
        <v/>
      </c>
      <c r="U50" s="68">
        <f>H50+K50+N50+Q50+T50</f>
        <v/>
      </c>
    </row>
    <row r="51">
      <c r="A51" s="29" t="n"/>
      <c r="B51" s="29" t="n"/>
      <c r="C51" s="29" t="n"/>
      <c r="D51" s="29" t="n"/>
      <c r="E51" s="29" t="n"/>
      <c r="F51" s="29" t="n"/>
      <c r="G51" s="29" t="n"/>
      <c r="H51" s="67">
        <f>IF(base!F51&lt;&gt;"",VLOOKUP(F51,de_para!$A$1:$B$31,2,0)*base!G51,0)</f>
        <v/>
      </c>
      <c r="I51" s="38" t="n"/>
      <c r="J51" s="29" t="n"/>
      <c r="K51" s="67">
        <f>IF(base!I51&lt;&gt;"",VLOOKUP(I51,de_para!$A$1:$B$31,2,0)*base!J51,0)</f>
        <v/>
      </c>
      <c r="L51" s="38" t="n"/>
      <c r="M51" s="29" t="n"/>
      <c r="N51" s="67">
        <f>IF(base!L51&lt;&gt;"",VLOOKUP(L51,de_para!$A$1:$B$31,2,0)*base!M51,0)</f>
        <v/>
      </c>
      <c r="O51" s="38" t="n"/>
      <c r="P51" s="29" t="n"/>
      <c r="Q51" s="67">
        <f>IF(base!O51&lt;&gt;"",VLOOKUP(O51,de_para!$A$1:$B$31,2,0)*base!P51,0)</f>
        <v/>
      </c>
      <c r="R51" s="38" t="n"/>
      <c r="S51" s="29" t="n"/>
      <c r="T51" s="67">
        <f>IF(base!R51&lt;&gt;"",VLOOKUP(R51,de_para!$A$1:$B$31,2,0)*base!S51,0)</f>
        <v/>
      </c>
      <c r="U51" s="68">
        <f>H51+K51+N51+Q51+T51</f>
        <v/>
      </c>
    </row>
    <row r="52">
      <c r="A52" s="29" t="n"/>
      <c r="B52" s="29" t="n"/>
      <c r="C52" s="29" t="n"/>
      <c r="D52" s="29" t="n"/>
      <c r="E52" s="29" t="n"/>
      <c r="F52" s="29" t="n"/>
      <c r="G52" s="29" t="n"/>
      <c r="H52" s="67">
        <f>IF(base!F52&lt;&gt;"",VLOOKUP(F52,de_para!$A$1:$B$31,2,0)*base!G52,0)</f>
        <v/>
      </c>
      <c r="I52" s="38" t="n"/>
      <c r="J52" s="29" t="n"/>
      <c r="K52" s="67">
        <f>IF(base!I52&lt;&gt;"",VLOOKUP(I52,de_para!$A$1:$B$31,2,0)*base!J52,0)</f>
        <v/>
      </c>
      <c r="L52" s="38" t="n"/>
      <c r="M52" s="29" t="n"/>
      <c r="N52" s="67">
        <f>IF(base!L52&lt;&gt;"",VLOOKUP(L52,de_para!$A$1:$B$31,2,0)*base!M52,0)</f>
        <v/>
      </c>
      <c r="O52" s="38" t="n"/>
      <c r="P52" s="29" t="n"/>
      <c r="Q52" s="67">
        <f>IF(base!O52&lt;&gt;"",VLOOKUP(O52,de_para!$A$1:$B$31,2,0)*base!P52,0)</f>
        <v/>
      </c>
      <c r="R52" s="38" t="n"/>
      <c r="S52" s="29" t="n"/>
      <c r="T52" s="67">
        <f>IF(base!R52&lt;&gt;"",VLOOKUP(R52,de_para!$A$1:$B$31,2,0)*base!S52,0)</f>
        <v/>
      </c>
      <c r="U52" s="68">
        <f>H52+K52+N52+Q52+T52</f>
        <v/>
      </c>
    </row>
    <row r="53">
      <c r="A53" s="29" t="n"/>
      <c r="B53" s="29" t="n"/>
      <c r="C53" s="29" t="n"/>
      <c r="D53" s="29" t="n"/>
      <c r="E53" s="29" t="n"/>
      <c r="F53" s="29" t="n"/>
      <c r="G53" s="29" t="n"/>
      <c r="H53" s="67">
        <f>IF(base!F53&lt;&gt;"",VLOOKUP(F53,de_para!$A$1:$B$31,2,0)*base!G53,0)</f>
        <v/>
      </c>
      <c r="I53" s="38" t="n"/>
      <c r="J53" s="29" t="n"/>
      <c r="K53" s="67">
        <f>IF(base!I53&lt;&gt;"",VLOOKUP(I53,de_para!$A$1:$B$31,2,0)*base!J53,0)</f>
        <v/>
      </c>
      <c r="L53" s="38" t="n"/>
      <c r="M53" s="29" t="n"/>
      <c r="N53" s="67">
        <f>IF(base!L53&lt;&gt;"",VLOOKUP(L53,de_para!$A$1:$B$31,2,0)*base!M53,0)</f>
        <v/>
      </c>
      <c r="O53" s="38" t="n"/>
      <c r="P53" s="29" t="n"/>
      <c r="Q53" s="67">
        <f>IF(base!O53&lt;&gt;"",VLOOKUP(O53,de_para!$A$1:$B$31,2,0)*base!P53,0)</f>
        <v/>
      </c>
      <c r="R53" s="38" t="n"/>
      <c r="S53" s="29" t="n"/>
      <c r="T53" s="67">
        <f>IF(base!R53&lt;&gt;"",VLOOKUP(R53,de_para!$A$1:$B$31,2,0)*base!S53,0)</f>
        <v/>
      </c>
      <c r="U53" s="68">
        <f>H53+K53+N53+Q53+T53</f>
        <v/>
      </c>
    </row>
    <row r="54">
      <c r="A54" s="29" t="n"/>
      <c r="B54" s="29" t="n"/>
      <c r="C54" s="29" t="n"/>
      <c r="D54" s="29" t="n"/>
      <c r="E54" s="29" t="n"/>
      <c r="F54" s="29" t="n"/>
      <c r="G54" s="29" t="n"/>
      <c r="H54" s="67">
        <f>IF(base!F54&lt;&gt;"",VLOOKUP(F54,de_para!$A$1:$B$31,2,0)*base!G54,0)</f>
        <v/>
      </c>
      <c r="I54" s="38" t="n"/>
      <c r="J54" s="29" t="n"/>
      <c r="K54" s="67">
        <f>IF(base!I54&lt;&gt;"",VLOOKUP(I54,de_para!$A$1:$B$31,2,0)*base!J54,0)</f>
        <v/>
      </c>
      <c r="L54" s="38" t="n"/>
      <c r="M54" s="29" t="n"/>
      <c r="N54" s="67">
        <f>IF(base!L54&lt;&gt;"",VLOOKUP(L54,de_para!$A$1:$B$31,2,0)*base!M54,0)</f>
        <v/>
      </c>
      <c r="O54" s="38" t="n"/>
      <c r="P54" s="29" t="n"/>
      <c r="Q54" s="67">
        <f>IF(base!O54&lt;&gt;"",VLOOKUP(O54,de_para!$A$1:$B$31,2,0)*base!P54,0)</f>
        <v/>
      </c>
      <c r="R54" s="38" t="n"/>
      <c r="S54" s="29" t="n"/>
      <c r="T54" s="67">
        <f>IF(base!R54&lt;&gt;"",VLOOKUP(R54,de_para!$A$1:$B$31,2,0)*base!S54,0)</f>
        <v/>
      </c>
      <c r="U54" s="68">
        <f>H54+K54+N54+Q54+T54</f>
        <v/>
      </c>
    </row>
    <row r="55">
      <c r="A55" s="29" t="n"/>
      <c r="B55" s="29" t="n"/>
      <c r="C55" s="29" t="n"/>
      <c r="D55" s="29" t="n"/>
      <c r="E55" s="29" t="n"/>
      <c r="F55" s="29" t="n"/>
      <c r="G55" s="29" t="n"/>
      <c r="H55" s="67">
        <f>IF(base!F55&lt;&gt;"",VLOOKUP(F55,de_para!$A$1:$B$31,2,0)*base!G55,0)</f>
        <v/>
      </c>
      <c r="I55" s="38" t="n"/>
      <c r="J55" s="29" t="n"/>
      <c r="K55" s="67">
        <f>IF(base!I55&lt;&gt;"",VLOOKUP(I55,de_para!$A$1:$B$31,2,0)*base!J55,0)</f>
        <v/>
      </c>
      <c r="L55" s="38" t="n"/>
      <c r="M55" s="29" t="n"/>
      <c r="N55" s="67">
        <f>IF(base!L55&lt;&gt;"",VLOOKUP(L55,de_para!$A$1:$B$31,2,0)*base!M55,0)</f>
        <v/>
      </c>
      <c r="O55" s="38" t="n"/>
      <c r="P55" s="29" t="n"/>
      <c r="Q55" s="67">
        <f>IF(base!O55&lt;&gt;"",VLOOKUP(O55,de_para!$A$1:$B$31,2,0)*base!P55,0)</f>
        <v/>
      </c>
      <c r="R55" s="38" t="n"/>
      <c r="S55" s="29" t="n"/>
      <c r="T55" s="67">
        <f>IF(base!R55&lt;&gt;"",VLOOKUP(R55,de_para!$A$1:$B$31,2,0)*base!S55,0)</f>
        <v/>
      </c>
      <c r="U55" s="68">
        <f>H55+K55+N55+Q55+T55</f>
        <v/>
      </c>
    </row>
    <row r="56">
      <c r="A56" s="29" t="n"/>
      <c r="B56" s="29" t="n"/>
      <c r="C56" s="29" t="n"/>
      <c r="D56" s="29" t="n"/>
      <c r="E56" s="29" t="n"/>
      <c r="F56" s="29" t="n"/>
      <c r="G56" s="29" t="n"/>
      <c r="H56" s="67">
        <f>IF(base!F56&lt;&gt;"",VLOOKUP(F56,de_para!$A$1:$B$31,2,0)*base!G56,0)</f>
        <v/>
      </c>
      <c r="I56" s="38" t="n"/>
      <c r="J56" s="29" t="n"/>
      <c r="K56" s="67">
        <f>IF(base!I56&lt;&gt;"",VLOOKUP(I56,de_para!$A$1:$B$31,2,0)*base!J56,0)</f>
        <v/>
      </c>
      <c r="L56" s="38" t="n"/>
      <c r="M56" s="29" t="n"/>
      <c r="N56" s="67">
        <f>IF(base!L56&lt;&gt;"",VLOOKUP(L56,de_para!$A$1:$B$31,2,0)*base!M56,0)</f>
        <v/>
      </c>
      <c r="O56" s="38" t="n"/>
      <c r="P56" s="29" t="n"/>
      <c r="Q56" s="67">
        <f>IF(base!O56&lt;&gt;"",VLOOKUP(O56,de_para!$A$1:$B$31,2,0)*base!P56,0)</f>
        <v/>
      </c>
      <c r="R56" s="38" t="n"/>
      <c r="S56" s="29" t="n"/>
      <c r="T56" s="67">
        <f>IF(base!R56&lt;&gt;"",VLOOKUP(R56,de_para!$A$1:$B$31,2,0)*base!S56,0)</f>
        <v/>
      </c>
      <c r="U56" s="68">
        <f>H56+K56+N56+Q56+T56</f>
        <v/>
      </c>
    </row>
    <row r="57">
      <c r="A57" s="29" t="n"/>
      <c r="B57" s="29" t="n"/>
      <c r="C57" s="29" t="n"/>
      <c r="D57" s="29" t="n"/>
      <c r="E57" s="29" t="n"/>
      <c r="F57" s="29" t="n"/>
      <c r="G57" s="29" t="n"/>
      <c r="H57" s="67">
        <f>IF(base!F57&lt;&gt;"",VLOOKUP(F57,de_para!$A$1:$B$31,2,0)*base!G57,0)</f>
        <v/>
      </c>
      <c r="I57" s="38" t="n"/>
      <c r="J57" s="29" t="n"/>
      <c r="K57" s="67">
        <f>IF(base!I57&lt;&gt;"",VLOOKUP(I57,de_para!$A$1:$B$31,2,0)*base!J57,0)</f>
        <v/>
      </c>
      <c r="L57" s="38" t="n"/>
      <c r="M57" s="29" t="n"/>
      <c r="N57" s="67">
        <f>IF(base!L57&lt;&gt;"",VLOOKUP(L57,de_para!$A$1:$B$31,2,0)*base!M57,0)</f>
        <v/>
      </c>
      <c r="O57" s="38" t="n"/>
      <c r="P57" s="29" t="n"/>
      <c r="Q57" s="67">
        <f>IF(base!O57&lt;&gt;"",VLOOKUP(O57,de_para!$A$1:$B$31,2,0)*base!P57,0)</f>
        <v/>
      </c>
      <c r="R57" s="38" t="n"/>
      <c r="S57" s="29" t="n"/>
      <c r="T57" s="67">
        <f>IF(base!R57&lt;&gt;"",VLOOKUP(R57,de_para!$A$1:$B$31,2,0)*base!S57,0)</f>
        <v/>
      </c>
      <c r="U57" s="68">
        <f>H57+K57+N57+Q57+T57</f>
        <v/>
      </c>
    </row>
    <row r="58">
      <c r="A58" s="29" t="n"/>
      <c r="B58" s="29" t="n"/>
      <c r="C58" s="29" t="n"/>
      <c r="D58" s="29" t="n"/>
      <c r="E58" s="29" t="n"/>
      <c r="F58" s="29" t="n"/>
      <c r="G58" s="29" t="n"/>
      <c r="H58" s="67">
        <f>IF(base!F58&lt;&gt;"",VLOOKUP(F58,de_para!$A$1:$B$31,2,0)*base!G58,0)</f>
        <v/>
      </c>
      <c r="I58" s="38" t="n"/>
      <c r="J58" s="29" t="n"/>
      <c r="K58" s="67">
        <f>IF(base!I58&lt;&gt;"",VLOOKUP(I58,de_para!$A$1:$B$31,2,0)*base!J58,0)</f>
        <v/>
      </c>
      <c r="L58" s="38" t="n"/>
      <c r="M58" s="29" t="n"/>
      <c r="N58" s="67">
        <f>IF(base!L58&lt;&gt;"",VLOOKUP(L58,de_para!$A$1:$B$31,2,0)*base!M58,0)</f>
        <v/>
      </c>
      <c r="O58" s="38" t="n"/>
      <c r="P58" s="29" t="n"/>
      <c r="Q58" s="67">
        <f>IF(base!O58&lt;&gt;"",VLOOKUP(O58,de_para!$A$1:$B$31,2,0)*base!P58,0)</f>
        <v/>
      </c>
      <c r="R58" s="38" t="n"/>
      <c r="S58" s="29" t="n"/>
      <c r="T58" s="67">
        <f>IF(base!R58&lt;&gt;"",VLOOKUP(R58,de_para!$A$1:$B$31,2,0)*base!S58,0)</f>
        <v/>
      </c>
      <c r="U58" s="68">
        <f>H58+K58+N58+Q58+T58</f>
        <v/>
      </c>
    </row>
    <row r="59">
      <c r="A59" s="29" t="n"/>
      <c r="B59" s="29" t="n"/>
      <c r="C59" s="29" t="n"/>
      <c r="D59" s="29" t="n"/>
      <c r="E59" s="29" t="n"/>
      <c r="F59" s="29" t="n"/>
      <c r="G59" s="29" t="n"/>
      <c r="H59" s="67">
        <f>IF(base!F59&lt;&gt;"",VLOOKUP(F59,de_para!$A$1:$B$31,2,0)*base!G59,0)</f>
        <v/>
      </c>
      <c r="I59" s="38" t="n"/>
      <c r="J59" s="29" t="n"/>
      <c r="K59" s="67">
        <f>IF(base!I59&lt;&gt;"",VLOOKUP(I59,de_para!$A$1:$B$31,2,0)*base!J59,0)</f>
        <v/>
      </c>
      <c r="L59" s="38" t="n"/>
      <c r="M59" s="29" t="n"/>
      <c r="N59" s="67">
        <f>IF(base!L59&lt;&gt;"",VLOOKUP(L59,de_para!$A$1:$B$31,2,0)*base!M59,0)</f>
        <v/>
      </c>
      <c r="O59" s="38" t="n"/>
      <c r="P59" s="29" t="n"/>
      <c r="Q59" s="67">
        <f>IF(base!O59&lt;&gt;"",VLOOKUP(O59,de_para!$A$1:$B$31,2,0)*base!P59,0)</f>
        <v/>
      </c>
      <c r="R59" s="38" t="n"/>
      <c r="S59" s="29" t="n"/>
      <c r="T59" s="67">
        <f>IF(base!R59&lt;&gt;"",VLOOKUP(R59,de_para!$A$1:$B$31,2,0)*base!S59,0)</f>
        <v/>
      </c>
      <c r="U59" s="68">
        <f>H59+K59+N59+Q59+T59</f>
        <v/>
      </c>
    </row>
    <row r="60">
      <c r="A60" s="29" t="n"/>
      <c r="B60" s="29" t="n"/>
      <c r="C60" s="29" t="n"/>
      <c r="D60" s="29" t="n"/>
      <c r="E60" s="29" t="n"/>
      <c r="F60" s="29" t="n"/>
      <c r="G60" s="29" t="n"/>
      <c r="H60" s="67">
        <f>IF(base!F60&lt;&gt;"",VLOOKUP(F60,de_para!$A$1:$B$31,2,0)*base!G60,0)</f>
        <v/>
      </c>
      <c r="I60" s="38" t="n"/>
      <c r="J60" s="29" t="n"/>
      <c r="K60" s="67">
        <f>IF(base!I60&lt;&gt;"",VLOOKUP(I60,de_para!$A$1:$B$31,2,0)*base!J60,0)</f>
        <v/>
      </c>
      <c r="L60" s="38" t="n"/>
      <c r="M60" s="29" t="n"/>
      <c r="N60" s="67">
        <f>IF(base!L60&lt;&gt;"",VLOOKUP(L60,de_para!$A$1:$B$31,2,0)*base!M60,0)</f>
        <v/>
      </c>
      <c r="O60" s="38" t="n"/>
      <c r="P60" s="29" t="n"/>
      <c r="Q60" s="67">
        <f>IF(base!O60&lt;&gt;"",VLOOKUP(O60,de_para!$A$1:$B$31,2,0)*base!P60,0)</f>
        <v/>
      </c>
      <c r="R60" s="38" t="n"/>
      <c r="S60" s="29" t="n"/>
      <c r="T60" s="67">
        <f>IF(base!R60&lt;&gt;"",VLOOKUP(R60,de_para!$A$1:$B$31,2,0)*base!S60,0)</f>
        <v/>
      </c>
      <c r="U60" s="68">
        <f>H60+K60+N60+Q60+T60</f>
        <v/>
      </c>
    </row>
    <row r="61">
      <c r="A61" s="29" t="n"/>
      <c r="B61" s="29" t="n"/>
      <c r="C61" s="29" t="n"/>
      <c r="D61" s="29" t="n"/>
      <c r="E61" s="29" t="n"/>
      <c r="F61" s="29" t="n"/>
      <c r="G61" s="29" t="n"/>
      <c r="H61" s="67">
        <f>IF(base!F61&lt;&gt;"",VLOOKUP(F61,de_para!$A$1:$B$31,2,0)*base!G61,0)</f>
        <v/>
      </c>
      <c r="I61" s="38" t="n"/>
      <c r="J61" s="29" t="n"/>
      <c r="K61" s="67">
        <f>IF(base!I61&lt;&gt;"",VLOOKUP(I61,de_para!$A$1:$B$31,2,0)*base!J61,0)</f>
        <v/>
      </c>
      <c r="L61" s="38" t="n"/>
      <c r="M61" s="29" t="n"/>
      <c r="N61" s="67">
        <f>IF(base!L61&lt;&gt;"",VLOOKUP(L61,de_para!$A$1:$B$31,2,0)*base!M61,0)</f>
        <v/>
      </c>
      <c r="O61" s="38" t="n"/>
      <c r="P61" s="29" t="n"/>
      <c r="Q61" s="67">
        <f>IF(base!O61&lt;&gt;"",VLOOKUP(O61,de_para!$A$1:$B$31,2,0)*base!P61,0)</f>
        <v/>
      </c>
      <c r="R61" s="38" t="n"/>
      <c r="S61" s="29" t="n"/>
      <c r="T61" s="67">
        <f>IF(base!R61&lt;&gt;"",VLOOKUP(R61,de_para!$A$1:$B$31,2,0)*base!S61,0)</f>
        <v/>
      </c>
      <c r="U61" s="68">
        <f>H61+K61+N61+Q61+T61</f>
        <v/>
      </c>
    </row>
    <row r="62">
      <c r="A62" s="29" t="n"/>
      <c r="B62" s="29" t="n"/>
      <c r="C62" s="29" t="n"/>
      <c r="D62" s="29" t="n"/>
      <c r="E62" s="29" t="n"/>
      <c r="F62" s="29" t="n"/>
      <c r="G62" s="29" t="n"/>
      <c r="H62" s="67">
        <f>IF(base!F62&lt;&gt;"",VLOOKUP(F62,de_para!$A$1:$B$31,2,0)*base!G62,0)</f>
        <v/>
      </c>
      <c r="I62" s="38" t="n"/>
      <c r="J62" s="29" t="n"/>
      <c r="K62" s="67">
        <f>IF(base!I62&lt;&gt;"",VLOOKUP(I62,de_para!$A$1:$B$31,2,0)*base!J62,0)</f>
        <v/>
      </c>
      <c r="L62" s="38" t="n"/>
      <c r="M62" s="29" t="n"/>
      <c r="N62" s="67">
        <f>IF(base!L62&lt;&gt;"",VLOOKUP(L62,de_para!$A$1:$B$31,2,0)*base!M62,0)</f>
        <v/>
      </c>
      <c r="O62" s="38" t="n"/>
      <c r="P62" s="29" t="n"/>
      <c r="Q62" s="67">
        <f>IF(base!O62&lt;&gt;"",VLOOKUP(O62,de_para!$A$1:$B$31,2,0)*base!P62,0)</f>
        <v/>
      </c>
      <c r="R62" s="38" t="n"/>
      <c r="S62" s="29" t="n"/>
      <c r="T62" s="67">
        <f>IF(base!R62&lt;&gt;"",VLOOKUP(R62,de_para!$A$1:$B$31,2,0)*base!S62,0)</f>
        <v/>
      </c>
      <c r="U62" s="68">
        <f>H62+K62+N62+Q62+T62</f>
        <v/>
      </c>
    </row>
    <row r="63">
      <c r="A63" s="29" t="n"/>
      <c r="B63" s="29" t="n"/>
      <c r="C63" s="29" t="n"/>
      <c r="D63" s="29" t="n"/>
      <c r="E63" s="29" t="n"/>
      <c r="F63" s="29" t="n"/>
      <c r="G63" s="29" t="n"/>
      <c r="H63" s="67">
        <f>IF(base!F63&lt;&gt;"",VLOOKUP(F63,de_para!$A$1:$B$31,2,0)*base!G63,0)</f>
        <v/>
      </c>
      <c r="I63" s="38" t="n"/>
      <c r="J63" s="29" t="n"/>
      <c r="K63" s="67">
        <f>IF(base!I63&lt;&gt;"",VLOOKUP(I63,de_para!$A$1:$B$31,2,0)*base!J63,0)</f>
        <v/>
      </c>
      <c r="L63" s="38" t="n"/>
      <c r="M63" s="29" t="n"/>
      <c r="N63" s="67">
        <f>IF(base!L63&lt;&gt;"",VLOOKUP(L63,de_para!$A$1:$B$31,2,0)*base!M63,0)</f>
        <v/>
      </c>
      <c r="O63" s="38" t="n"/>
      <c r="P63" s="29" t="n"/>
      <c r="Q63" s="67">
        <f>IF(base!O63&lt;&gt;"",VLOOKUP(O63,de_para!$A$1:$B$31,2,0)*base!P63,0)</f>
        <v/>
      </c>
      <c r="R63" s="38" t="n"/>
      <c r="S63" s="29" t="n"/>
      <c r="T63" s="67">
        <f>IF(base!R63&lt;&gt;"",VLOOKUP(R63,de_para!$A$1:$B$31,2,0)*base!S63,0)</f>
        <v/>
      </c>
      <c r="U63" s="68">
        <f>H63+K63+N63+Q63+T63</f>
        <v/>
      </c>
    </row>
    <row r="64">
      <c r="A64" s="29" t="n"/>
      <c r="B64" s="29" t="n"/>
      <c r="C64" s="29" t="n"/>
      <c r="D64" s="29" t="n"/>
      <c r="E64" s="29" t="n"/>
      <c r="F64" s="29" t="n"/>
      <c r="G64" s="29" t="n"/>
      <c r="H64" s="67">
        <f>IF(base!F64&lt;&gt;"",VLOOKUP(F64,de_para!$A$1:$B$31,2,0)*base!G64,0)</f>
        <v/>
      </c>
      <c r="I64" s="38" t="n"/>
      <c r="J64" s="29" t="n"/>
      <c r="K64" s="67">
        <f>IF(base!I64&lt;&gt;"",VLOOKUP(I64,de_para!$A$1:$B$31,2,0)*base!J64,0)</f>
        <v/>
      </c>
      <c r="L64" s="38" t="n"/>
      <c r="M64" s="29" t="n"/>
      <c r="N64" s="67">
        <f>IF(base!L64&lt;&gt;"",VLOOKUP(L64,de_para!$A$1:$B$31,2,0)*base!M64,0)</f>
        <v/>
      </c>
      <c r="O64" s="38" t="n"/>
      <c r="P64" s="29" t="n"/>
      <c r="Q64" s="67">
        <f>IF(base!O64&lt;&gt;"",VLOOKUP(O64,de_para!$A$1:$B$31,2,0)*base!P64,0)</f>
        <v/>
      </c>
      <c r="R64" s="38" t="n"/>
      <c r="S64" s="29" t="n"/>
      <c r="T64" s="67">
        <f>IF(base!R64&lt;&gt;"",VLOOKUP(R64,de_para!$A$1:$B$31,2,0)*base!S64,0)</f>
        <v/>
      </c>
      <c r="U64" s="68">
        <f>H64+K64+N64+Q64+T64</f>
        <v/>
      </c>
    </row>
    <row r="65">
      <c r="A65" s="29" t="n"/>
      <c r="B65" s="29" t="n"/>
      <c r="C65" s="29" t="n"/>
      <c r="D65" s="29" t="n"/>
      <c r="E65" s="29" t="n"/>
      <c r="F65" s="29" t="n"/>
      <c r="G65" s="29" t="n"/>
      <c r="H65" s="67">
        <f>IF(base!F65&lt;&gt;"",VLOOKUP(F65,de_para!$A$1:$B$31,2,0)*base!G65,0)</f>
        <v/>
      </c>
      <c r="I65" s="38" t="n"/>
      <c r="J65" s="29" t="n"/>
      <c r="K65" s="67">
        <f>IF(base!I65&lt;&gt;"",VLOOKUP(I65,de_para!$A$1:$B$31,2,0)*base!J65,0)</f>
        <v/>
      </c>
      <c r="L65" s="38" t="n"/>
      <c r="M65" s="29" t="n"/>
      <c r="N65" s="67">
        <f>IF(base!L65&lt;&gt;"",VLOOKUP(L65,de_para!$A$1:$B$31,2,0)*base!M65,0)</f>
        <v/>
      </c>
      <c r="O65" s="38" t="n"/>
      <c r="P65" s="29" t="n"/>
      <c r="Q65" s="67">
        <f>IF(base!O65&lt;&gt;"",VLOOKUP(O65,de_para!$A$1:$B$31,2,0)*base!P65,0)</f>
        <v/>
      </c>
      <c r="R65" s="38" t="n"/>
      <c r="S65" s="29" t="n"/>
      <c r="T65" s="67">
        <f>IF(base!R65&lt;&gt;"",VLOOKUP(R65,de_para!$A$1:$B$31,2,0)*base!S65,0)</f>
        <v/>
      </c>
      <c r="U65" s="68">
        <f>H65+K65+N65+Q65+T65</f>
        <v/>
      </c>
    </row>
    <row r="66">
      <c r="A66" s="29" t="n"/>
      <c r="B66" s="29" t="n"/>
      <c r="C66" s="29" t="n"/>
      <c r="D66" s="29" t="n"/>
      <c r="E66" s="29" t="n"/>
      <c r="F66" s="29" t="n"/>
      <c r="G66" s="29" t="n"/>
      <c r="H66" s="67">
        <f>IF(base!F66&lt;&gt;"",VLOOKUP(F66,de_para!$A$1:$B$31,2,0)*base!G66,0)</f>
        <v/>
      </c>
      <c r="I66" s="38" t="n"/>
      <c r="J66" s="29" t="n"/>
      <c r="K66" s="67">
        <f>IF(base!I66&lt;&gt;"",VLOOKUP(I66,de_para!$A$1:$B$31,2,0)*base!J66,0)</f>
        <v/>
      </c>
      <c r="L66" s="38" t="n"/>
      <c r="M66" s="29" t="n"/>
      <c r="N66" s="67">
        <f>IF(base!L66&lt;&gt;"",VLOOKUP(L66,de_para!$A$1:$B$31,2,0)*base!M66,0)</f>
        <v/>
      </c>
      <c r="O66" s="38" t="n"/>
      <c r="P66" s="29" t="n"/>
      <c r="Q66" s="67">
        <f>IF(base!O66&lt;&gt;"",VLOOKUP(O66,de_para!$A$1:$B$31,2,0)*base!P66,0)</f>
        <v/>
      </c>
      <c r="R66" s="38" t="n"/>
      <c r="S66" s="29" t="n"/>
      <c r="T66" s="67">
        <f>IF(base!R66&lt;&gt;"",VLOOKUP(R66,de_para!$A$1:$B$31,2,0)*base!S66,0)</f>
        <v/>
      </c>
      <c r="U66" s="68">
        <f>H66+K66+N66+Q66+T66</f>
        <v/>
      </c>
    </row>
    <row r="67">
      <c r="A67" s="29" t="n"/>
      <c r="B67" s="29" t="n"/>
      <c r="C67" s="29" t="n"/>
      <c r="D67" s="29" t="n"/>
      <c r="E67" s="29" t="n"/>
      <c r="F67" s="29" t="n"/>
      <c r="G67" s="29" t="n"/>
      <c r="H67" s="67">
        <f>IF(base!F67&lt;&gt;"",VLOOKUP(F67,de_para!$A$1:$B$31,2,0)*base!G67,0)</f>
        <v/>
      </c>
      <c r="I67" s="38" t="n"/>
      <c r="J67" s="29" t="n"/>
      <c r="K67" s="67">
        <f>IF(base!I67&lt;&gt;"",VLOOKUP(I67,de_para!$A$1:$B$31,2,0)*base!J67,0)</f>
        <v/>
      </c>
      <c r="L67" s="38" t="n"/>
      <c r="M67" s="29" t="n"/>
      <c r="N67" s="67">
        <f>IF(base!L67&lt;&gt;"",VLOOKUP(L67,de_para!$A$1:$B$31,2,0)*base!M67,0)</f>
        <v/>
      </c>
      <c r="O67" s="38" t="n"/>
      <c r="P67" s="29" t="n"/>
      <c r="Q67" s="67">
        <f>IF(base!O67&lt;&gt;"",VLOOKUP(O67,de_para!$A$1:$B$31,2,0)*base!P67,0)</f>
        <v/>
      </c>
      <c r="R67" s="38" t="n"/>
      <c r="S67" s="29" t="n"/>
      <c r="T67" s="67">
        <f>IF(base!R67&lt;&gt;"",VLOOKUP(R67,de_para!$A$1:$B$31,2,0)*base!S67,0)</f>
        <v/>
      </c>
      <c r="U67" s="68">
        <f>H67+K67+N67+Q67+T67</f>
        <v/>
      </c>
    </row>
    <row r="68">
      <c r="A68" s="29" t="n"/>
      <c r="B68" s="29" t="n"/>
      <c r="C68" s="29" t="n"/>
      <c r="D68" s="29" t="n"/>
      <c r="E68" s="29" t="n"/>
      <c r="F68" s="29" t="n"/>
      <c r="G68" s="29" t="n"/>
      <c r="H68" s="67">
        <f>IF(base!F68&lt;&gt;"",VLOOKUP(F68,de_para!$A$1:$B$31,2,0)*base!G68,0)</f>
        <v/>
      </c>
      <c r="I68" s="38" t="n"/>
      <c r="J68" s="29" t="n"/>
      <c r="K68" s="67">
        <f>IF(base!I68&lt;&gt;"",VLOOKUP(I68,de_para!$A$1:$B$31,2,0)*base!J68,0)</f>
        <v/>
      </c>
      <c r="L68" s="38" t="n"/>
      <c r="M68" s="29" t="n"/>
      <c r="N68" s="67">
        <f>IF(base!L68&lt;&gt;"",VLOOKUP(L68,de_para!$A$1:$B$31,2,0)*base!M68,0)</f>
        <v/>
      </c>
      <c r="O68" s="38" t="n"/>
      <c r="P68" s="29" t="n"/>
      <c r="Q68" s="67">
        <f>IF(base!O68&lt;&gt;"",VLOOKUP(O68,de_para!$A$1:$B$31,2,0)*base!P68,0)</f>
        <v/>
      </c>
      <c r="R68" s="38" t="n"/>
      <c r="S68" s="29" t="n"/>
      <c r="T68" s="67">
        <f>IF(base!R68&lt;&gt;"",VLOOKUP(R68,de_para!$A$1:$B$31,2,0)*base!S68,0)</f>
        <v/>
      </c>
      <c r="U68" s="68">
        <f>H68+K68+N68+Q68+T68</f>
        <v/>
      </c>
    </row>
    <row r="69">
      <c r="A69" s="29" t="n"/>
      <c r="B69" s="29" t="n"/>
      <c r="C69" s="29" t="n"/>
      <c r="D69" s="29" t="n"/>
      <c r="E69" s="29" t="n"/>
      <c r="F69" s="29" t="n"/>
      <c r="G69" s="29" t="n"/>
      <c r="H69" s="67">
        <f>IF(base!F69&lt;&gt;"",VLOOKUP(F69,de_para!$A$1:$B$31,2,0)*base!G69,0)</f>
        <v/>
      </c>
      <c r="I69" s="38" t="n"/>
      <c r="J69" s="29" t="n"/>
      <c r="K69" s="67">
        <f>IF(base!I69&lt;&gt;"",VLOOKUP(I69,de_para!$A$1:$B$31,2,0)*base!J69,0)</f>
        <v/>
      </c>
      <c r="L69" s="38" t="n"/>
      <c r="M69" s="29" t="n"/>
      <c r="N69" s="67">
        <f>IF(base!L69&lt;&gt;"",VLOOKUP(L69,de_para!$A$1:$B$31,2,0)*base!M69,0)</f>
        <v/>
      </c>
      <c r="O69" s="38" t="n"/>
      <c r="P69" s="29" t="n"/>
      <c r="Q69" s="67">
        <f>IF(base!O69&lt;&gt;"",VLOOKUP(O69,de_para!$A$1:$B$31,2,0)*base!P69,0)</f>
        <v/>
      </c>
      <c r="R69" s="38" t="n"/>
      <c r="S69" s="29" t="n"/>
      <c r="T69" s="67">
        <f>IF(base!R69&lt;&gt;"",VLOOKUP(R69,de_para!$A$1:$B$31,2,0)*base!S69,0)</f>
        <v/>
      </c>
      <c r="U69" s="68">
        <f>H69+K69+N69+Q69+T69</f>
        <v/>
      </c>
    </row>
    <row r="70">
      <c r="A70" s="29" t="n"/>
      <c r="B70" s="29" t="n"/>
      <c r="C70" s="29" t="n"/>
      <c r="D70" s="29" t="n"/>
      <c r="E70" s="29" t="n"/>
      <c r="F70" s="29" t="n"/>
      <c r="G70" s="29" t="n"/>
      <c r="H70" s="67">
        <f>IF(base!F70&lt;&gt;"",VLOOKUP(F70,de_para!$A$1:$B$31,2,0)*base!G70,0)</f>
        <v/>
      </c>
      <c r="I70" s="38" t="n"/>
      <c r="J70" s="29" t="n"/>
      <c r="K70" s="67">
        <f>IF(base!I70&lt;&gt;"",VLOOKUP(I70,de_para!$A$1:$B$31,2,0)*base!J70,0)</f>
        <v/>
      </c>
      <c r="L70" s="38" t="n"/>
      <c r="M70" s="29" t="n"/>
      <c r="N70" s="67">
        <f>IF(base!L70&lt;&gt;"",VLOOKUP(L70,de_para!$A$1:$B$31,2,0)*base!M70,0)</f>
        <v/>
      </c>
      <c r="O70" s="38" t="n"/>
      <c r="P70" s="29" t="n"/>
      <c r="Q70" s="67">
        <f>IF(base!O70&lt;&gt;"",VLOOKUP(O70,de_para!$A$1:$B$31,2,0)*base!P70,0)</f>
        <v/>
      </c>
      <c r="R70" s="38" t="n"/>
      <c r="S70" s="29" t="n"/>
      <c r="T70" s="67">
        <f>IF(base!R70&lt;&gt;"",VLOOKUP(R70,de_para!$A$1:$B$31,2,0)*base!S70,0)</f>
        <v/>
      </c>
      <c r="U70" s="68">
        <f>H70+K70+N70+Q70+T70</f>
        <v/>
      </c>
    </row>
    <row r="71">
      <c r="A71" s="29" t="n"/>
      <c r="B71" s="29" t="n"/>
      <c r="C71" s="29" t="n"/>
      <c r="D71" s="29" t="n"/>
      <c r="E71" s="29" t="n"/>
      <c r="F71" s="29" t="n"/>
      <c r="G71" s="29" t="n"/>
      <c r="H71" s="67">
        <f>IF(base!F71&lt;&gt;"",VLOOKUP(F71,de_para!$A$1:$B$31,2,0)*base!G71,0)</f>
        <v/>
      </c>
      <c r="I71" s="38" t="n"/>
      <c r="J71" s="29" t="n"/>
      <c r="K71" s="67">
        <f>IF(base!I71&lt;&gt;"",VLOOKUP(I71,de_para!$A$1:$B$31,2,0)*base!J71,0)</f>
        <v/>
      </c>
      <c r="L71" s="38" t="n"/>
      <c r="M71" s="29" t="n"/>
      <c r="N71" s="67">
        <f>IF(base!L71&lt;&gt;"",VLOOKUP(L71,de_para!$A$1:$B$31,2,0)*base!M71,0)</f>
        <v/>
      </c>
      <c r="O71" s="38" t="n"/>
      <c r="P71" s="29" t="n"/>
      <c r="Q71" s="67">
        <f>IF(base!O71&lt;&gt;"",VLOOKUP(O71,de_para!$A$1:$B$31,2,0)*base!P71,0)</f>
        <v/>
      </c>
      <c r="R71" s="38" t="n"/>
      <c r="S71" s="29" t="n"/>
      <c r="T71" s="67">
        <f>IF(base!R71&lt;&gt;"",VLOOKUP(R71,de_para!$A$1:$B$31,2,0)*base!S71,0)</f>
        <v/>
      </c>
      <c r="U71" s="68">
        <f>H71+K71+N71+Q71+T71</f>
        <v/>
      </c>
    </row>
    <row r="72">
      <c r="A72" s="29" t="n"/>
      <c r="B72" s="29" t="n"/>
      <c r="C72" s="29" t="n"/>
      <c r="D72" s="29" t="n"/>
      <c r="E72" s="29" t="n"/>
      <c r="F72" s="29" t="n"/>
      <c r="G72" s="29" t="n"/>
      <c r="H72" s="67">
        <f>IF(base!F72&lt;&gt;"",VLOOKUP(F72,de_para!$A$1:$B$31,2,0)*base!G72,0)</f>
        <v/>
      </c>
      <c r="I72" s="38" t="n"/>
      <c r="J72" s="29" t="n"/>
      <c r="K72" s="67">
        <f>IF(base!I72&lt;&gt;"",VLOOKUP(I72,de_para!$A$1:$B$31,2,0)*base!J72,0)</f>
        <v/>
      </c>
      <c r="L72" s="38" t="n"/>
      <c r="M72" s="29" t="n"/>
      <c r="N72" s="67">
        <f>IF(base!L72&lt;&gt;"",VLOOKUP(L72,de_para!$A$1:$B$31,2,0)*base!M72,0)</f>
        <v/>
      </c>
      <c r="O72" s="38" t="n"/>
      <c r="P72" s="29" t="n"/>
      <c r="Q72" s="67">
        <f>IF(base!O72&lt;&gt;"",VLOOKUP(O72,de_para!$A$1:$B$31,2,0)*base!P72,0)</f>
        <v/>
      </c>
      <c r="R72" s="38" t="n"/>
      <c r="S72" s="29" t="n"/>
      <c r="T72" s="67">
        <f>IF(base!R72&lt;&gt;"",VLOOKUP(R72,de_para!$A$1:$B$31,2,0)*base!S72,0)</f>
        <v/>
      </c>
      <c r="U72" s="68">
        <f>H72+K72+N72+Q72+T72</f>
        <v/>
      </c>
    </row>
    <row r="73">
      <c r="A73" s="29" t="n"/>
      <c r="B73" s="29" t="n"/>
      <c r="C73" s="29" t="n"/>
      <c r="D73" s="29" t="n"/>
      <c r="E73" s="29" t="n"/>
      <c r="F73" s="29" t="n"/>
      <c r="G73" s="29" t="n"/>
      <c r="H73" s="67">
        <f>IF(base!F73&lt;&gt;"",VLOOKUP(F73,de_para!$A$1:$B$31,2,0)*base!G73,0)</f>
        <v/>
      </c>
      <c r="I73" s="38" t="n"/>
      <c r="J73" s="29" t="n"/>
      <c r="K73" s="67">
        <f>IF(base!I73&lt;&gt;"",VLOOKUP(I73,de_para!$A$1:$B$31,2,0)*base!J73,0)</f>
        <v/>
      </c>
      <c r="L73" s="38" t="n"/>
      <c r="M73" s="29" t="n"/>
      <c r="N73" s="67">
        <f>IF(base!L73&lt;&gt;"",VLOOKUP(L73,de_para!$A$1:$B$31,2,0)*base!M73,0)</f>
        <v/>
      </c>
      <c r="O73" s="38" t="n"/>
      <c r="P73" s="29" t="n"/>
      <c r="Q73" s="67">
        <f>IF(base!O73&lt;&gt;"",VLOOKUP(O73,de_para!$A$1:$B$31,2,0)*base!P73,0)</f>
        <v/>
      </c>
      <c r="R73" s="38" t="n"/>
      <c r="S73" s="29" t="n"/>
      <c r="T73" s="67">
        <f>IF(base!R73&lt;&gt;"",VLOOKUP(R73,de_para!$A$1:$B$31,2,0)*base!S73,0)</f>
        <v/>
      </c>
      <c r="U73" s="68">
        <f>H73+K73+N73+Q73+T73</f>
        <v/>
      </c>
    </row>
    <row r="74">
      <c r="A74" s="29" t="n"/>
      <c r="B74" s="29" t="n"/>
      <c r="C74" s="29" t="n"/>
      <c r="D74" s="29" t="n"/>
      <c r="E74" s="29" t="n"/>
      <c r="F74" s="29" t="n"/>
      <c r="G74" s="29" t="n"/>
      <c r="H74" s="67">
        <f>IF(base!F74&lt;&gt;"",VLOOKUP(F74,de_para!$A$1:$B$31,2,0)*base!G74,0)</f>
        <v/>
      </c>
      <c r="I74" s="38" t="n"/>
      <c r="J74" s="29" t="n"/>
      <c r="K74" s="67">
        <f>IF(base!I74&lt;&gt;"",VLOOKUP(I74,de_para!$A$1:$B$31,2,0)*base!J74,0)</f>
        <v/>
      </c>
      <c r="L74" s="38" t="n"/>
      <c r="M74" s="29" t="n"/>
      <c r="N74" s="67">
        <f>IF(base!L74&lt;&gt;"",VLOOKUP(L74,de_para!$A$1:$B$31,2,0)*base!M74,0)</f>
        <v/>
      </c>
      <c r="O74" s="38" t="n"/>
      <c r="P74" s="29" t="n"/>
      <c r="Q74" s="67">
        <f>IF(base!O74&lt;&gt;"",VLOOKUP(O74,de_para!$A$1:$B$31,2,0)*base!P74,0)</f>
        <v/>
      </c>
      <c r="R74" s="38" t="n"/>
      <c r="S74" s="29" t="n"/>
      <c r="T74" s="67">
        <f>IF(base!R74&lt;&gt;"",VLOOKUP(R74,de_para!$A$1:$B$31,2,0)*base!S74,0)</f>
        <v/>
      </c>
      <c r="U74" s="68">
        <f>H74+K74+N74+Q74+T74</f>
        <v/>
      </c>
    </row>
    <row r="75">
      <c r="A75" s="29" t="n"/>
      <c r="B75" s="29" t="n"/>
      <c r="C75" s="29" t="n"/>
      <c r="D75" s="29" t="n"/>
      <c r="E75" s="29" t="n"/>
      <c r="F75" s="29" t="n"/>
      <c r="G75" s="29" t="n"/>
      <c r="H75" s="67">
        <f>IF(base!F75&lt;&gt;"",VLOOKUP(F75,de_para!$A$1:$B$31,2,0)*base!G75,0)</f>
        <v/>
      </c>
      <c r="I75" s="38" t="n"/>
      <c r="J75" s="29" t="n"/>
      <c r="K75" s="67">
        <f>IF(base!I75&lt;&gt;"",VLOOKUP(I75,de_para!$A$1:$B$31,2,0)*base!J75,0)</f>
        <v/>
      </c>
      <c r="L75" s="38" t="n"/>
      <c r="M75" s="29" t="n"/>
      <c r="N75" s="67">
        <f>IF(base!L75&lt;&gt;"",VLOOKUP(L75,de_para!$A$1:$B$31,2,0)*base!M75,0)</f>
        <v/>
      </c>
      <c r="O75" s="38" t="n"/>
      <c r="P75" s="29" t="n"/>
      <c r="Q75" s="67">
        <f>IF(base!O75&lt;&gt;"",VLOOKUP(O75,de_para!$A$1:$B$31,2,0)*base!P75,0)</f>
        <v/>
      </c>
      <c r="R75" s="38" t="n"/>
      <c r="S75" s="29" t="n"/>
      <c r="T75" s="67">
        <f>IF(base!R75&lt;&gt;"",VLOOKUP(R75,de_para!$A$1:$B$31,2,0)*base!S75,0)</f>
        <v/>
      </c>
      <c r="U75" s="68">
        <f>H75+K75+N75+Q75+T75</f>
        <v/>
      </c>
    </row>
    <row r="76">
      <c r="A76" s="29" t="n"/>
      <c r="B76" s="29" t="n"/>
      <c r="C76" s="29" t="n"/>
      <c r="D76" s="29" t="n"/>
      <c r="E76" s="29" t="n"/>
      <c r="F76" s="29" t="n"/>
      <c r="G76" s="29" t="n"/>
      <c r="H76" s="67">
        <f>IF(base!F76&lt;&gt;"",VLOOKUP(F76,de_para!$A$1:$B$31,2,0)*base!G76,0)</f>
        <v/>
      </c>
      <c r="I76" s="38" t="n"/>
      <c r="J76" s="29" t="n"/>
      <c r="K76" s="67">
        <f>IF(base!I76&lt;&gt;"",VLOOKUP(I76,de_para!$A$1:$B$31,2,0)*base!J76,0)</f>
        <v/>
      </c>
      <c r="L76" s="38" t="n"/>
      <c r="M76" s="29" t="n"/>
      <c r="N76" s="67">
        <f>IF(base!L76&lt;&gt;"",VLOOKUP(L76,de_para!$A$1:$B$31,2,0)*base!M76,0)</f>
        <v/>
      </c>
      <c r="O76" s="38" t="n"/>
      <c r="P76" s="29" t="n"/>
      <c r="Q76" s="67">
        <f>IF(base!O76&lt;&gt;"",VLOOKUP(O76,de_para!$A$1:$B$31,2,0)*base!P76,0)</f>
        <v/>
      </c>
      <c r="R76" s="38" t="n"/>
      <c r="S76" s="29" t="n"/>
      <c r="T76" s="67">
        <f>IF(base!R76&lt;&gt;"",VLOOKUP(R76,de_para!$A$1:$B$31,2,0)*base!S76,0)</f>
        <v/>
      </c>
      <c r="U76" s="68">
        <f>H76+K76+N76+Q76+T76</f>
        <v/>
      </c>
    </row>
    <row r="77">
      <c r="A77" s="29" t="n"/>
      <c r="B77" s="29" t="n"/>
      <c r="C77" s="29" t="n"/>
      <c r="D77" s="29" t="n"/>
      <c r="E77" s="29" t="n"/>
      <c r="F77" s="29" t="n"/>
      <c r="G77" s="29" t="n"/>
      <c r="H77" s="67">
        <f>IF(base!F77&lt;&gt;"",VLOOKUP(F77,de_para!$A$1:$B$31,2,0)*base!G77,0)</f>
        <v/>
      </c>
      <c r="I77" s="38" t="n"/>
      <c r="J77" s="29" t="n"/>
      <c r="K77" s="67">
        <f>IF(base!I77&lt;&gt;"",VLOOKUP(I77,de_para!$A$1:$B$31,2,0)*base!J77,0)</f>
        <v/>
      </c>
      <c r="L77" s="38" t="n"/>
      <c r="M77" s="29" t="n"/>
      <c r="N77" s="67">
        <f>IF(base!L77&lt;&gt;"",VLOOKUP(L77,de_para!$A$1:$B$31,2,0)*base!M77,0)</f>
        <v/>
      </c>
      <c r="O77" s="38" t="n"/>
      <c r="P77" s="29" t="n"/>
      <c r="Q77" s="67">
        <f>IF(base!O77&lt;&gt;"",VLOOKUP(O77,de_para!$A$1:$B$31,2,0)*base!P77,0)</f>
        <v/>
      </c>
      <c r="R77" s="38" t="n"/>
      <c r="S77" s="29" t="n"/>
      <c r="T77" s="67">
        <f>IF(base!R77&lt;&gt;"",VLOOKUP(R77,de_para!$A$1:$B$31,2,0)*base!S77,0)</f>
        <v/>
      </c>
      <c r="U77" s="68">
        <f>H77+K77+N77+Q77+T77</f>
        <v/>
      </c>
    </row>
    <row r="78">
      <c r="A78" s="29" t="n"/>
      <c r="B78" s="29" t="n"/>
      <c r="C78" s="29" t="n"/>
      <c r="D78" s="29" t="n"/>
      <c r="E78" s="29" t="n"/>
      <c r="F78" s="29" t="n"/>
      <c r="G78" s="29" t="n"/>
      <c r="H78" s="67">
        <f>IF(base!F78&lt;&gt;"",VLOOKUP(F78,de_para!$A$1:$B$31,2,0)*base!G78,0)</f>
        <v/>
      </c>
      <c r="I78" s="38" t="n"/>
      <c r="J78" s="29" t="n"/>
      <c r="K78" s="67">
        <f>IF(base!I78&lt;&gt;"",VLOOKUP(I78,de_para!$A$1:$B$31,2,0)*base!J78,0)</f>
        <v/>
      </c>
      <c r="L78" s="38" t="n"/>
      <c r="M78" s="29" t="n"/>
      <c r="N78" s="67">
        <f>IF(base!L78&lt;&gt;"",VLOOKUP(L78,de_para!$A$1:$B$31,2,0)*base!M78,0)</f>
        <v/>
      </c>
      <c r="O78" s="38" t="n"/>
      <c r="P78" s="29" t="n"/>
      <c r="Q78" s="67">
        <f>IF(base!O78&lt;&gt;"",VLOOKUP(O78,de_para!$A$1:$B$31,2,0)*base!P78,0)</f>
        <v/>
      </c>
      <c r="R78" s="38" t="n"/>
      <c r="S78" s="29" t="n"/>
      <c r="T78" s="67">
        <f>IF(base!R78&lt;&gt;"",VLOOKUP(R78,de_para!$A$1:$B$31,2,0)*base!S78,0)</f>
        <v/>
      </c>
      <c r="U78" s="68">
        <f>H78+K78+N78+Q78+T78</f>
        <v/>
      </c>
    </row>
    <row r="79">
      <c r="A79" s="29" t="n"/>
      <c r="B79" s="29" t="n"/>
      <c r="C79" s="29" t="n"/>
      <c r="D79" s="29" t="n"/>
      <c r="E79" s="29" t="n"/>
      <c r="F79" s="29" t="n"/>
      <c r="G79" s="29" t="n"/>
      <c r="H79" s="67">
        <f>IF(base!F79&lt;&gt;"",VLOOKUP(F79,de_para!$A$1:$B$31,2,0)*base!G79,0)</f>
        <v/>
      </c>
      <c r="I79" s="38" t="n"/>
      <c r="J79" s="29" t="n"/>
      <c r="K79" s="67">
        <f>IF(base!I79&lt;&gt;"",VLOOKUP(I79,de_para!$A$1:$B$31,2,0)*base!J79,0)</f>
        <v/>
      </c>
      <c r="L79" s="38" t="n"/>
      <c r="M79" s="29" t="n"/>
      <c r="N79" s="67">
        <f>IF(base!L79&lt;&gt;"",VLOOKUP(L79,de_para!$A$1:$B$31,2,0)*base!M79,0)</f>
        <v/>
      </c>
      <c r="O79" s="38" t="n"/>
      <c r="P79" s="29" t="n"/>
      <c r="Q79" s="67">
        <f>IF(base!O79&lt;&gt;"",VLOOKUP(O79,de_para!$A$1:$B$31,2,0)*base!P79,0)</f>
        <v/>
      </c>
      <c r="R79" s="38" t="n"/>
      <c r="S79" s="29" t="n"/>
      <c r="T79" s="67">
        <f>IF(base!R79&lt;&gt;"",VLOOKUP(R79,de_para!$A$1:$B$31,2,0)*base!S79,0)</f>
        <v/>
      </c>
      <c r="U79" s="68">
        <f>H79+K79+N79+Q79+T79</f>
        <v/>
      </c>
    </row>
    <row r="80">
      <c r="A80" s="29" t="n"/>
      <c r="B80" s="29" t="n"/>
      <c r="C80" s="29" t="n"/>
      <c r="D80" s="29" t="n"/>
      <c r="E80" s="29" t="n"/>
      <c r="F80" s="29" t="n"/>
      <c r="G80" s="29" t="n"/>
      <c r="H80" s="67">
        <f>IF(base!F80&lt;&gt;"",VLOOKUP(F80,de_para!$A$1:$B$31,2,0)*base!G80,0)</f>
        <v/>
      </c>
      <c r="I80" s="38" t="n"/>
      <c r="J80" s="29" t="n"/>
      <c r="K80" s="67">
        <f>IF(base!I80&lt;&gt;"",VLOOKUP(I80,de_para!$A$1:$B$31,2,0)*base!J80,0)</f>
        <v/>
      </c>
      <c r="L80" s="38" t="n"/>
      <c r="M80" s="29" t="n"/>
      <c r="N80" s="67">
        <f>IF(base!L80&lt;&gt;"",VLOOKUP(L80,de_para!$A$1:$B$31,2,0)*base!M80,0)</f>
        <v/>
      </c>
      <c r="O80" s="38" t="n"/>
      <c r="P80" s="29" t="n"/>
      <c r="Q80" s="67">
        <f>IF(base!O80&lt;&gt;"",VLOOKUP(O80,de_para!$A$1:$B$31,2,0)*base!P80,0)</f>
        <v/>
      </c>
      <c r="R80" s="38" t="n"/>
      <c r="S80" s="29" t="n"/>
      <c r="T80" s="67">
        <f>IF(base!R80&lt;&gt;"",VLOOKUP(R80,de_para!$A$1:$B$31,2,0)*base!S80,0)</f>
        <v/>
      </c>
      <c r="U80" s="68">
        <f>H80+K80+N80+Q80+T80</f>
        <v/>
      </c>
    </row>
    <row r="81">
      <c r="A81" s="29" t="n"/>
      <c r="B81" s="29" t="n"/>
      <c r="C81" s="29" t="n"/>
      <c r="D81" s="29" t="n"/>
      <c r="E81" s="29" t="n"/>
      <c r="F81" s="29" t="n"/>
      <c r="G81" s="29" t="n"/>
      <c r="H81" s="67">
        <f>IF(base!F81&lt;&gt;"",VLOOKUP(F81,de_para!$A$1:$B$31,2,0)*base!G81,0)</f>
        <v/>
      </c>
      <c r="I81" s="38" t="n"/>
      <c r="J81" s="29" t="n"/>
      <c r="K81" s="67">
        <f>IF(base!I81&lt;&gt;"",VLOOKUP(I81,de_para!$A$1:$B$31,2,0)*base!J81,0)</f>
        <v/>
      </c>
      <c r="L81" s="38" t="n"/>
      <c r="M81" s="29" t="n"/>
      <c r="N81" s="67">
        <f>IF(base!L81&lt;&gt;"",VLOOKUP(L81,de_para!$A$1:$B$31,2,0)*base!M81,0)</f>
        <v/>
      </c>
      <c r="O81" s="38" t="n"/>
      <c r="P81" s="29" t="n"/>
      <c r="Q81" s="67">
        <f>IF(base!O81&lt;&gt;"",VLOOKUP(O81,de_para!$A$1:$B$31,2,0)*base!P81,0)</f>
        <v/>
      </c>
      <c r="R81" s="38" t="n"/>
      <c r="S81" s="29" t="n"/>
      <c r="T81" s="67">
        <f>IF(base!R81&lt;&gt;"",VLOOKUP(R81,de_para!$A$1:$B$31,2,0)*base!S81,0)</f>
        <v/>
      </c>
      <c r="U81" s="68">
        <f>H81+K81+N81+Q81+T81</f>
        <v/>
      </c>
    </row>
    <row r="82">
      <c r="A82" s="29" t="n"/>
      <c r="B82" s="29" t="n"/>
      <c r="C82" s="29" t="n"/>
      <c r="D82" s="29" t="n"/>
      <c r="E82" s="29" t="n"/>
      <c r="F82" s="29" t="n"/>
      <c r="G82" s="29" t="n"/>
      <c r="H82" s="67">
        <f>IF(base!F82&lt;&gt;"",VLOOKUP(F82,de_para!$A$1:$B$31,2,0)*base!G82,0)</f>
        <v/>
      </c>
      <c r="I82" s="38" t="n"/>
      <c r="J82" s="29" t="n"/>
      <c r="K82" s="67">
        <f>IF(base!I82&lt;&gt;"",VLOOKUP(I82,de_para!$A$1:$B$31,2,0)*base!J82,0)</f>
        <v/>
      </c>
      <c r="L82" s="38" t="n"/>
      <c r="M82" s="29" t="n"/>
      <c r="N82" s="67">
        <f>IF(base!L82&lt;&gt;"",VLOOKUP(L82,de_para!$A$1:$B$31,2,0)*base!M82,0)</f>
        <v/>
      </c>
      <c r="O82" s="38" t="n"/>
      <c r="P82" s="29" t="n"/>
      <c r="Q82" s="67">
        <f>IF(base!O82&lt;&gt;"",VLOOKUP(O82,de_para!$A$1:$B$31,2,0)*base!P82,0)</f>
        <v/>
      </c>
      <c r="R82" s="38" t="n"/>
      <c r="S82" s="29" t="n"/>
      <c r="T82" s="67">
        <f>IF(base!R82&lt;&gt;"",VLOOKUP(R82,de_para!$A$1:$B$31,2,0)*base!S82,0)</f>
        <v/>
      </c>
      <c r="U82" s="68">
        <f>H82+K82+N82+Q82+T82</f>
        <v/>
      </c>
    </row>
    <row r="83">
      <c r="A83" s="29" t="n"/>
      <c r="B83" s="29" t="n"/>
      <c r="C83" s="29" t="n"/>
      <c r="D83" s="29" t="n"/>
      <c r="E83" s="29" t="n"/>
      <c r="F83" s="29" t="n"/>
      <c r="G83" s="29" t="n"/>
      <c r="H83" s="67">
        <f>IF(base!F83&lt;&gt;"",VLOOKUP(F83,de_para!$A$1:$B$31,2,0)*base!G83,0)</f>
        <v/>
      </c>
      <c r="I83" s="38" t="n"/>
      <c r="J83" s="29" t="n"/>
      <c r="K83" s="67">
        <f>IF(base!I83&lt;&gt;"",VLOOKUP(I83,de_para!$A$1:$B$31,2,0)*base!J83,0)</f>
        <v/>
      </c>
      <c r="L83" s="38" t="n"/>
      <c r="M83" s="29" t="n"/>
      <c r="N83" s="67">
        <f>IF(base!L83&lt;&gt;"",VLOOKUP(L83,de_para!$A$1:$B$31,2,0)*base!M83,0)</f>
        <v/>
      </c>
      <c r="O83" s="38" t="n"/>
      <c r="P83" s="29" t="n"/>
      <c r="Q83" s="67">
        <f>IF(base!O83&lt;&gt;"",VLOOKUP(O83,de_para!$A$1:$B$31,2,0)*base!P83,0)</f>
        <v/>
      </c>
      <c r="R83" s="38" t="n"/>
      <c r="S83" s="29" t="n"/>
      <c r="T83" s="67">
        <f>IF(base!R83&lt;&gt;"",VLOOKUP(R83,de_para!$A$1:$B$31,2,0)*base!S83,0)</f>
        <v/>
      </c>
      <c r="U83" s="68">
        <f>H83+K83+N83+Q83+T83</f>
        <v/>
      </c>
    </row>
    <row r="84">
      <c r="A84" s="29" t="n"/>
      <c r="B84" s="29" t="n"/>
      <c r="C84" s="29" t="n"/>
      <c r="D84" s="29" t="n"/>
      <c r="E84" s="29" t="n"/>
      <c r="F84" s="29" t="n"/>
      <c r="G84" s="29" t="n"/>
      <c r="H84" s="67">
        <f>IF(base!F84&lt;&gt;"",VLOOKUP(F84,de_para!$A$1:$B$31,2,0)*base!G84,0)</f>
        <v/>
      </c>
      <c r="I84" s="38" t="n"/>
      <c r="J84" s="29" t="n"/>
      <c r="K84" s="67">
        <f>IF(base!I84&lt;&gt;"",VLOOKUP(I84,de_para!$A$1:$B$31,2,0)*base!J84,0)</f>
        <v/>
      </c>
      <c r="L84" s="38" t="n"/>
      <c r="M84" s="29" t="n"/>
      <c r="N84" s="67">
        <f>IF(base!L84&lt;&gt;"",VLOOKUP(L84,de_para!$A$1:$B$31,2,0)*base!M84,0)</f>
        <v/>
      </c>
      <c r="O84" s="38" t="n"/>
      <c r="P84" s="29" t="n"/>
      <c r="Q84" s="67">
        <f>IF(base!O84&lt;&gt;"",VLOOKUP(O84,de_para!$A$1:$B$31,2,0)*base!P84,0)</f>
        <v/>
      </c>
      <c r="R84" s="38" t="n"/>
      <c r="S84" s="29" t="n"/>
      <c r="T84" s="67">
        <f>IF(base!R84&lt;&gt;"",VLOOKUP(R84,de_para!$A$1:$B$31,2,0)*base!S84,0)</f>
        <v/>
      </c>
      <c r="U84" s="68">
        <f>H84+K84+N84+Q84+T84</f>
        <v/>
      </c>
    </row>
    <row r="85">
      <c r="A85" s="29" t="n"/>
      <c r="B85" s="29" t="n"/>
      <c r="C85" s="29" t="n"/>
      <c r="D85" s="29" t="n"/>
      <c r="E85" s="29" t="n"/>
      <c r="F85" s="29" t="n"/>
      <c r="G85" s="29" t="n"/>
      <c r="H85" s="67">
        <f>IF(base!F85&lt;&gt;"",VLOOKUP(F85,de_para!$A$1:$B$31,2,0)*base!G85,0)</f>
        <v/>
      </c>
      <c r="I85" s="38" t="n"/>
      <c r="J85" s="29" t="n"/>
      <c r="K85" s="67">
        <f>IF(base!I85&lt;&gt;"",VLOOKUP(I85,de_para!$A$1:$B$31,2,0)*base!J85,0)</f>
        <v/>
      </c>
      <c r="L85" s="38" t="n"/>
      <c r="M85" s="29" t="n"/>
      <c r="N85" s="67">
        <f>IF(base!L85&lt;&gt;"",VLOOKUP(L85,de_para!$A$1:$B$31,2,0)*base!M85,0)</f>
        <v/>
      </c>
      <c r="O85" s="38" t="n"/>
      <c r="P85" s="29" t="n"/>
      <c r="Q85" s="67">
        <f>IF(base!O85&lt;&gt;"",VLOOKUP(O85,de_para!$A$1:$B$31,2,0)*base!P85,0)</f>
        <v/>
      </c>
      <c r="R85" s="38" t="n"/>
      <c r="S85" s="29" t="n"/>
      <c r="T85" s="67">
        <f>IF(base!R85&lt;&gt;"",VLOOKUP(R85,de_para!$A$1:$B$31,2,0)*base!S85,0)</f>
        <v/>
      </c>
      <c r="U85" s="68">
        <f>H85+K85+N85+Q85+T85</f>
        <v/>
      </c>
    </row>
    <row r="86">
      <c r="A86" s="29" t="n"/>
      <c r="B86" s="29" t="n"/>
      <c r="C86" s="29" t="n"/>
      <c r="D86" s="29" t="n"/>
      <c r="E86" s="29" t="n"/>
      <c r="F86" s="29" t="n"/>
      <c r="G86" s="29" t="n"/>
      <c r="H86" s="67">
        <f>IF(base!F86&lt;&gt;"",VLOOKUP(F86,de_para!$A$1:$B$31,2,0)*base!G86,0)</f>
        <v/>
      </c>
      <c r="I86" s="38" t="n"/>
      <c r="J86" s="29" t="n"/>
      <c r="K86" s="67">
        <f>IF(base!I86&lt;&gt;"",VLOOKUP(I86,de_para!$A$1:$B$31,2,0)*base!J86,0)</f>
        <v/>
      </c>
      <c r="L86" s="38" t="n"/>
      <c r="M86" s="29" t="n"/>
      <c r="N86" s="67">
        <f>IF(base!L86&lt;&gt;"",VLOOKUP(L86,de_para!$A$1:$B$31,2,0)*base!M86,0)</f>
        <v/>
      </c>
      <c r="O86" s="38" t="n"/>
      <c r="P86" s="29" t="n"/>
      <c r="Q86" s="67">
        <f>IF(base!O86&lt;&gt;"",VLOOKUP(O86,de_para!$A$1:$B$31,2,0)*base!P86,0)</f>
        <v/>
      </c>
      <c r="R86" s="38" t="n"/>
      <c r="S86" s="29" t="n"/>
      <c r="T86" s="67">
        <f>IF(base!R86&lt;&gt;"",VLOOKUP(R86,de_para!$A$1:$B$31,2,0)*base!S86,0)</f>
        <v/>
      </c>
      <c r="U86" s="68">
        <f>H86+K86+N86+Q86+T86</f>
        <v/>
      </c>
    </row>
    <row r="87">
      <c r="A87" s="29" t="n"/>
      <c r="B87" s="29" t="n"/>
      <c r="C87" s="29" t="n"/>
      <c r="D87" s="29" t="n"/>
      <c r="E87" s="29" t="n"/>
      <c r="F87" s="29" t="n"/>
      <c r="G87" s="29" t="n"/>
      <c r="H87" s="67">
        <f>IF(base!F87&lt;&gt;"",VLOOKUP(F87,de_para!$A$1:$B$31,2,0)*base!G87,0)</f>
        <v/>
      </c>
      <c r="I87" s="38" t="n"/>
      <c r="J87" s="29" t="n"/>
      <c r="K87" s="67">
        <f>IF(base!I87&lt;&gt;"",VLOOKUP(I87,de_para!$A$1:$B$31,2,0)*base!J87,0)</f>
        <v/>
      </c>
      <c r="L87" s="38" t="n"/>
      <c r="M87" s="29" t="n"/>
      <c r="N87" s="67">
        <f>IF(base!L87&lt;&gt;"",VLOOKUP(L87,de_para!$A$1:$B$31,2,0)*base!M87,0)</f>
        <v/>
      </c>
      <c r="O87" s="38" t="n"/>
      <c r="P87" s="29" t="n"/>
      <c r="Q87" s="67">
        <f>IF(base!O87&lt;&gt;"",VLOOKUP(O87,de_para!$A$1:$B$31,2,0)*base!P87,0)</f>
        <v/>
      </c>
      <c r="R87" s="38" t="n"/>
      <c r="S87" s="29" t="n"/>
      <c r="T87" s="67">
        <f>IF(base!R87&lt;&gt;"",VLOOKUP(R87,de_para!$A$1:$B$31,2,0)*base!S87,0)</f>
        <v/>
      </c>
      <c r="U87" s="68">
        <f>H87+K87+N87+Q87+T87</f>
        <v/>
      </c>
    </row>
    <row r="88">
      <c r="A88" s="29" t="n"/>
      <c r="B88" s="29" t="n"/>
      <c r="C88" s="29" t="n"/>
      <c r="D88" s="29" t="n"/>
      <c r="E88" s="29" t="n"/>
      <c r="F88" s="29" t="n"/>
      <c r="G88" s="29" t="n"/>
      <c r="H88" s="67">
        <f>IF(base!F88&lt;&gt;"",VLOOKUP(F88,de_para!$A$1:$B$31,2,0)*base!G88,0)</f>
        <v/>
      </c>
      <c r="I88" s="38" t="n"/>
      <c r="J88" s="29" t="n"/>
      <c r="K88" s="67">
        <f>IF(base!I88&lt;&gt;"",VLOOKUP(I88,de_para!$A$1:$B$31,2,0)*base!J88,0)</f>
        <v/>
      </c>
      <c r="L88" s="38" t="n"/>
      <c r="M88" s="29" t="n"/>
      <c r="N88" s="67">
        <f>IF(base!L88&lt;&gt;"",VLOOKUP(L88,de_para!$A$1:$B$31,2,0)*base!M88,0)</f>
        <v/>
      </c>
      <c r="O88" s="38" t="n"/>
      <c r="P88" s="29" t="n"/>
      <c r="Q88" s="67">
        <f>IF(base!O88&lt;&gt;"",VLOOKUP(O88,de_para!$A$1:$B$31,2,0)*base!P88,0)</f>
        <v/>
      </c>
      <c r="R88" s="38" t="n"/>
      <c r="S88" s="29" t="n"/>
      <c r="T88" s="67">
        <f>IF(base!R88&lt;&gt;"",VLOOKUP(R88,de_para!$A$1:$B$31,2,0)*base!S88,0)</f>
        <v/>
      </c>
      <c r="U88" s="68">
        <f>H88+K88+N88+Q88+T88</f>
        <v/>
      </c>
    </row>
    <row r="89">
      <c r="A89" s="29" t="n"/>
      <c r="B89" s="29" t="n"/>
      <c r="C89" s="29" t="n"/>
      <c r="D89" s="29" t="n"/>
      <c r="E89" s="29" t="n"/>
      <c r="F89" s="29" t="n"/>
      <c r="G89" s="29" t="n"/>
      <c r="H89" s="67">
        <f>IF(base!F89&lt;&gt;"",VLOOKUP(F89,de_para!$A$1:$B$31,2,0)*base!G89,0)</f>
        <v/>
      </c>
      <c r="I89" s="38" t="n"/>
      <c r="J89" s="29" t="n"/>
      <c r="K89" s="67">
        <f>IF(base!I89&lt;&gt;"",VLOOKUP(I89,de_para!$A$1:$B$31,2,0)*base!J89,0)</f>
        <v/>
      </c>
      <c r="L89" s="38" t="n"/>
      <c r="M89" s="29" t="n"/>
      <c r="N89" s="67">
        <f>IF(base!L89&lt;&gt;"",VLOOKUP(L89,de_para!$A$1:$B$31,2,0)*base!M89,0)</f>
        <v/>
      </c>
      <c r="O89" s="38" t="n"/>
      <c r="P89" s="29" t="n"/>
      <c r="Q89" s="67">
        <f>IF(base!O89&lt;&gt;"",VLOOKUP(O89,de_para!$A$1:$B$31,2,0)*base!P89,0)</f>
        <v/>
      </c>
      <c r="R89" s="38" t="n"/>
      <c r="S89" s="29" t="n"/>
      <c r="T89" s="67">
        <f>IF(base!R89&lt;&gt;"",VLOOKUP(R89,de_para!$A$1:$B$31,2,0)*base!S89,0)</f>
        <v/>
      </c>
      <c r="U89" s="68">
        <f>H89+K89+N89+Q89+T89</f>
        <v/>
      </c>
    </row>
    <row r="90">
      <c r="A90" s="29" t="n"/>
      <c r="B90" s="29" t="n"/>
      <c r="C90" s="29" t="n"/>
      <c r="D90" s="29" t="n"/>
      <c r="E90" s="29" t="n"/>
      <c r="F90" s="29" t="n"/>
      <c r="G90" s="29" t="n"/>
      <c r="H90" s="67">
        <f>IF(base!F90&lt;&gt;"",VLOOKUP(F90,de_para!$A$1:$B$31,2,0)*base!G90,0)</f>
        <v/>
      </c>
      <c r="I90" s="38" t="n"/>
      <c r="J90" s="29" t="n"/>
      <c r="K90" s="67">
        <f>IF(base!I90&lt;&gt;"",VLOOKUP(I90,de_para!$A$1:$B$31,2,0)*base!J90,0)</f>
        <v/>
      </c>
      <c r="L90" s="38" t="n"/>
      <c r="M90" s="29" t="n"/>
      <c r="N90" s="67">
        <f>IF(base!L90&lt;&gt;"",VLOOKUP(L90,de_para!$A$1:$B$31,2,0)*base!M90,0)</f>
        <v/>
      </c>
      <c r="O90" s="38" t="n"/>
      <c r="P90" s="29" t="n"/>
      <c r="Q90" s="67">
        <f>IF(base!O90&lt;&gt;"",VLOOKUP(O90,de_para!$A$1:$B$31,2,0)*base!P90,0)</f>
        <v/>
      </c>
      <c r="R90" s="38" t="n"/>
      <c r="S90" s="29" t="n"/>
      <c r="T90" s="67">
        <f>IF(base!R90&lt;&gt;"",VLOOKUP(R90,de_para!$A$1:$B$31,2,0)*base!S90,0)</f>
        <v/>
      </c>
      <c r="U90" s="68">
        <f>H90+K90+N90+Q90+T90</f>
        <v/>
      </c>
    </row>
    <row r="91">
      <c r="A91" s="29" t="n"/>
      <c r="B91" s="29" t="n"/>
      <c r="C91" s="29" t="n"/>
      <c r="D91" s="29" t="n"/>
      <c r="E91" s="29" t="n"/>
      <c r="F91" s="29" t="n"/>
      <c r="G91" s="29" t="n"/>
      <c r="H91" s="67">
        <f>IF(base!F91&lt;&gt;"",VLOOKUP(F91,de_para!$A$1:$B$31,2,0)*base!G91,0)</f>
        <v/>
      </c>
      <c r="I91" s="38" t="n"/>
      <c r="J91" s="29" t="n"/>
      <c r="K91" s="67">
        <f>IF(base!I91&lt;&gt;"",VLOOKUP(I91,de_para!$A$1:$B$31,2,0)*base!J91,0)</f>
        <v/>
      </c>
      <c r="L91" s="38" t="n"/>
      <c r="M91" s="29" t="n"/>
      <c r="N91" s="67">
        <f>IF(base!L91&lt;&gt;"",VLOOKUP(L91,de_para!$A$1:$B$31,2,0)*base!M91,0)</f>
        <v/>
      </c>
      <c r="O91" s="38" t="n"/>
      <c r="P91" s="29" t="n"/>
      <c r="Q91" s="67">
        <f>IF(base!O91&lt;&gt;"",VLOOKUP(O91,de_para!$A$1:$B$31,2,0)*base!P91,0)</f>
        <v/>
      </c>
      <c r="R91" s="38" t="n"/>
      <c r="S91" s="29" t="n"/>
      <c r="T91" s="67">
        <f>IF(base!R91&lt;&gt;"",VLOOKUP(R91,de_para!$A$1:$B$31,2,0)*base!S91,0)</f>
        <v/>
      </c>
      <c r="U91" s="68">
        <f>H91+K91+N91+Q91+T91</f>
        <v/>
      </c>
    </row>
    <row r="92">
      <c r="A92" s="29" t="n"/>
      <c r="B92" s="29" t="n"/>
      <c r="C92" s="29" t="n"/>
      <c r="D92" s="29" t="n"/>
      <c r="E92" s="29" t="n"/>
      <c r="F92" s="29" t="n"/>
      <c r="G92" s="29" t="n"/>
      <c r="H92" s="67">
        <f>IF(base!F92&lt;&gt;"",VLOOKUP(F92,de_para!$A$1:$B$31,2,0)*base!G92,0)</f>
        <v/>
      </c>
      <c r="I92" s="38" t="n"/>
      <c r="J92" s="29" t="n"/>
      <c r="K92" s="67">
        <f>IF(base!I92&lt;&gt;"",VLOOKUP(I92,de_para!$A$1:$B$31,2,0)*base!J92,0)</f>
        <v/>
      </c>
      <c r="L92" s="38" t="n"/>
      <c r="M92" s="29" t="n"/>
      <c r="N92" s="67">
        <f>IF(base!L92&lt;&gt;"",VLOOKUP(L92,de_para!$A$1:$B$31,2,0)*base!M92,0)</f>
        <v/>
      </c>
      <c r="O92" s="38" t="n"/>
      <c r="P92" s="29" t="n"/>
      <c r="Q92" s="67">
        <f>IF(base!O92&lt;&gt;"",VLOOKUP(O92,de_para!$A$1:$B$31,2,0)*base!P92,0)</f>
        <v/>
      </c>
      <c r="R92" s="38" t="n"/>
      <c r="S92" s="29" t="n"/>
      <c r="T92" s="67">
        <f>IF(base!R92&lt;&gt;"",VLOOKUP(R92,de_para!$A$1:$B$31,2,0)*base!S92,0)</f>
        <v/>
      </c>
      <c r="U92" s="68">
        <f>H92+K92+N92+Q92+T92</f>
        <v/>
      </c>
    </row>
    <row r="93">
      <c r="A93" s="29" t="n"/>
      <c r="B93" s="29" t="n"/>
      <c r="C93" s="29" t="n"/>
      <c r="D93" s="29" t="n"/>
      <c r="E93" s="29" t="n"/>
      <c r="F93" s="29" t="n"/>
      <c r="G93" s="29" t="n"/>
      <c r="H93" s="67">
        <f>IF(base!F93&lt;&gt;"",VLOOKUP(F93,de_para!$A$1:$B$31,2,0)*base!G93,0)</f>
        <v/>
      </c>
      <c r="I93" s="38" t="n"/>
      <c r="J93" s="29" t="n"/>
      <c r="K93" s="67">
        <f>IF(base!I93&lt;&gt;"",VLOOKUP(I93,de_para!$A$1:$B$31,2,0)*base!J93,0)</f>
        <v/>
      </c>
      <c r="L93" s="38" t="n"/>
      <c r="M93" s="29" t="n"/>
      <c r="N93" s="67">
        <f>IF(base!L93&lt;&gt;"",VLOOKUP(L93,de_para!$A$1:$B$31,2,0)*base!M93,0)</f>
        <v/>
      </c>
      <c r="O93" s="38" t="n"/>
      <c r="P93" s="29" t="n"/>
      <c r="Q93" s="67">
        <f>IF(base!O93&lt;&gt;"",VLOOKUP(O93,de_para!$A$1:$B$31,2,0)*base!P93,0)</f>
        <v/>
      </c>
      <c r="R93" s="38" t="n"/>
      <c r="S93" s="29" t="n"/>
      <c r="T93" s="67">
        <f>IF(base!R93&lt;&gt;"",VLOOKUP(R93,de_para!$A$1:$B$31,2,0)*base!S93,0)</f>
        <v/>
      </c>
      <c r="U93" s="68">
        <f>H93+K93+N93+Q93+T93</f>
        <v/>
      </c>
    </row>
    <row r="94">
      <c r="A94" s="29" t="n"/>
      <c r="B94" s="29" t="n"/>
      <c r="C94" s="29" t="n"/>
      <c r="D94" s="29" t="n"/>
      <c r="E94" s="29" t="n"/>
      <c r="F94" s="29" t="n"/>
      <c r="G94" s="29" t="n"/>
      <c r="H94" s="67">
        <f>IF(base!F94&lt;&gt;"",VLOOKUP(F94,de_para!$A$1:$B$31,2,0)*base!G94,0)</f>
        <v/>
      </c>
      <c r="I94" s="38" t="n"/>
      <c r="J94" s="29" t="n"/>
      <c r="K94" s="67">
        <f>IF(base!I94&lt;&gt;"",VLOOKUP(I94,de_para!$A$1:$B$31,2,0)*base!J94,0)</f>
        <v/>
      </c>
      <c r="L94" s="38" t="n"/>
      <c r="M94" s="29" t="n"/>
      <c r="N94" s="67">
        <f>IF(base!L94&lt;&gt;"",VLOOKUP(L94,de_para!$A$1:$B$31,2,0)*base!M94,0)</f>
        <v/>
      </c>
      <c r="O94" s="38" t="n"/>
      <c r="P94" s="29" t="n"/>
      <c r="Q94" s="67">
        <f>IF(base!O94&lt;&gt;"",VLOOKUP(O94,de_para!$A$1:$B$31,2,0)*base!P94,0)</f>
        <v/>
      </c>
      <c r="R94" s="38" t="n"/>
      <c r="S94" s="29" t="n"/>
      <c r="T94" s="67">
        <f>IF(base!R94&lt;&gt;"",VLOOKUP(R94,de_para!$A$1:$B$31,2,0)*base!S94,0)</f>
        <v/>
      </c>
      <c r="U94" s="68">
        <f>H94+K94+N94+Q94+T94</f>
        <v/>
      </c>
    </row>
    <row r="95">
      <c r="A95" s="29" t="n"/>
      <c r="B95" s="29" t="n"/>
      <c r="C95" s="29" t="n"/>
      <c r="D95" s="29" t="n"/>
      <c r="E95" s="29" t="n"/>
      <c r="F95" s="29" t="n"/>
      <c r="G95" s="29" t="n"/>
      <c r="H95" s="67">
        <f>IF(base!F95&lt;&gt;"",VLOOKUP(F95,de_para!$A$1:$B$31,2,0)*base!G95,0)</f>
        <v/>
      </c>
      <c r="I95" s="38" t="n"/>
      <c r="J95" s="29" t="n"/>
      <c r="K95" s="67">
        <f>IF(base!I95&lt;&gt;"",VLOOKUP(I95,de_para!$A$1:$B$31,2,0)*base!J95,0)</f>
        <v/>
      </c>
      <c r="L95" s="38" t="n"/>
      <c r="M95" s="29" t="n"/>
      <c r="N95" s="67">
        <f>IF(base!L95&lt;&gt;"",VLOOKUP(L95,de_para!$A$1:$B$31,2,0)*base!M95,0)</f>
        <v/>
      </c>
      <c r="O95" s="38" t="n"/>
      <c r="P95" s="29" t="n"/>
      <c r="Q95" s="67">
        <f>IF(base!O95&lt;&gt;"",VLOOKUP(O95,de_para!$A$1:$B$31,2,0)*base!P95,0)</f>
        <v/>
      </c>
      <c r="R95" s="38" t="n"/>
      <c r="S95" s="29" t="n"/>
      <c r="T95" s="67">
        <f>IF(base!R95&lt;&gt;"",VLOOKUP(R95,de_para!$A$1:$B$31,2,0)*base!S95,0)</f>
        <v/>
      </c>
      <c r="U95" s="68">
        <f>H95+K95+N95+Q95+T95</f>
        <v/>
      </c>
    </row>
    <row r="96">
      <c r="A96" s="29" t="n"/>
      <c r="B96" s="29" t="n"/>
      <c r="C96" s="29" t="n"/>
      <c r="D96" s="29" t="n"/>
      <c r="E96" s="29" t="n"/>
      <c r="F96" s="29" t="n"/>
      <c r="G96" s="29" t="n"/>
      <c r="H96" s="67">
        <f>IF(base!F96&lt;&gt;"",VLOOKUP(F96,de_para!$A$1:$B$31,2,0)*base!G96,0)</f>
        <v/>
      </c>
      <c r="I96" s="38" t="n"/>
      <c r="J96" s="29" t="n"/>
      <c r="K96" s="67">
        <f>IF(base!I96&lt;&gt;"",VLOOKUP(I96,de_para!$A$1:$B$31,2,0)*base!J96,0)</f>
        <v/>
      </c>
      <c r="L96" s="38" t="n"/>
      <c r="M96" s="29" t="n"/>
      <c r="N96" s="67">
        <f>IF(base!L96&lt;&gt;"",VLOOKUP(L96,de_para!$A$1:$B$31,2,0)*base!M96,0)</f>
        <v/>
      </c>
      <c r="O96" s="38" t="n"/>
      <c r="P96" s="29" t="n"/>
      <c r="Q96" s="67">
        <f>IF(base!O96&lt;&gt;"",VLOOKUP(O96,de_para!$A$1:$B$31,2,0)*base!P96,0)</f>
        <v/>
      </c>
      <c r="R96" s="38" t="n"/>
      <c r="S96" s="29" t="n"/>
      <c r="T96" s="67">
        <f>IF(base!R96&lt;&gt;"",VLOOKUP(R96,de_para!$A$1:$B$31,2,0)*base!S96,0)</f>
        <v/>
      </c>
      <c r="U96" s="68">
        <f>H96+K96+N96+Q96+T96</f>
        <v/>
      </c>
    </row>
    <row r="97">
      <c r="A97" s="29" t="n"/>
      <c r="B97" s="29" t="n"/>
      <c r="C97" s="29" t="n"/>
      <c r="D97" s="29" t="n"/>
      <c r="E97" s="29" t="n"/>
      <c r="F97" s="29" t="n"/>
      <c r="G97" s="29" t="n"/>
      <c r="H97" s="67">
        <f>IF(base!F97&lt;&gt;"",VLOOKUP(F97,de_para!$A$1:$B$31,2,0)*base!G97,0)</f>
        <v/>
      </c>
      <c r="I97" s="38" t="n"/>
      <c r="J97" s="29" t="n"/>
      <c r="K97" s="67">
        <f>IF(base!I97&lt;&gt;"",VLOOKUP(I97,de_para!$A$1:$B$31,2,0)*base!J97,0)</f>
        <v/>
      </c>
      <c r="L97" s="38" t="n"/>
      <c r="M97" s="29" t="n"/>
      <c r="N97" s="67">
        <f>IF(base!L97&lt;&gt;"",VLOOKUP(L97,de_para!$A$1:$B$31,2,0)*base!M97,0)</f>
        <v/>
      </c>
      <c r="O97" s="38" t="n"/>
      <c r="P97" s="29" t="n"/>
      <c r="Q97" s="67">
        <f>IF(base!O97&lt;&gt;"",VLOOKUP(O97,de_para!$A$1:$B$31,2,0)*base!P97,0)</f>
        <v/>
      </c>
      <c r="R97" s="38" t="n"/>
      <c r="S97" s="29" t="n"/>
      <c r="T97" s="67">
        <f>IF(base!R97&lt;&gt;"",VLOOKUP(R97,de_para!$A$1:$B$31,2,0)*base!S97,0)</f>
        <v/>
      </c>
      <c r="U97" s="68">
        <f>H97+K97+N97+Q97+T97</f>
        <v/>
      </c>
    </row>
    <row r="98">
      <c r="A98" s="29" t="n"/>
      <c r="B98" s="29" t="n"/>
      <c r="C98" s="29" t="n"/>
      <c r="D98" s="29" t="n"/>
      <c r="E98" s="29" t="n"/>
      <c r="F98" s="29" t="n"/>
      <c r="G98" s="29" t="n"/>
      <c r="H98" s="67">
        <f>IF(base!F98&lt;&gt;"",VLOOKUP(F98,de_para!$A$1:$B$31,2,0)*base!G98,0)</f>
        <v/>
      </c>
      <c r="I98" s="38" t="n"/>
      <c r="J98" s="29" t="n"/>
      <c r="K98" s="67">
        <f>IF(base!I98&lt;&gt;"",VLOOKUP(I98,de_para!$A$1:$B$31,2,0)*base!J98,0)</f>
        <v/>
      </c>
      <c r="L98" s="38" t="n"/>
      <c r="M98" s="29" t="n"/>
      <c r="N98" s="67">
        <f>IF(base!L98&lt;&gt;"",VLOOKUP(L98,de_para!$A$1:$B$31,2,0)*base!M98,0)</f>
        <v/>
      </c>
      <c r="O98" s="38" t="n"/>
      <c r="P98" s="29" t="n"/>
      <c r="Q98" s="67">
        <f>IF(base!O98&lt;&gt;"",VLOOKUP(O98,de_para!$A$1:$B$31,2,0)*base!P98,0)</f>
        <v/>
      </c>
      <c r="R98" s="38" t="n"/>
      <c r="S98" s="29" t="n"/>
      <c r="T98" s="67">
        <f>IF(base!R98&lt;&gt;"",VLOOKUP(R98,de_para!$A$1:$B$31,2,0)*base!S98,0)</f>
        <v/>
      </c>
      <c r="U98" s="68">
        <f>H98+K98+N98+Q98+T98</f>
        <v/>
      </c>
    </row>
    <row r="99">
      <c r="A99" s="29" t="n"/>
      <c r="B99" s="29" t="n"/>
      <c r="C99" s="29" t="n"/>
      <c r="D99" s="29" t="n"/>
      <c r="E99" s="29" t="n"/>
      <c r="F99" s="29" t="n"/>
      <c r="G99" s="29" t="n"/>
      <c r="H99" s="67">
        <f>IF(base!F99&lt;&gt;"",VLOOKUP(F99,de_para!$A$1:$B$31,2,0)*base!G99,0)</f>
        <v/>
      </c>
      <c r="I99" s="38" t="n"/>
      <c r="J99" s="29" t="n"/>
      <c r="K99" s="67">
        <f>IF(base!I99&lt;&gt;"",VLOOKUP(I99,de_para!$A$1:$B$31,2,0)*base!J99,0)</f>
        <v/>
      </c>
      <c r="L99" s="38" t="n"/>
      <c r="M99" s="29" t="n"/>
      <c r="N99" s="67">
        <f>IF(base!L99&lt;&gt;"",VLOOKUP(L99,de_para!$A$1:$B$31,2,0)*base!M99,0)</f>
        <v/>
      </c>
      <c r="O99" s="38" t="n"/>
      <c r="P99" s="29" t="n"/>
      <c r="Q99" s="67">
        <f>IF(base!O99&lt;&gt;"",VLOOKUP(O99,de_para!$A$1:$B$31,2,0)*base!P99,0)</f>
        <v/>
      </c>
      <c r="R99" s="38" t="n"/>
      <c r="S99" s="29" t="n"/>
      <c r="T99" s="67">
        <f>IF(base!R99&lt;&gt;"",VLOOKUP(R99,de_para!$A$1:$B$31,2,0)*base!S99,0)</f>
        <v/>
      </c>
      <c r="U99" s="68">
        <f>H99+K99+N99+Q99+T99</f>
        <v/>
      </c>
    </row>
    <row r="100">
      <c r="A100" s="29" t="n"/>
      <c r="B100" s="29" t="n"/>
      <c r="C100" s="29" t="n"/>
      <c r="D100" s="29" t="n"/>
      <c r="E100" s="29" t="n"/>
      <c r="F100" s="29" t="n"/>
      <c r="G100" s="29" t="n"/>
      <c r="H100" s="67">
        <f>IF(base!F100&lt;&gt;"",VLOOKUP(F100,de_para!$A$1:$B$31,2,0)*base!G100,0)</f>
        <v/>
      </c>
      <c r="I100" s="38" t="n"/>
      <c r="J100" s="29" t="n"/>
      <c r="K100" s="67">
        <f>IF(base!I100&lt;&gt;"",VLOOKUP(I100,de_para!$A$1:$B$31,2,0)*base!J100,0)</f>
        <v/>
      </c>
      <c r="L100" s="38" t="n"/>
      <c r="M100" s="29" t="n"/>
      <c r="N100" s="67">
        <f>IF(base!L100&lt;&gt;"",VLOOKUP(L100,de_para!$A$1:$B$31,2,0)*base!M100,0)</f>
        <v/>
      </c>
      <c r="O100" s="38" t="n"/>
      <c r="P100" s="29" t="n"/>
      <c r="Q100" s="67">
        <f>IF(base!O100&lt;&gt;"",VLOOKUP(O100,de_para!$A$1:$B$31,2,0)*base!P100,0)</f>
        <v/>
      </c>
      <c r="R100" s="38" t="n"/>
      <c r="S100" s="29" t="n"/>
      <c r="T100" s="67">
        <f>IF(base!R100&lt;&gt;"",VLOOKUP(R100,de_para!$A$1:$B$31,2,0)*base!S100,0)</f>
        <v/>
      </c>
      <c r="U100" s="68">
        <f>H100+K100+N100+Q100+T100</f>
        <v/>
      </c>
    </row>
    <row r="101">
      <c r="A101" s="29" t="n"/>
      <c r="B101" s="29" t="n"/>
      <c r="C101" s="29" t="n"/>
      <c r="D101" s="29" t="n"/>
      <c r="E101" s="29" t="n"/>
      <c r="F101" s="29" t="n"/>
      <c r="G101" s="29" t="n"/>
      <c r="H101" s="67">
        <f>IF(base!F101&lt;&gt;"",VLOOKUP(F101,de_para!$A$1:$B$31,2,0)*base!G101,0)</f>
        <v/>
      </c>
      <c r="I101" s="38" t="n"/>
      <c r="J101" s="29" t="n"/>
      <c r="K101" s="67">
        <f>IF(base!I101&lt;&gt;"",VLOOKUP(I101,de_para!$A$1:$B$31,2,0)*base!J101,0)</f>
        <v/>
      </c>
      <c r="L101" s="38" t="n"/>
      <c r="M101" s="29" t="n"/>
      <c r="N101" s="67">
        <f>IF(base!L101&lt;&gt;"",VLOOKUP(L101,de_para!$A$1:$B$31,2,0)*base!M101,0)</f>
        <v/>
      </c>
      <c r="O101" s="38" t="n"/>
      <c r="P101" s="29" t="n"/>
      <c r="Q101" s="67">
        <f>IF(base!O101&lt;&gt;"",VLOOKUP(O101,de_para!$A$1:$B$31,2,0)*base!P101,0)</f>
        <v/>
      </c>
      <c r="R101" s="38" t="n"/>
      <c r="S101" s="29" t="n"/>
      <c r="T101" s="67">
        <f>IF(base!R101&lt;&gt;"",VLOOKUP(R101,de_para!$A$1:$B$31,2,0)*base!S101,0)</f>
        <v/>
      </c>
      <c r="U101" s="68">
        <f>H101+K101+N101+Q101+T101</f>
        <v/>
      </c>
    </row>
    <row r="102">
      <c r="A102" s="29" t="n"/>
      <c r="B102" s="29" t="n"/>
      <c r="C102" s="29" t="n"/>
      <c r="D102" s="29" t="n"/>
      <c r="E102" s="29" t="n"/>
      <c r="F102" s="29" t="n"/>
      <c r="G102" s="29" t="n"/>
      <c r="H102" s="67">
        <f>IF(base!F102&lt;&gt;"",VLOOKUP(F102,de_para!$A$1:$B$31,2,0)*base!G102,0)</f>
        <v/>
      </c>
      <c r="I102" s="38" t="n"/>
      <c r="J102" s="29" t="n"/>
      <c r="K102" s="67">
        <f>IF(base!I102&lt;&gt;"",VLOOKUP(I102,de_para!$A$1:$B$31,2,0)*base!J102,0)</f>
        <v/>
      </c>
      <c r="L102" s="38" t="n"/>
      <c r="M102" s="29" t="n"/>
      <c r="N102" s="67">
        <f>IF(base!L102&lt;&gt;"",VLOOKUP(L102,de_para!$A$1:$B$31,2,0)*base!M102,0)</f>
        <v/>
      </c>
      <c r="O102" s="38" t="n"/>
      <c r="P102" s="29" t="n"/>
      <c r="Q102" s="67">
        <f>IF(base!O102&lt;&gt;"",VLOOKUP(O102,de_para!$A$1:$B$31,2,0)*base!P102,0)</f>
        <v/>
      </c>
      <c r="R102" s="38" t="n"/>
      <c r="S102" s="29" t="n"/>
      <c r="T102" s="67">
        <f>IF(base!R102&lt;&gt;"",VLOOKUP(R102,de_para!$A$1:$B$31,2,0)*base!S102,0)</f>
        <v/>
      </c>
      <c r="U102" s="68">
        <f>H102+K102+N102+Q102+T102</f>
        <v/>
      </c>
    </row>
    <row r="103">
      <c r="A103" s="29" t="n"/>
      <c r="B103" s="29" t="n"/>
      <c r="C103" s="29" t="n"/>
      <c r="D103" s="29" t="n"/>
      <c r="E103" s="29" t="n"/>
      <c r="F103" s="29" t="n"/>
      <c r="G103" s="29" t="n"/>
      <c r="H103" s="67">
        <f>IF(base!F103&lt;&gt;"",VLOOKUP(F103,de_para!$A$1:$B$31,2,0)*base!G103,0)</f>
        <v/>
      </c>
      <c r="I103" s="38" t="n"/>
      <c r="J103" s="29" t="n"/>
      <c r="K103" s="67">
        <f>IF(base!I103&lt;&gt;"",VLOOKUP(I103,de_para!$A$1:$B$31,2,0)*base!J103,0)</f>
        <v/>
      </c>
      <c r="L103" s="38" t="n"/>
      <c r="M103" s="29" t="n"/>
      <c r="N103" s="67">
        <f>IF(base!L103&lt;&gt;"",VLOOKUP(L103,de_para!$A$1:$B$31,2,0)*base!M103,0)</f>
        <v/>
      </c>
      <c r="O103" s="38" t="n"/>
      <c r="P103" s="29" t="n"/>
      <c r="Q103" s="67">
        <f>IF(base!O103&lt;&gt;"",VLOOKUP(O103,de_para!$A$1:$B$31,2,0)*base!P103,0)</f>
        <v/>
      </c>
      <c r="R103" s="38" t="n"/>
      <c r="S103" s="29" t="n"/>
      <c r="T103" s="67">
        <f>IF(base!R103&lt;&gt;"",VLOOKUP(R103,de_para!$A$1:$B$31,2,0)*base!S103,0)</f>
        <v/>
      </c>
      <c r="U103" s="68">
        <f>H103+K103+N103+Q103+T103</f>
        <v/>
      </c>
    </row>
    <row r="104">
      <c r="A104" s="29" t="n"/>
      <c r="B104" s="29" t="n"/>
      <c r="C104" s="29" t="n"/>
      <c r="D104" s="29" t="n"/>
      <c r="E104" s="29" t="n"/>
      <c r="F104" s="29" t="n"/>
      <c r="G104" s="29" t="n"/>
      <c r="H104" s="67">
        <f>IF(base!F104&lt;&gt;"",VLOOKUP(F104,de_para!$A$1:$B$31,2,0)*base!G104,0)</f>
        <v/>
      </c>
      <c r="I104" s="38" t="n"/>
      <c r="J104" s="29" t="n"/>
      <c r="K104" s="67">
        <f>IF(base!I104&lt;&gt;"",VLOOKUP(I104,de_para!$A$1:$B$31,2,0)*base!J104,0)</f>
        <v/>
      </c>
      <c r="L104" s="38" t="n"/>
      <c r="M104" s="29" t="n"/>
      <c r="N104" s="67">
        <f>IF(base!L104&lt;&gt;"",VLOOKUP(L104,de_para!$A$1:$B$31,2,0)*base!M104,0)</f>
        <v/>
      </c>
      <c r="O104" s="38" t="n"/>
      <c r="P104" s="29" t="n"/>
      <c r="Q104" s="67">
        <f>IF(base!O104&lt;&gt;"",VLOOKUP(O104,de_para!$A$1:$B$31,2,0)*base!P104,0)</f>
        <v/>
      </c>
      <c r="R104" s="38" t="n"/>
      <c r="S104" s="29" t="n"/>
      <c r="T104" s="67">
        <f>IF(base!R104&lt;&gt;"",VLOOKUP(R104,de_para!$A$1:$B$31,2,0)*base!S104,0)</f>
        <v/>
      </c>
      <c r="U104" s="68">
        <f>H104+K104+N104+Q104+T104</f>
        <v/>
      </c>
    </row>
    <row r="105">
      <c r="A105" s="29" t="n"/>
      <c r="B105" s="29" t="n"/>
      <c r="C105" s="29" t="n"/>
      <c r="D105" s="29" t="n"/>
      <c r="E105" s="29" t="n"/>
      <c r="F105" s="29" t="n"/>
      <c r="G105" s="29" t="n"/>
      <c r="H105" s="67">
        <f>IF(base!F105&lt;&gt;"",VLOOKUP(F105,de_para!$A$1:$B$31,2,0)*base!G105,0)</f>
        <v/>
      </c>
      <c r="I105" s="38" t="n"/>
      <c r="J105" s="29" t="n"/>
      <c r="K105" s="67">
        <f>IF(base!I105&lt;&gt;"",VLOOKUP(I105,de_para!$A$1:$B$31,2,0)*base!J105,0)</f>
        <v/>
      </c>
      <c r="L105" s="38" t="n"/>
      <c r="M105" s="29" t="n"/>
      <c r="N105" s="67">
        <f>IF(base!L105&lt;&gt;"",VLOOKUP(L105,de_para!$A$1:$B$31,2,0)*base!M105,0)</f>
        <v/>
      </c>
      <c r="O105" s="38" t="n"/>
      <c r="P105" s="29" t="n"/>
      <c r="Q105" s="67">
        <f>IF(base!O105&lt;&gt;"",VLOOKUP(O105,de_para!$A$1:$B$31,2,0)*base!P105,0)</f>
        <v/>
      </c>
      <c r="R105" s="38" t="n"/>
      <c r="S105" s="29" t="n"/>
      <c r="T105" s="67">
        <f>IF(base!R105&lt;&gt;"",VLOOKUP(R105,de_para!$A$1:$B$31,2,0)*base!S105,0)</f>
        <v/>
      </c>
      <c r="U105" s="68">
        <f>H105+K105+N105+Q105+T105</f>
        <v/>
      </c>
    </row>
    <row r="106">
      <c r="A106" s="29" t="n"/>
      <c r="B106" s="29" t="n"/>
      <c r="C106" s="29" t="n"/>
      <c r="D106" s="29" t="n"/>
      <c r="E106" s="29" t="n"/>
      <c r="F106" s="29" t="n"/>
      <c r="G106" s="29" t="n"/>
      <c r="H106" s="67">
        <f>IF(base!F106&lt;&gt;"",VLOOKUP(F106,de_para!$A$1:$B$31,2,0)*base!G106,0)</f>
        <v/>
      </c>
      <c r="I106" s="38" t="n"/>
      <c r="J106" s="29" t="n"/>
      <c r="K106" s="67">
        <f>IF(base!I106&lt;&gt;"",VLOOKUP(I106,de_para!$A$1:$B$31,2,0)*base!J106,0)</f>
        <v/>
      </c>
      <c r="L106" s="38" t="n"/>
      <c r="M106" s="29" t="n"/>
      <c r="N106" s="67">
        <f>IF(base!L106&lt;&gt;"",VLOOKUP(L106,de_para!$A$1:$B$31,2,0)*base!M106,0)</f>
        <v/>
      </c>
      <c r="O106" s="38" t="n"/>
      <c r="P106" s="29" t="n"/>
      <c r="Q106" s="67">
        <f>IF(base!O106&lt;&gt;"",VLOOKUP(O106,de_para!$A$1:$B$31,2,0)*base!P106,0)</f>
        <v/>
      </c>
      <c r="R106" s="38" t="n"/>
      <c r="S106" s="29" t="n"/>
      <c r="T106" s="67">
        <f>IF(base!R106&lt;&gt;"",VLOOKUP(R106,de_para!$A$1:$B$31,2,0)*base!S106,0)</f>
        <v/>
      </c>
      <c r="U106" s="68">
        <f>H106+K106+N106+Q106+T106</f>
        <v/>
      </c>
    </row>
    <row r="107">
      <c r="A107" s="29" t="n"/>
      <c r="B107" s="29" t="n"/>
      <c r="C107" s="29" t="n"/>
      <c r="D107" s="29" t="n"/>
      <c r="E107" s="29" t="n"/>
      <c r="F107" s="29" t="n"/>
      <c r="G107" s="29" t="n"/>
      <c r="H107" s="67">
        <f>IF(base!F107&lt;&gt;"",VLOOKUP(F107,de_para!$A$1:$B$31,2,0)*base!G107,0)</f>
        <v/>
      </c>
      <c r="I107" s="38" t="n"/>
      <c r="J107" s="29" t="n"/>
      <c r="K107" s="67">
        <f>IF(base!I107&lt;&gt;"",VLOOKUP(I107,de_para!$A$1:$B$31,2,0)*base!J107,0)</f>
        <v/>
      </c>
      <c r="L107" s="38" t="n"/>
      <c r="M107" s="29" t="n"/>
      <c r="N107" s="67">
        <f>IF(base!L107&lt;&gt;"",VLOOKUP(L107,de_para!$A$1:$B$31,2,0)*base!M107,0)</f>
        <v/>
      </c>
      <c r="O107" s="38" t="n"/>
      <c r="P107" s="29" t="n"/>
      <c r="Q107" s="67">
        <f>IF(base!O107&lt;&gt;"",VLOOKUP(O107,de_para!$A$1:$B$31,2,0)*base!P107,0)</f>
        <v/>
      </c>
      <c r="R107" s="38" t="n"/>
      <c r="S107" s="29" t="n"/>
      <c r="T107" s="67">
        <f>IF(base!R107&lt;&gt;"",VLOOKUP(R107,de_para!$A$1:$B$31,2,0)*base!S107,0)</f>
        <v/>
      </c>
      <c r="U107" s="68">
        <f>H107+K107+N107+Q107+T107</f>
        <v/>
      </c>
    </row>
    <row r="108">
      <c r="A108" s="29" t="n"/>
      <c r="B108" s="29" t="n"/>
      <c r="C108" s="29" t="n"/>
      <c r="D108" s="29" t="n"/>
      <c r="E108" s="29" t="n"/>
      <c r="F108" s="29" t="n"/>
      <c r="G108" s="29" t="n"/>
      <c r="H108" s="67">
        <f>IF(base!F108&lt;&gt;"",VLOOKUP(F108,de_para!$A$1:$B$31,2,0)*base!G108,0)</f>
        <v/>
      </c>
      <c r="I108" s="38" t="n"/>
      <c r="J108" s="29" t="n"/>
      <c r="K108" s="67">
        <f>IF(base!I108&lt;&gt;"",VLOOKUP(I108,de_para!$A$1:$B$31,2,0)*base!J108,0)</f>
        <v/>
      </c>
      <c r="L108" s="38" t="n"/>
      <c r="M108" s="29" t="n"/>
      <c r="N108" s="67">
        <f>IF(base!L108&lt;&gt;"",VLOOKUP(L108,de_para!$A$1:$B$31,2,0)*base!M108,0)</f>
        <v/>
      </c>
      <c r="O108" s="38" t="n"/>
      <c r="P108" s="29" t="n"/>
      <c r="Q108" s="67">
        <f>IF(base!O108&lt;&gt;"",VLOOKUP(O108,de_para!$A$1:$B$31,2,0)*base!P108,0)</f>
        <v/>
      </c>
      <c r="R108" s="38" t="n"/>
      <c r="S108" s="29" t="n"/>
      <c r="T108" s="67">
        <f>IF(base!R108&lt;&gt;"",VLOOKUP(R108,de_para!$A$1:$B$31,2,0)*base!S108,0)</f>
        <v/>
      </c>
      <c r="U108" s="68">
        <f>H108+K108+N108+Q108+T108</f>
        <v/>
      </c>
    </row>
    <row r="109">
      <c r="A109" s="29" t="n"/>
      <c r="B109" s="29" t="n"/>
      <c r="C109" s="29" t="n"/>
      <c r="D109" s="29" t="n"/>
      <c r="E109" s="29" t="n"/>
      <c r="F109" s="29" t="n"/>
      <c r="G109" s="29" t="n"/>
      <c r="H109" s="67">
        <f>IF(base!F109&lt;&gt;"",VLOOKUP(F109,de_para!$A$1:$B$31,2,0)*base!G109,0)</f>
        <v/>
      </c>
      <c r="I109" s="38" t="n"/>
      <c r="J109" s="29" t="n"/>
      <c r="K109" s="67">
        <f>IF(base!I109&lt;&gt;"",VLOOKUP(I109,de_para!$A$1:$B$31,2,0)*base!J109,0)</f>
        <v/>
      </c>
      <c r="L109" s="38" t="n"/>
      <c r="M109" s="29" t="n"/>
      <c r="N109" s="67">
        <f>IF(base!L109&lt;&gt;"",VLOOKUP(L109,de_para!$A$1:$B$31,2,0)*base!M109,0)</f>
        <v/>
      </c>
      <c r="O109" s="38" t="n"/>
      <c r="P109" s="29" t="n"/>
      <c r="Q109" s="67">
        <f>IF(base!O109&lt;&gt;"",VLOOKUP(O109,de_para!$A$1:$B$31,2,0)*base!P109,0)</f>
        <v/>
      </c>
      <c r="R109" s="38" t="n"/>
      <c r="S109" s="29" t="n"/>
      <c r="T109" s="67">
        <f>IF(base!R109&lt;&gt;"",VLOOKUP(R109,de_para!$A$1:$B$31,2,0)*base!S109,0)</f>
        <v/>
      </c>
      <c r="U109" s="68">
        <f>H109+K109+N109+Q109+T109</f>
        <v/>
      </c>
    </row>
    <row r="110">
      <c r="A110" s="29" t="n"/>
      <c r="B110" s="29" t="n"/>
      <c r="C110" s="29" t="n"/>
      <c r="D110" s="29" t="n"/>
      <c r="E110" s="29" t="n"/>
      <c r="F110" s="29" t="n"/>
      <c r="G110" s="29" t="n"/>
      <c r="H110" s="67">
        <f>IF(base!F110&lt;&gt;"",VLOOKUP(F110,de_para!$A$1:$B$31,2,0)*base!G110,0)</f>
        <v/>
      </c>
      <c r="I110" s="38" t="n"/>
      <c r="J110" s="29" t="n"/>
      <c r="K110" s="67">
        <f>IF(base!I110&lt;&gt;"",VLOOKUP(I110,de_para!$A$1:$B$31,2,0)*base!J110,0)</f>
        <v/>
      </c>
      <c r="L110" s="38" t="n"/>
      <c r="M110" s="29" t="n"/>
      <c r="N110" s="67">
        <f>IF(base!L110&lt;&gt;"",VLOOKUP(L110,de_para!$A$1:$B$31,2,0)*base!M110,0)</f>
        <v/>
      </c>
      <c r="O110" s="38" t="n"/>
      <c r="P110" s="29" t="n"/>
      <c r="Q110" s="67">
        <f>IF(base!O110&lt;&gt;"",VLOOKUP(O110,de_para!$A$1:$B$31,2,0)*base!P110,0)</f>
        <v/>
      </c>
      <c r="R110" s="38" t="n"/>
      <c r="S110" s="29" t="n"/>
      <c r="T110" s="67">
        <f>IF(base!R110&lt;&gt;"",VLOOKUP(R110,de_para!$A$1:$B$31,2,0)*base!S110,0)</f>
        <v/>
      </c>
      <c r="U110" s="68">
        <f>H110+K110+N110+Q110+T110</f>
        <v/>
      </c>
    </row>
    <row r="111">
      <c r="A111" s="29" t="n"/>
      <c r="B111" s="29" t="n"/>
      <c r="C111" s="29" t="n"/>
      <c r="D111" s="29" t="n"/>
      <c r="E111" s="29" t="n"/>
      <c r="F111" s="29" t="n"/>
      <c r="G111" s="29" t="n"/>
      <c r="H111" s="67">
        <f>IF(base!F111&lt;&gt;"",VLOOKUP(F111,de_para!$A$1:$B$31,2,0)*base!G111,0)</f>
        <v/>
      </c>
      <c r="I111" s="38" t="n"/>
      <c r="J111" s="29" t="n"/>
      <c r="K111" s="67">
        <f>IF(base!I111&lt;&gt;"",VLOOKUP(I111,de_para!$A$1:$B$31,2,0)*base!J111,0)</f>
        <v/>
      </c>
      <c r="L111" s="38" t="n"/>
      <c r="M111" s="29" t="n"/>
      <c r="N111" s="67">
        <f>IF(base!L111&lt;&gt;"",VLOOKUP(L111,de_para!$A$1:$B$31,2,0)*base!M111,0)</f>
        <v/>
      </c>
      <c r="O111" s="38" t="n"/>
      <c r="P111" s="29" t="n"/>
      <c r="Q111" s="67">
        <f>IF(base!O111&lt;&gt;"",VLOOKUP(O111,de_para!$A$1:$B$31,2,0)*base!P111,0)</f>
        <v/>
      </c>
      <c r="R111" s="38" t="n"/>
      <c r="S111" s="29" t="n"/>
      <c r="T111" s="67">
        <f>IF(base!R111&lt;&gt;"",VLOOKUP(R111,de_para!$A$1:$B$31,2,0)*base!S111,0)</f>
        <v/>
      </c>
      <c r="U111" s="68">
        <f>H111+K111+N111+Q111+T111</f>
        <v/>
      </c>
    </row>
    <row r="112">
      <c r="A112" s="29" t="n"/>
      <c r="B112" s="29" t="n"/>
      <c r="C112" s="29" t="n"/>
      <c r="D112" s="29" t="n"/>
      <c r="E112" s="29" t="n"/>
      <c r="F112" s="29" t="n"/>
      <c r="G112" s="29" t="n"/>
      <c r="H112" s="67">
        <f>IF(base!F112&lt;&gt;"",VLOOKUP(F112,de_para!$A$1:$B$31,2,0)*base!G112,0)</f>
        <v/>
      </c>
      <c r="I112" s="38" t="n"/>
      <c r="J112" s="29" t="n"/>
      <c r="K112" s="67">
        <f>IF(base!I112&lt;&gt;"",VLOOKUP(I112,de_para!$A$1:$B$31,2,0)*base!J112,0)</f>
        <v/>
      </c>
      <c r="L112" s="38" t="n"/>
      <c r="M112" s="29" t="n"/>
      <c r="N112" s="67">
        <f>IF(base!L112&lt;&gt;"",VLOOKUP(L112,de_para!$A$1:$B$31,2,0)*base!M112,0)</f>
        <v/>
      </c>
      <c r="O112" s="38" t="n"/>
      <c r="P112" s="29" t="n"/>
      <c r="Q112" s="67">
        <f>IF(base!O112&lt;&gt;"",VLOOKUP(O112,de_para!$A$1:$B$31,2,0)*base!P112,0)</f>
        <v/>
      </c>
      <c r="R112" s="38" t="n"/>
      <c r="S112" s="29" t="n"/>
      <c r="T112" s="67">
        <f>IF(base!R112&lt;&gt;"",VLOOKUP(R112,de_para!$A$1:$B$31,2,0)*base!S112,0)</f>
        <v/>
      </c>
      <c r="U112" s="68">
        <f>H112+K112+N112+Q112+T112</f>
        <v/>
      </c>
    </row>
    <row r="113">
      <c r="A113" s="29" t="n"/>
      <c r="B113" s="29" t="n"/>
      <c r="C113" s="29" t="n"/>
      <c r="D113" s="29" t="n"/>
      <c r="E113" s="29" t="n"/>
      <c r="F113" s="29" t="n"/>
      <c r="G113" s="29" t="n"/>
      <c r="H113" s="67">
        <f>IF(base!F113&lt;&gt;"",VLOOKUP(F113,de_para!$A$1:$B$31,2,0)*base!G113,0)</f>
        <v/>
      </c>
      <c r="I113" s="38" t="n"/>
      <c r="J113" s="29" t="n"/>
      <c r="K113" s="67">
        <f>IF(base!I113&lt;&gt;"",VLOOKUP(I113,de_para!$A$1:$B$31,2,0)*base!J113,0)</f>
        <v/>
      </c>
      <c r="L113" s="38" t="n"/>
      <c r="M113" s="29" t="n"/>
      <c r="N113" s="67">
        <f>IF(base!L113&lt;&gt;"",VLOOKUP(L113,de_para!$A$1:$B$31,2,0)*base!M113,0)</f>
        <v/>
      </c>
      <c r="O113" s="38" t="n"/>
      <c r="P113" s="29" t="n"/>
      <c r="Q113" s="67">
        <f>IF(base!O113&lt;&gt;"",VLOOKUP(O113,de_para!$A$1:$B$31,2,0)*base!P113,0)</f>
        <v/>
      </c>
      <c r="R113" s="38" t="n"/>
      <c r="S113" s="29" t="n"/>
      <c r="T113" s="67">
        <f>IF(base!R113&lt;&gt;"",VLOOKUP(R113,de_para!$A$1:$B$31,2,0)*base!S113,0)</f>
        <v/>
      </c>
      <c r="U113" s="68">
        <f>H113+K113+N113+Q113+T113</f>
        <v/>
      </c>
    </row>
    <row r="114">
      <c r="A114" s="29" t="n"/>
      <c r="B114" s="29" t="n"/>
      <c r="C114" s="29" t="n"/>
      <c r="D114" s="29" t="n"/>
      <c r="E114" s="29" t="n"/>
      <c r="F114" s="29" t="n"/>
      <c r="G114" s="29" t="n"/>
      <c r="H114" s="67">
        <f>IF(base!F114&lt;&gt;"",VLOOKUP(F114,de_para!$A$1:$B$31,2,0)*base!G114,0)</f>
        <v/>
      </c>
      <c r="I114" s="38" t="n"/>
      <c r="J114" s="29" t="n"/>
      <c r="K114" s="67">
        <f>IF(base!I114&lt;&gt;"",VLOOKUP(I114,de_para!$A$1:$B$31,2,0)*base!J114,0)</f>
        <v/>
      </c>
      <c r="L114" s="38" t="n"/>
      <c r="M114" s="29" t="n"/>
      <c r="N114" s="67">
        <f>IF(base!L114&lt;&gt;"",VLOOKUP(L114,de_para!$A$1:$B$31,2,0)*base!M114,0)</f>
        <v/>
      </c>
      <c r="O114" s="38" t="n"/>
      <c r="P114" s="29" t="n"/>
      <c r="Q114" s="67">
        <f>IF(base!O114&lt;&gt;"",VLOOKUP(O114,de_para!$A$1:$B$31,2,0)*base!P114,0)</f>
        <v/>
      </c>
      <c r="R114" s="38" t="n"/>
      <c r="S114" s="29" t="n"/>
      <c r="T114" s="67">
        <f>IF(base!R114&lt;&gt;"",VLOOKUP(R114,de_para!$A$1:$B$31,2,0)*base!S114,0)</f>
        <v/>
      </c>
      <c r="U114" s="68">
        <f>H114+K114+N114+Q114+T114</f>
        <v/>
      </c>
    </row>
    <row r="115">
      <c r="A115" s="29" t="n"/>
      <c r="B115" s="29" t="n"/>
      <c r="C115" s="29" t="n"/>
      <c r="D115" s="29" t="n"/>
      <c r="E115" s="29" t="n"/>
      <c r="F115" s="29" t="n"/>
      <c r="G115" s="29" t="n"/>
      <c r="H115" s="67">
        <f>IF(base!F115&lt;&gt;"",VLOOKUP(F115,de_para!$A$1:$B$31,2,0)*base!G115,0)</f>
        <v/>
      </c>
      <c r="I115" s="38" t="n"/>
      <c r="J115" s="29" t="n"/>
      <c r="K115" s="67">
        <f>IF(base!I115&lt;&gt;"",VLOOKUP(I115,de_para!$A$1:$B$31,2,0)*base!J115,0)</f>
        <v/>
      </c>
      <c r="L115" s="38" t="n"/>
      <c r="M115" s="29" t="n"/>
      <c r="N115" s="67">
        <f>IF(base!L115&lt;&gt;"",VLOOKUP(L115,de_para!$A$1:$B$31,2,0)*base!M115,0)</f>
        <v/>
      </c>
      <c r="O115" s="38" t="n"/>
      <c r="P115" s="29" t="n"/>
      <c r="Q115" s="67">
        <f>IF(base!O115&lt;&gt;"",VLOOKUP(O115,de_para!$A$1:$B$31,2,0)*base!P115,0)</f>
        <v/>
      </c>
      <c r="R115" s="38" t="n"/>
      <c r="S115" s="29" t="n"/>
      <c r="T115" s="67">
        <f>IF(base!R115&lt;&gt;"",VLOOKUP(R115,de_para!$A$1:$B$31,2,0)*base!S115,0)</f>
        <v/>
      </c>
      <c r="U115" s="68">
        <f>H115+K115+N115+Q115+T115</f>
        <v/>
      </c>
    </row>
    <row r="116">
      <c r="A116" s="29" t="n"/>
      <c r="B116" s="29" t="n"/>
      <c r="C116" s="29" t="n"/>
      <c r="D116" s="29" t="n"/>
      <c r="E116" s="29" t="n"/>
      <c r="F116" s="29" t="n"/>
      <c r="G116" s="29" t="n"/>
      <c r="H116" s="67">
        <f>IF(base!F116&lt;&gt;"",VLOOKUP(F116,de_para!$A$1:$B$31,2,0)*base!G116,0)</f>
        <v/>
      </c>
      <c r="I116" s="38" t="n"/>
      <c r="J116" s="29" t="n"/>
      <c r="K116" s="67">
        <f>IF(base!I116&lt;&gt;"",VLOOKUP(I116,de_para!$A$1:$B$31,2,0)*base!J116,0)</f>
        <v/>
      </c>
      <c r="L116" s="38" t="n"/>
      <c r="M116" s="29" t="n"/>
      <c r="N116" s="67">
        <f>IF(base!L116&lt;&gt;"",VLOOKUP(L116,de_para!$A$1:$B$31,2,0)*base!M116,0)</f>
        <v/>
      </c>
      <c r="O116" s="38" t="n"/>
      <c r="P116" s="29" t="n"/>
      <c r="Q116" s="67">
        <f>IF(base!O116&lt;&gt;"",VLOOKUP(O116,de_para!$A$1:$B$31,2,0)*base!P116,0)</f>
        <v/>
      </c>
      <c r="R116" s="38" t="n"/>
      <c r="S116" s="29" t="n"/>
      <c r="T116" s="67">
        <f>IF(base!R116&lt;&gt;"",VLOOKUP(R116,de_para!$A$1:$B$31,2,0)*base!S116,0)</f>
        <v/>
      </c>
      <c r="U116" s="68">
        <f>H116+K116+N116+Q116+T116</f>
        <v/>
      </c>
    </row>
    <row r="117">
      <c r="A117" s="29" t="n"/>
      <c r="B117" s="29" t="n"/>
      <c r="C117" s="29" t="n"/>
      <c r="D117" s="29" t="n"/>
      <c r="E117" s="29" t="n"/>
      <c r="F117" s="29" t="n"/>
      <c r="G117" s="29" t="n"/>
      <c r="H117" s="67">
        <f>IF(base!F117&lt;&gt;"",VLOOKUP(F117,de_para!$A$1:$B$31,2,0)*base!G117,0)</f>
        <v/>
      </c>
      <c r="I117" s="38" t="n"/>
      <c r="J117" s="29" t="n"/>
      <c r="K117" s="67">
        <f>IF(base!I117&lt;&gt;"",VLOOKUP(I117,de_para!$A$1:$B$31,2,0)*base!J117,0)</f>
        <v/>
      </c>
      <c r="L117" s="38" t="n"/>
      <c r="M117" s="29" t="n"/>
      <c r="N117" s="67">
        <f>IF(base!L117&lt;&gt;"",VLOOKUP(L117,de_para!$A$1:$B$31,2,0)*base!M117,0)</f>
        <v/>
      </c>
      <c r="O117" s="38" t="n"/>
      <c r="P117" s="29" t="n"/>
      <c r="Q117" s="67">
        <f>IF(base!O117&lt;&gt;"",VLOOKUP(O117,de_para!$A$1:$B$31,2,0)*base!P117,0)</f>
        <v/>
      </c>
      <c r="R117" s="38" t="n"/>
      <c r="S117" s="29" t="n"/>
      <c r="T117" s="67">
        <f>IF(base!R117&lt;&gt;"",VLOOKUP(R117,de_para!$A$1:$B$31,2,0)*base!S117,0)</f>
        <v/>
      </c>
      <c r="U117" s="68">
        <f>H117+K117+N117+Q117+T117</f>
        <v/>
      </c>
    </row>
    <row r="118">
      <c r="A118" s="29" t="n"/>
      <c r="B118" s="29" t="n"/>
      <c r="C118" s="29" t="n"/>
      <c r="D118" s="29" t="n"/>
      <c r="E118" s="29" t="n"/>
      <c r="F118" s="29" t="n"/>
      <c r="G118" s="29" t="n"/>
      <c r="H118" s="67">
        <f>IF(base!F118&lt;&gt;"",VLOOKUP(F118,de_para!$A$1:$B$31,2,0)*base!G118,0)</f>
        <v/>
      </c>
      <c r="I118" s="38" t="n"/>
      <c r="J118" s="29" t="n"/>
      <c r="K118" s="67">
        <f>IF(base!I118&lt;&gt;"",VLOOKUP(I118,de_para!$A$1:$B$31,2,0)*base!J118,0)</f>
        <v/>
      </c>
      <c r="L118" s="38" t="n"/>
      <c r="M118" s="29" t="n"/>
      <c r="N118" s="67">
        <f>IF(base!L118&lt;&gt;"",VLOOKUP(L118,de_para!$A$1:$B$31,2,0)*base!M118,0)</f>
        <v/>
      </c>
      <c r="O118" s="38" t="n"/>
      <c r="P118" s="29" t="n"/>
      <c r="Q118" s="67">
        <f>IF(base!O118&lt;&gt;"",VLOOKUP(O118,de_para!$A$1:$B$31,2,0)*base!P118,0)</f>
        <v/>
      </c>
      <c r="R118" s="38" t="n"/>
      <c r="S118" s="29" t="n"/>
      <c r="T118" s="67">
        <f>IF(base!R118&lt;&gt;"",VLOOKUP(R118,de_para!$A$1:$B$31,2,0)*base!S118,0)</f>
        <v/>
      </c>
      <c r="U118" s="68">
        <f>H118+K118+N118+Q118+T118</f>
        <v/>
      </c>
    </row>
    <row r="119">
      <c r="A119" s="29" t="n"/>
      <c r="B119" s="29" t="n"/>
      <c r="C119" s="29" t="n"/>
      <c r="D119" s="29" t="n"/>
      <c r="E119" s="29" t="n"/>
      <c r="F119" s="29" t="n"/>
      <c r="G119" s="29" t="n"/>
      <c r="H119" s="67">
        <f>IF(base!F119&lt;&gt;"",VLOOKUP(F119,de_para!$A$1:$B$31,2,0)*base!G119,0)</f>
        <v/>
      </c>
      <c r="I119" s="38" t="n"/>
      <c r="J119" s="29" t="n"/>
      <c r="K119" s="67">
        <f>IF(base!I119&lt;&gt;"",VLOOKUP(I119,de_para!$A$1:$B$31,2,0)*base!J119,0)</f>
        <v/>
      </c>
      <c r="L119" s="38" t="n"/>
      <c r="M119" s="29" t="n"/>
      <c r="N119" s="67">
        <f>IF(base!L119&lt;&gt;"",VLOOKUP(L119,de_para!$A$1:$B$31,2,0)*base!M119,0)</f>
        <v/>
      </c>
      <c r="O119" s="38" t="n"/>
      <c r="P119" s="29" t="n"/>
      <c r="Q119" s="67">
        <f>IF(base!O119&lt;&gt;"",VLOOKUP(O119,de_para!$A$1:$B$31,2,0)*base!P119,0)</f>
        <v/>
      </c>
      <c r="R119" s="38" t="n"/>
      <c r="S119" s="29" t="n"/>
      <c r="T119" s="67">
        <f>IF(base!R119&lt;&gt;"",VLOOKUP(R119,de_para!$A$1:$B$31,2,0)*base!S119,0)</f>
        <v/>
      </c>
      <c r="U119" s="68">
        <f>H119+K119+N119+Q119+T119</f>
        <v/>
      </c>
    </row>
    <row r="120">
      <c r="A120" s="29" t="n"/>
      <c r="B120" s="29" t="n"/>
      <c r="C120" s="29" t="n"/>
      <c r="D120" s="29" t="n"/>
      <c r="E120" s="29" t="n"/>
      <c r="F120" s="29" t="n"/>
      <c r="G120" s="29" t="n"/>
      <c r="H120" s="67">
        <f>IF(base!F120&lt;&gt;"",VLOOKUP(F120,de_para!$A$1:$B$31,2,0)*base!G120,0)</f>
        <v/>
      </c>
      <c r="I120" s="38" t="n"/>
      <c r="J120" s="29" t="n"/>
      <c r="K120" s="67">
        <f>IF(base!I120&lt;&gt;"",VLOOKUP(I120,de_para!$A$1:$B$31,2,0)*base!J120,0)</f>
        <v/>
      </c>
      <c r="L120" s="38" t="n"/>
      <c r="M120" s="29" t="n"/>
      <c r="N120" s="67">
        <f>IF(base!L120&lt;&gt;"",VLOOKUP(L120,de_para!$A$1:$B$31,2,0)*base!M120,0)</f>
        <v/>
      </c>
      <c r="O120" s="38" t="n"/>
      <c r="P120" s="29" t="n"/>
      <c r="Q120" s="67">
        <f>IF(base!O120&lt;&gt;"",VLOOKUP(O120,de_para!$A$1:$B$31,2,0)*base!P120,0)</f>
        <v/>
      </c>
      <c r="R120" s="38" t="n"/>
      <c r="S120" s="29" t="n"/>
      <c r="T120" s="67">
        <f>IF(base!R120&lt;&gt;"",VLOOKUP(R120,de_para!$A$1:$B$31,2,0)*base!S120,0)</f>
        <v/>
      </c>
      <c r="U120" s="68">
        <f>H120+K120+N120+Q120+T120</f>
        <v/>
      </c>
    </row>
    <row r="121">
      <c r="A121" s="29" t="n"/>
      <c r="B121" s="29" t="n"/>
      <c r="C121" s="29" t="n"/>
      <c r="D121" s="29" t="n"/>
      <c r="E121" s="29" t="n"/>
      <c r="F121" s="29" t="n"/>
      <c r="G121" s="29" t="n"/>
      <c r="H121" s="67">
        <f>IF(base!F121&lt;&gt;"",VLOOKUP(F121,de_para!$A$1:$B$31,2,0)*base!G121,0)</f>
        <v/>
      </c>
      <c r="I121" s="38" t="n"/>
      <c r="J121" s="29" t="n"/>
      <c r="K121" s="67">
        <f>IF(base!I121&lt;&gt;"",VLOOKUP(I121,de_para!$A$1:$B$31,2,0)*base!J121,0)</f>
        <v/>
      </c>
      <c r="L121" s="38" t="n"/>
      <c r="M121" s="29" t="n"/>
      <c r="N121" s="67">
        <f>IF(base!L121&lt;&gt;"",VLOOKUP(L121,de_para!$A$1:$B$31,2,0)*base!M121,0)</f>
        <v/>
      </c>
      <c r="O121" s="38" t="n"/>
      <c r="P121" s="29" t="n"/>
      <c r="Q121" s="67">
        <f>IF(base!O121&lt;&gt;"",VLOOKUP(O121,de_para!$A$1:$B$31,2,0)*base!P121,0)</f>
        <v/>
      </c>
      <c r="R121" s="38" t="n"/>
      <c r="S121" s="29" t="n"/>
      <c r="T121" s="67">
        <f>IF(base!R121&lt;&gt;"",VLOOKUP(R121,de_para!$A$1:$B$31,2,0)*base!S121,0)</f>
        <v/>
      </c>
      <c r="U121" s="68">
        <f>H121+K121+N121+Q121+T121</f>
        <v/>
      </c>
    </row>
    <row r="122">
      <c r="A122" s="29" t="n"/>
      <c r="B122" s="29" t="n"/>
      <c r="C122" s="29" t="n"/>
      <c r="D122" s="29" t="n"/>
      <c r="E122" s="29" t="n"/>
      <c r="F122" s="29" t="n"/>
      <c r="G122" s="29" t="n"/>
      <c r="H122" s="67">
        <f>IF(base!F122&lt;&gt;"",VLOOKUP(F122,de_para!$A$1:$B$31,2,0)*base!G122,0)</f>
        <v/>
      </c>
      <c r="I122" s="38" t="n"/>
      <c r="J122" s="29" t="n"/>
      <c r="K122" s="67">
        <f>IF(base!I122&lt;&gt;"",VLOOKUP(I122,de_para!$A$1:$B$31,2,0)*base!J122,0)</f>
        <v/>
      </c>
      <c r="L122" s="38" t="n"/>
      <c r="M122" s="29" t="n"/>
      <c r="N122" s="67">
        <f>IF(base!L122&lt;&gt;"",VLOOKUP(L122,de_para!$A$1:$B$31,2,0)*base!M122,0)</f>
        <v/>
      </c>
      <c r="O122" s="38" t="n"/>
      <c r="P122" s="29" t="n"/>
      <c r="Q122" s="67">
        <f>IF(base!O122&lt;&gt;"",VLOOKUP(O122,de_para!$A$1:$B$31,2,0)*base!P122,0)</f>
        <v/>
      </c>
      <c r="R122" s="38" t="n"/>
      <c r="S122" s="29" t="n"/>
      <c r="T122" s="67">
        <f>IF(base!R122&lt;&gt;"",VLOOKUP(R122,de_para!$A$1:$B$31,2,0)*base!S122,0)</f>
        <v/>
      </c>
      <c r="U122" s="68">
        <f>H122+K122+N122+Q122+T122</f>
        <v/>
      </c>
    </row>
    <row r="123">
      <c r="A123" s="29" t="n"/>
      <c r="B123" s="29" t="n"/>
      <c r="C123" s="29" t="n"/>
      <c r="D123" s="29" t="n"/>
      <c r="E123" s="29" t="n"/>
      <c r="F123" s="29" t="n"/>
      <c r="G123" s="29" t="n"/>
      <c r="H123" s="67">
        <f>IF(base!F123&lt;&gt;"",VLOOKUP(F123,de_para!$A$1:$B$31,2,0)*base!G123,0)</f>
        <v/>
      </c>
      <c r="I123" s="38" t="n"/>
      <c r="J123" s="29" t="n"/>
      <c r="K123" s="67">
        <f>IF(base!I123&lt;&gt;"",VLOOKUP(I123,de_para!$A$1:$B$31,2,0)*base!J123,0)</f>
        <v/>
      </c>
      <c r="L123" s="38" t="n"/>
      <c r="M123" s="29" t="n"/>
      <c r="N123" s="67">
        <f>IF(base!L123&lt;&gt;"",VLOOKUP(L123,de_para!$A$1:$B$31,2,0)*base!M123,0)</f>
        <v/>
      </c>
      <c r="O123" s="38" t="n"/>
      <c r="P123" s="29" t="n"/>
      <c r="Q123" s="67">
        <f>IF(base!O123&lt;&gt;"",VLOOKUP(O123,de_para!$A$1:$B$31,2,0)*base!P123,0)</f>
        <v/>
      </c>
      <c r="R123" s="38" t="n"/>
      <c r="S123" s="29" t="n"/>
      <c r="T123" s="67">
        <f>IF(base!R123&lt;&gt;"",VLOOKUP(R123,de_para!$A$1:$B$31,2,0)*base!S123,0)</f>
        <v/>
      </c>
      <c r="U123" s="68">
        <f>H123+K123+N123+Q123+T123</f>
        <v/>
      </c>
    </row>
    <row r="124">
      <c r="A124" s="29" t="n"/>
      <c r="B124" s="29" t="n"/>
      <c r="C124" s="29" t="n"/>
      <c r="D124" s="29" t="n"/>
      <c r="E124" s="29" t="n"/>
      <c r="F124" s="29" t="n"/>
      <c r="G124" s="29" t="n"/>
      <c r="H124" s="67">
        <f>IF(base!F124&lt;&gt;"",VLOOKUP(F124,de_para!$A$1:$B$31,2,0)*base!G124,0)</f>
        <v/>
      </c>
      <c r="I124" s="38" t="n"/>
      <c r="J124" s="29" t="n"/>
      <c r="K124" s="67">
        <f>IF(base!I124&lt;&gt;"",VLOOKUP(I124,de_para!$A$1:$B$31,2,0)*base!J124,0)</f>
        <v/>
      </c>
      <c r="L124" s="38" t="n"/>
      <c r="M124" s="29" t="n"/>
      <c r="N124" s="67">
        <f>IF(base!L124&lt;&gt;"",VLOOKUP(L124,de_para!$A$1:$B$31,2,0)*base!M124,0)</f>
        <v/>
      </c>
      <c r="O124" s="38" t="n"/>
      <c r="P124" s="29" t="n"/>
      <c r="Q124" s="67">
        <f>IF(base!O124&lt;&gt;"",VLOOKUP(O124,de_para!$A$1:$B$31,2,0)*base!P124,0)</f>
        <v/>
      </c>
      <c r="R124" s="38" t="n"/>
      <c r="S124" s="29" t="n"/>
      <c r="T124" s="67">
        <f>IF(base!R124&lt;&gt;"",VLOOKUP(R124,de_para!$A$1:$B$31,2,0)*base!S124,0)</f>
        <v/>
      </c>
      <c r="U124" s="68">
        <f>H124+K124+N124+Q124+T124</f>
        <v/>
      </c>
    </row>
    <row r="125">
      <c r="A125" s="29" t="n"/>
      <c r="B125" s="29" t="n"/>
      <c r="C125" s="29" t="n"/>
      <c r="D125" s="29" t="n"/>
      <c r="E125" s="29" t="n"/>
      <c r="F125" s="29" t="n"/>
      <c r="G125" s="29" t="n"/>
      <c r="H125" s="67">
        <f>IF(base!F125&lt;&gt;"",VLOOKUP(F125,de_para!$A$1:$B$31,2,0)*base!G125,0)</f>
        <v/>
      </c>
      <c r="I125" s="38" t="n"/>
      <c r="J125" s="29" t="n"/>
      <c r="K125" s="67">
        <f>IF(base!I125&lt;&gt;"",VLOOKUP(I125,de_para!$A$1:$B$31,2,0)*base!J125,0)</f>
        <v/>
      </c>
      <c r="L125" s="38" t="n"/>
      <c r="M125" s="29" t="n"/>
      <c r="N125" s="67">
        <f>IF(base!L125&lt;&gt;"",VLOOKUP(L125,de_para!$A$1:$B$31,2,0)*base!M125,0)</f>
        <v/>
      </c>
      <c r="O125" s="38" t="n"/>
      <c r="P125" s="29" t="n"/>
      <c r="Q125" s="67">
        <f>IF(base!O125&lt;&gt;"",VLOOKUP(O125,de_para!$A$1:$B$31,2,0)*base!P125,0)</f>
        <v/>
      </c>
      <c r="R125" s="38" t="n"/>
      <c r="S125" s="29" t="n"/>
      <c r="T125" s="67">
        <f>IF(base!R125&lt;&gt;"",VLOOKUP(R125,de_para!$A$1:$B$31,2,0)*base!S125,0)</f>
        <v/>
      </c>
      <c r="U125" s="68">
        <f>H125+K125+N125+Q125+T125</f>
        <v/>
      </c>
    </row>
    <row r="126">
      <c r="A126" s="29" t="n"/>
      <c r="B126" s="29" t="n"/>
      <c r="C126" s="29" t="n"/>
      <c r="D126" s="29" t="n"/>
      <c r="E126" s="29" t="n"/>
      <c r="F126" s="29" t="n"/>
      <c r="G126" s="29" t="n"/>
      <c r="H126" s="67">
        <f>IF(base!F126&lt;&gt;"",VLOOKUP(F126,de_para!$A$1:$B$31,2,0)*base!G126,0)</f>
        <v/>
      </c>
      <c r="I126" s="38" t="n"/>
      <c r="J126" s="29" t="n"/>
      <c r="K126" s="67">
        <f>IF(base!I126&lt;&gt;"",VLOOKUP(I126,de_para!$A$1:$B$31,2,0)*base!J126,0)</f>
        <v/>
      </c>
      <c r="L126" s="38" t="n"/>
      <c r="M126" s="29" t="n"/>
      <c r="N126" s="67">
        <f>IF(base!L126&lt;&gt;"",VLOOKUP(L126,de_para!$A$1:$B$31,2,0)*base!M126,0)</f>
        <v/>
      </c>
      <c r="O126" s="38" t="n"/>
      <c r="P126" s="29" t="n"/>
      <c r="Q126" s="67">
        <f>IF(base!O126&lt;&gt;"",VLOOKUP(O126,de_para!$A$1:$B$31,2,0)*base!P126,0)</f>
        <v/>
      </c>
      <c r="R126" s="38" t="n"/>
      <c r="S126" s="29" t="n"/>
      <c r="T126" s="67">
        <f>IF(base!R126&lt;&gt;"",VLOOKUP(R126,de_para!$A$1:$B$31,2,0)*base!S126,0)</f>
        <v/>
      </c>
      <c r="U126" s="68">
        <f>H126+K126+N126+Q126+T126</f>
        <v/>
      </c>
    </row>
    <row r="127">
      <c r="A127" s="29" t="n"/>
      <c r="B127" s="29" t="n"/>
      <c r="C127" s="29" t="n"/>
      <c r="D127" s="29" t="n"/>
      <c r="E127" s="29" t="n"/>
      <c r="F127" s="29" t="n"/>
      <c r="G127" s="29" t="n"/>
      <c r="H127" s="67">
        <f>IF(base!F127&lt;&gt;"",VLOOKUP(F127,de_para!$A$1:$B$31,2,0)*base!G127,0)</f>
        <v/>
      </c>
      <c r="I127" s="38" t="n"/>
      <c r="J127" s="29" t="n"/>
      <c r="K127" s="67">
        <f>IF(base!I127&lt;&gt;"",VLOOKUP(I127,de_para!$A$1:$B$31,2,0)*base!J127,0)</f>
        <v/>
      </c>
      <c r="L127" s="38" t="n"/>
      <c r="M127" s="29" t="n"/>
      <c r="N127" s="67">
        <f>IF(base!L127&lt;&gt;"",VLOOKUP(L127,de_para!$A$1:$B$31,2,0)*base!M127,0)</f>
        <v/>
      </c>
      <c r="O127" s="38" t="n"/>
      <c r="P127" s="29" t="n"/>
      <c r="Q127" s="67">
        <f>IF(base!O127&lt;&gt;"",VLOOKUP(O127,de_para!$A$1:$B$31,2,0)*base!P127,0)</f>
        <v/>
      </c>
      <c r="R127" s="38" t="n"/>
      <c r="S127" s="29" t="n"/>
      <c r="T127" s="67">
        <f>IF(base!R127&lt;&gt;"",VLOOKUP(R127,de_para!$A$1:$B$31,2,0)*base!S127,0)</f>
        <v/>
      </c>
      <c r="U127" s="68">
        <f>H127+K127+N127+Q127+T127</f>
        <v/>
      </c>
    </row>
    <row r="128">
      <c r="A128" s="29" t="n"/>
      <c r="B128" s="29" t="n"/>
      <c r="C128" s="29" t="n"/>
      <c r="D128" s="29" t="n"/>
      <c r="E128" s="29" t="n"/>
      <c r="F128" s="29" t="n"/>
      <c r="G128" s="29" t="n"/>
      <c r="H128" s="67">
        <f>IF(base!F128&lt;&gt;"",VLOOKUP(F128,de_para!$A$1:$B$31,2,0)*base!G128,0)</f>
        <v/>
      </c>
      <c r="I128" s="38" t="n"/>
      <c r="J128" s="29" t="n"/>
      <c r="K128" s="67">
        <f>IF(base!I128&lt;&gt;"",VLOOKUP(I128,de_para!$A$1:$B$31,2,0)*base!J128,0)</f>
        <v/>
      </c>
      <c r="L128" s="38" t="n"/>
      <c r="M128" s="29" t="n"/>
      <c r="N128" s="67">
        <f>IF(base!L128&lt;&gt;"",VLOOKUP(L128,de_para!$A$1:$B$31,2,0)*base!M128,0)</f>
        <v/>
      </c>
      <c r="O128" s="38" t="n"/>
      <c r="P128" s="29" t="n"/>
      <c r="Q128" s="67">
        <f>IF(base!O128&lt;&gt;"",VLOOKUP(O128,de_para!$A$1:$B$31,2,0)*base!P128,0)</f>
        <v/>
      </c>
      <c r="R128" s="38" t="n"/>
      <c r="S128" s="29" t="n"/>
      <c r="T128" s="67">
        <f>IF(base!R128&lt;&gt;"",VLOOKUP(R128,de_para!$A$1:$B$31,2,0)*base!S128,0)</f>
        <v/>
      </c>
      <c r="U128" s="68">
        <f>H128+K128+N128+Q128+T128</f>
        <v/>
      </c>
    </row>
    <row r="129">
      <c r="A129" s="29" t="n"/>
      <c r="B129" s="29" t="n"/>
      <c r="C129" s="29" t="n"/>
      <c r="D129" s="29" t="n"/>
      <c r="E129" s="29" t="n"/>
      <c r="F129" s="29" t="n"/>
      <c r="G129" s="29" t="n"/>
      <c r="H129" s="67">
        <f>IF(base!F129&lt;&gt;"",VLOOKUP(F129,de_para!$A$1:$B$31,2,0)*base!G129,0)</f>
        <v/>
      </c>
      <c r="I129" s="38" t="n"/>
      <c r="J129" s="29" t="n"/>
      <c r="K129" s="67">
        <f>IF(base!I129&lt;&gt;"",VLOOKUP(I129,de_para!$A$1:$B$31,2,0)*base!J129,0)</f>
        <v/>
      </c>
      <c r="L129" s="38" t="n"/>
      <c r="M129" s="29" t="n"/>
      <c r="N129" s="67">
        <f>IF(base!L129&lt;&gt;"",VLOOKUP(L129,de_para!$A$1:$B$31,2,0)*base!M129,0)</f>
        <v/>
      </c>
      <c r="O129" s="38" t="n"/>
      <c r="P129" s="29" t="n"/>
      <c r="Q129" s="67">
        <f>IF(base!O129&lt;&gt;"",VLOOKUP(O129,de_para!$A$1:$B$31,2,0)*base!P129,0)</f>
        <v/>
      </c>
      <c r="R129" s="38" t="n"/>
      <c r="S129" s="29" t="n"/>
      <c r="T129" s="67">
        <f>IF(base!R129&lt;&gt;"",VLOOKUP(R129,de_para!$A$1:$B$31,2,0)*base!S129,0)</f>
        <v/>
      </c>
      <c r="U129" s="68">
        <f>H129+K129+N129+Q129+T129</f>
        <v/>
      </c>
    </row>
    <row r="130">
      <c r="A130" s="29" t="n"/>
      <c r="B130" s="29" t="n"/>
      <c r="C130" s="29" t="n"/>
      <c r="D130" s="29" t="n"/>
      <c r="E130" s="29" t="n"/>
      <c r="F130" s="29" t="n"/>
      <c r="G130" s="29" t="n"/>
      <c r="H130" s="67">
        <f>IF(base!F130&lt;&gt;"",VLOOKUP(F130,de_para!$A$1:$B$31,2,0)*base!G130,0)</f>
        <v/>
      </c>
      <c r="I130" s="38" t="n"/>
      <c r="J130" s="29" t="n"/>
      <c r="K130" s="67">
        <f>IF(base!I130&lt;&gt;"",VLOOKUP(I130,de_para!$A$1:$B$31,2,0)*base!J130,0)</f>
        <v/>
      </c>
      <c r="L130" s="38" t="n"/>
      <c r="M130" s="29" t="n"/>
      <c r="N130" s="67">
        <f>IF(base!L130&lt;&gt;"",VLOOKUP(L130,de_para!$A$1:$B$31,2,0)*base!M130,0)</f>
        <v/>
      </c>
      <c r="O130" s="38" t="n"/>
      <c r="P130" s="29" t="n"/>
      <c r="Q130" s="67">
        <f>IF(base!O130&lt;&gt;"",VLOOKUP(O130,de_para!$A$1:$B$31,2,0)*base!P130,0)</f>
        <v/>
      </c>
      <c r="R130" s="38" t="n"/>
      <c r="S130" s="29" t="n"/>
      <c r="T130" s="67">
        <f>IF(base!R130&lt;&gt;"",VLOOKUP(R130,de_para!$A$1:$B$31,2,0)*base!S130,0)</f>
        <v/>
      </c>
      <c r="U130" s="68">
        <f>H130+K130+N130+Q130+T130</f>
        <v/>
      </c>
    </row>
    <row r="131">
      <c r="A131" s="29" t="n"/>
      <c r="B131" s="29" t="n"/>
      <c r="C131" s="29" t="n"/>
      <c r="D131" s="29" t="n"/>
      <c r="E131" s="29" t="n"/>
      <c r="F131" s="29" t="n"/>
      <c r="G131" s="29" t="n"/>
      <c r="H131" s="67">
        <f>IF(base!F131&lt;&gt;"",VLOOKUP(F131,de_para!$A$1:$B$31,2,0)*base!G131,0)</f>
        <v/>
      </c>
      <c r="I131" s="38" t="n"/>
      <c r="J131" s="29" t="n"/>
      <c r="K131" s="67">
        <f>IF(base!I131&lt;&gt;"",VLOOKUP(I131,de_para!$A$1:$B$31,2,0)*base!J131,0)</f>
        <v/>
      </c>
      <c r="L131" s="38" t="n"/>
      <c r="M131" s="29" t="n"/>
      <c r="N131" s="67">
        <f>IF(base!L131&lt;&gt;"",VLOOKUP(L131,de_para!$A$1:$B$31,2,0)*base!M131,0)</f>
        <v/>
      </c>
      <c r="O131" s="38" t="n"/>
      <c r="P131" s="29" t="n"/>
      <c r="Q131" s="67">
        <f>IF(base!O131&lt;&gt;"",VLOOKUP(O131,de_para!$A$1:$B$31,2,0)*base!P131,0)</f>
        <v/>
      </c>
      <c r="R131" s="38" t="n"/>
      <c r="S131" s="29" t="n"/>
      <c r="T131" s="67">
        <f>IF(base!R131&lt;&gt;"",VLOOKUP(R131,de_para!$A$1:$B$31,2,0)*base!S131,0)</f>
        <v/>
      </c>
      <c r="U131" s="68">
        <f>H131+K131+N131+Q131+T131</f>
        <v/>
      </c>
    </row>
    <row r="132">
      <c r="A132" s="29" t="n"/>
      <c r="B132" s="29" t="n"/>
      <c r="C132" s="29" t="n"/>
      <c r="D132" s="29" t="n"/>
      <c r="E132" s="29" t="n"/>
      <c r="F132" s="29" t="n"/>
      <c r="G132" s="29" t="n"/>
      <c r="H132" s="67">
        <f>IF(base!F132&lt;&gt;"",VLOOKUP(F132,de_para!$A$1:$B$31,2,0)*base!G132,0)</f>
        <v/>
      </c>
      <c r="I132" s="38" t="n"/>
      <c r="J132" s="29" t="n"/>
      <c r="K132" s="67">
        <f>IF(base!I132&lt;&gt;"",VLOOKUP(I132,de_para!$A$1:$B$31,2,0)*base!J132,0)</f>
        <v/>
      </c>
      <c r="L132" s="38" t="n"/>
      <c r="M132" s="29" t="n"/>
      <c r="N132" s="67">
        <f>IF(base!L132&lt;&gt;"",VLOOKUP(L132,de_para!$A$1:$B$31,2,0)*base!M132,0)</f>
        <v/>
      </c>
      <c r="O132" s="38" t="n"/>
      <c r="P132" s="29" t="n"/>
      <c r="Q132" s="67">
        <f>IF(base!O132&lt;&gt;"",VLOOKUP(O132,de_para!$A$1:$B$31,2,0)*base!P132,0)</f>
        <v/>
      </c>
      <c r="R132" s="38" t="n"/>
      <c r="S132" s="29" t="n"/>
      <c r="T132" s="67">
        <f>IF(base!R132&lt;&gt;"",VLOOKUP(R132,de_para!$A$1:$B$31,2,0)*base!S132,0)</f>
        <v/>
      </c>
      <c r="U132" s="68">
        <f>H132+K132+N132+Q132+T132</f>
        <v/>
      </c>
    </row>
    <row r="133">
      <c r="A133" s="29" t="n"/>
      <c r="B133" s="29" t="n"/>
      <c r="C133" s="29" t="n"/>
      <c r="D133" s="29" t="n"/>
      <c r="E133" s="29" t="n"/>
      <c r="F133" s="29" t="n"/>
      <c r="G133" s="29" t="n"/>
      <c r="H133" s="67">
        <f>IF(base!F133&lt;&gt;"",VLOOKUP(F133,de_para!$A$1:$B$31,2,0)*base!G133,0)</f>
        <v/>
      </c>
      <c r="I133" s="38" t="n"/>
      <c r="J133" s="29" t="n"/>
      <c r="K133" s="67">
        <f>IF(base!I133&lt;&gt;"",VLOOKUP(I133,de_para!$A$1:$B$31,2,0)*base!J133,0)</f>
        <v/>
      </c>
      <c r="L133" s="38" t="n"/>
      <c r="M133" s="29" t="n"/>
      <c r="N133" s="67">
        <f>IF(base!L133&lt;&gt;"",VLOOKUP(L133,de_para!$A$1:$B$31,2,0)*base!M133,0)</f>
        <v/>
      </c>
      <c r="O133" s="38" t="n"/>
      <c r="P133" s="29" t="n"/>
      <c r="Q133" s="67">
        <f>IF(base!O133&lt;&gt;"",VLOOKUP(O133,de_para!$A$1:$B$31,2,0)*base!P133,0)</f>
        <v/>
      </c>
      <c r="R133" s="38" t="n"/>
      <c r="S133" s="29" t="n"/>
      <c r="T133" s="67">
        <f>IF(base!R133&lt;&gt;"",VLOOKUP(R133,de_para!$A$1:$B$31,2,0)*base!S133,0)</f>
        <v/>
      </c>
      <c r="U133" s="68">
        <f>H133+K133+N133+Q133+T133</f>
        <v/>
      </c>
    </row>
    <row r="134">
      <c r="A134" s="29" t="n"/>
      <c r="B134" s="29" t="n"/>
      <c r="C134" s="29" t="n"/>
      <c r="D134" s="29" t="n"/>
      <c r="E134" s="29" t="n"/>
      <c r="F134" s="29" t="n"/>
      <c r="G134" s="29" t="n"/>
      <c r="H134" s="67">
        <f>IF(base!F134&lt;&gt;"",VLOOKUP(F134,de_para!$A$1:$B$31,2,0)*base!G134,0)</f>
        <v/>
      </c>
      <c r="I134" s="38" t="n"/>
      <c r="J134" s="29" t="n"/>
      <c r="K134" s="67">
        <f>IF(base!I134&lt;&gt;"",VLOOKUP(I134,de_para!$A$1:$B$31,2,0)*base!J134,0)</f>
        <v/>
      </c>
      <c r="L134" s="38" t="n"/>
      <c r="M134" s="29" t="n"/>
      <c r="N134" s="67">
        <f>IF(base!L134&lt;&gt;"",VLOOKUP(L134,de_para!$A$1:$B$31,2,0)*base!M134,0)</f>
        <v/>
      </c>
      <c r="O134" s="38" t="n"/>
      <c r="P134" s="29" t="n"/>
      <c r="Q134" s="67">
        <f>IF(base!O134&lt;&gt;"",VLOOKUP(O134,de_para!$A$1:$B$31,2,0)*base!P134,0)</f>
        <v/>
      </c>
      <c r="R134" s="38" t="n"/>
      <c r="S134" s="29" t="n"/>
      <c r="T134" s="67">
        <f>IF(base!R134&lt;&gt;"",VLOOKUP(R134,de_para!$A$1:$B$31,2,0)*base!S134,0)</f>
        <v/>
      </c>
      <c r="U134" s="68">
        <f>H134+K134+N134+Q134+T134</f>
        <v/>
      </c>
    </row>
    <row r="135">
      <c r="A135" s="29" t="n"/>
      <c r="B135" s="29" t="n"/>
      <c r="C135" s="29" t="n"/>
      <c r="D135" s="29" t="n"/>
      <c r="E135" s="29" t="n"/>
      <c r="F135" s="29" t="n"/>
      <c r="G135" s="29" t="n"/>
      <c r="H135" s="67">
        <f>IF(base!F135&lt;&gt;"",VLOOKUP(F135,de_para!$A$1:$B$31,2,0)*base!G135,0)</f>
        <v/>
      </c>
      <c r="I135" s="38" t="n"/>
      <c r="J135" s="29" t="n"/>
      <c r="K135" s="67">
        <f>IF(base!I135&lt;&gt;"",VLOOKUP(I135,de_para!$A$1:$B$31,2,0)*base!J135,0)</f>
        <v/>
      </c>
      <c r="L135" s="38" t="n"/>
      <c r="M135" s="29" t="n"/>
      <c r="N135" s="67">
        <f>IF(base!L135&lt;&gt;"",VLOOKUP(L135,de_para!$A$1:$B$31,2,0)*base!M135,0)</f>
        <v/>
      </c>
      <c r="O135" s="38" t="n"/>
      <c r="P135" s="29" t="n"/>
      <c r="Q135" s="67">
        <f>IF(base!O135&lt;&gt;"",VLOOKUP(O135,de_para!$A$1:$B$31,2,0)*base!P135,0)</f>
        <v/>
      </c>
      <c r="R135" s="38" t="n"/>
      <c r="S135" s="29" t="n"/>
      <c r="T135" s="67">
        <f>IF(base!R135&lt;&gt;"",VLOOKUP(R135,de_para!$A$1:$B$31,2,0)*base!S135,0)</f>
        <v/>
      </c>
      <c r="U135" s="68">
        <f>H135+K135+N135+Q135+T135</f>
        <v/>
      </c>
    </row>
    <row r="136">
      <c r="A136" s="29" t="n"/>
      <c r="B136" s="29" t="n"/>
      <c r="C136" s="29" t="n"/>
      <c r="D136" s="29" t="n"/>
      <c r="E136" s="29" t="n"/>
      <c r="F136" s="29" t="n"/>
      <c r="G136" s="29" t="n"/>
      <c r="H136" s="67">
        <f>IF(base!F136&lt;&gt;"",VLOOKUP(F136,de_para!$A$1:$B$31,2,0)*base!G136,0)</f>
        <v/>
      </c>
      <c r="I136" s="38" t="n"/>
      <c r="J136" s="29" t="n"/>
      <c r="K136" s="67">
        <f>IF(base!I136&lt;&gt;"",VLOOKUP(I136,de_para!$A$1:$B$31,2,0)*base!J136,0)</f>
        <v/>
      </c>
      <c r="L136" s="38" t="n"/>
      <c r="M136" s="29" t="n"/>
      <c r="N136" s="67">
        <f>IF(base!L136&lt;&gt;"",VLOOKUP(L136,de_para!$A$1:$B$31,2,0)*base!M136,0)</f>
        <v/>
      </c>
      <c r="O136" s="38" t="n"/>
      <c r="P136" s="29" t="n"/>
      <c r="Q136" s="67">
        <f>IF(base!O136&lt;&gt;"",VLOOKUP(O136,de_para!$A$1:$B$31,2,0)*base!P136,0)</f>
        <v/>
      </c>
      <c r="R136" s="38" t="n"/>
      <c r="S136" s="29" t="n"/>
      <c r="T136" s="67">
        <f>IF(base!R136&lt;&gt;"",VLOOKUP(R136,de_para!$A$1:$B$31,2,0)*base!S136,0)</f>
        <v/>
      </c>
      <c r="U136" s="68">
        <f>H136+K136+N136+Q136+T136</f>
        <v/>
      </c>
    </row>
    <row r="137">
      <c r="A137" s="29" t="n"/>
      <c r="B137" s="29" t="n"/>
      <c r="C137" s="29" t="n"/>
      <c r="D137" s="29" t="n"/>
      <c r="E137" s="29" t="n"/>
      <c r="F137" s="29" t="n"/>
      <c r="G137" s="29" t="n"/>
      <c r="H137" s="67">
        <f>IF(base!F137&lt;&gt;"",VLOOKUP(F137,de_para!$A$1:$B$31,2,0)*base!G137,0)</f>
        <v/>
      </c>
      <c r="I137" s="38" t="n"/>
      <c r="J137" s="29" t="n"/>
      <c r="K137" s="67">
        <f>IF(base!I137&lt;&gt;"",VLOOKUP(I137,de_para!$A$1:$B$31,2,0)*base!J137,0)</f>
        <v/>
      </c>
      <c r="L137" s="38" t="n"/>
      <c r="M137" s="29" t="n"/>
      <c r="N137" s="67">
        <f>IF(base!L137&lt;&gt;"",VLOOKUP(L137,de_para!$A$1:$B$31,2,0)*base!M137,0)</f>
        <v/>
      </c>
      <c r="O137" s="38" t="n"/>
      <c r="P137" s="29" t="n"/>
      <c r="Q137" s="67">
        <f>IF(base!O137&lt;&gt;"",VLOOKUP(O137,de_para!$A$1:$B$31,2,0)*base!P137,0)</f>
        <v/>
      </c>
      <c r="R137" s="38" t="n"/>
      <c r="S137" s="29" t="n"/>
      <c r="T137" s="67">
        <f>IF(base!R137&lt;&gt;"",VLOOKUP(R137,de_para!$A$1:$B$31,2,0)*base!S137,0)</f>
        <v/>
      </c>
      <c r="U137" s="68">
        <f>H137+K137+N137+Q137+T137</f>
        <v/>
      </c>
    </row>
    <row r="138">
      <c r="A138" s="29" t="n"/>
      <c r="B138" s="29" t="n"/>
      <c r="C138" s="29" t="n"/>
      <c r="D138" s="29" t="n"/>
      <c r="E138" s="29" t="n"/>
      <c r="F138" s="29" t="n"/>
      <c r="G138" s="29" t="n"/>
      <c r="H138" s="67">
        <f>IF(base!F138&lt;&gt;"",VLOOKUP(F138,de_para!$A$1:$B$31,2,0)*base!G138,0)</f>
        <v/>
      </c>
      <c r="I138" s="38" t="n"/>
      <c r="J138" s="29" t="n"/>
      <c r="K138" s="67">
        <f>IF(base!I138&lt;&gt;"",VLOOKUP(I138,de_para!$A$1:$B$31,2,0)*base!J138,0)</f>
        <v/>
      </c>
      <c r="L138" s="38" t="n"/>
      <c r="M138" s="29" t="n"/>
      <c r="N138" s="67">
        <f>IF(base!L138&lt;&gt;"",VLOOKUP(L138,de_para!$A$1:$B$31,2,0)*base!M138,0)</f>
        <v/>
      </c>
      <c r="O138" s="38" t="n"/>
      <c r="P138" s="29" t="n"/>
      <c r="Q138" s="67">
        <f>IF(base!O138&lt;&gt;"",VLOOKUP(O138,de_para!$A$1:$B$31,2,0)*base!P138,0)</f>
        <v/>
      </c>
      <c r="R138" s="38" t="n"/>
      <c r="S138" s="29" t="n"/>
      <c r="T138" s="67">
        <f>IF(base!R138&lt;&gt;"",VLOOKUP(R138,de_para!$A$1:$B$31,2,0)*base!S138,0)</f>
        <v/>
      </c>
      <c r="U138" s="68">
        <f>H138+K138+N138+Q138+T138</f>
        <v/>
      </c>
    </row>
    <row r="139">
      <c r="A139" s="29" t="n"/>
      <c r="B139" s="29" t="n"/>
      <c r="C139" s="29" t="n"/>
      <c r="D139" s="29" t="n"/>
      <c r="E139" s="29" t="n"/>
      <c r="F139" s="29" t="n"/>
      <c r="G139" s="29" t="n"/>
      <c r="H139" s="67">
        <f>IF(base!F139&lt;&gt;"",VLOOKUP(F139,de_para!$A$1:$B$31,2,0)*base!G139,0)</f>
        <v/>
      </c>
      <c r="I139" s="38" t="n"/>
      <c r="J139" s="29" t="n"/>
      <c r="K139" s="67">
        <f>IF(base!I139&lt;&gt;"",VLOOKUP(I139,de_para!$A$1:$B$31,2,0)*base!J139,0)</f>
        <v/>
      </c>
      <c r="L139" s="38" t="n"/>
      <c r="M139" s="29" t="n"/>
      <c r="N139" s="67">
        <f>IF(base!L139&lt;&gt;"",VLOOKUP(L139,de_para!$A$1:$B$31,2,0)*base!M139,0)</f>
        <v/>
      </c>
      <c r="O139" s="38" t="n"/>
      <c r="P139" s="29" t="n"/>
      <c r="Q139" s="67">
        <f>IF(base!O139&lt;&gt;"",VLOOKUP(O139,de_para!$A$1:$B$31,2,0)*base!P139,0)</f>
        <v/>
      </c>
      <c r="R139" s="38" t="n"/>
      <c r="S139" s="29" t="n"/>
      <c r="T139" s="67">
        <f>IF(base!R139&lt;&gt;"",VLOOKUP(R139,de_para!$A$1:$B$31,2,0)*base!S139,0)</f>
        <v/>
      </c>
      <c r="U139" s="68">
        <f>H139+K139+N139+Q139+T139</f>
        <v/>
      </c>
    </row>
    <row r="140">
      <c r="A140" s="29" t="n"/>
      <c r="B140" s="29" t="n"/>
      <c r="C140" s="29" t="n"/>
      <c r="D140" s="29" t="n"/>
      <c r="E140" s="29" t="n"/>
      <c r="F140" s="29" t="n"/>
      <c r="G140" s="29" t="n"/>
      <c r="H140" s="67">
        <f>IF(base!F140&lt;&gt;"",VLOOKUP(F140,de_para!$A$1:$B$31,2,0)*base!G140,0)</f>
        <v/>
      </c>
      <c r="I140" s="38" t="n"/>
      <c r="J140" s="29" t="n"/>
      <c r="K140" s="67">
        <f>IF(base!I140&lt;&gt;"",VLOOKUP(I140,de_para!$A$1:$B$31,2,0)*base!J140,0)</f>
        <v/>
      </c>
      <c r="L140" s="38" t="n"/>
      <c r="M140" s="29" t="n"/>
      <c r="N140" s="67">
        <f>IF(base!L140&lt;&gt;"",VLOOKUP(L140,de_para!$A$1:$B$31,2,0)*base!M140,0)</f>
        <v/>
      </c>
      <c r="O140" s="38" t="n"/>
      <c r="P140" s="29" t="n"/>
      <c r="Q140" s="67">
        <f>IF(base!O140&lt;&gt;"",VLOOKUP(O140,de_para!$A$1:$B$31,2,0)*base!P140,0)</f>
        <v/>
      </c>
      <c r="R140" s="38" t="n"/>
      <c r="S140" s="29" t="n"/>
      <c r="T140" s="67">
        <f>IF(base!R140&lt;&gt;"",VLOOKUP(R140,de_para!$A$1:$B$31,2,0)*base!S140,0)</f>
        <v/>
      </c>
      <c r="U140" s="68">
        <f>H140+K140+N140+Q140+T140</f>
        <v/>
      </c>
    </row>
    <row r="141">
      <c r="A141" s="29" t="n"/>
      <c r="B141" s="29" t="n"/>
      <c r="C141" s="29" t="n"/>
      <c r="D141" s="29" t="n"/>
      <c r="E141" s="29" t="n"/>
      <c r="F141" s="29" t="n"/>
      <c r="G141" s="29" t="n"/>
      <c r="H141" s="67">
        <f>IF(base!F141&lt;&gt;"",VLOOKUP(F141,de_para!$A$1:$B$31,2,0)*base!G141,0)</f>
        <v/>
      </c>
      <c r="I141" s="38" t="n"/>
      <c r="J141" s="29" t="n"/>
      <c r="K141" s="67">
        <f>IF(base!I141&lt;&gt;"",VLOOKUP(I141,de_para!$A$1:$B$31,2,0)*base!J141,0)</f>
        <v/>
      </c>
      <c r="L141" s="38" t="n"/>
      <c r="M141" s="29" t="n"/>
      <c r="N141" s="67">
        <f>IF(base!L141&lt;&gt;"",VLOOKUP(L141,de_para!$A$1:$B$31,2,0)*base!M141,0)</f>
        <v/>
      </c>
      <c r="O141" s="38" t="n"/>
      <c r="P141" s="29" t="n"/>
      <c r="Q141" s="67">
        <f>IF(base!O141&lt;&gt;"",VLOOKUP(O141,de_para!$A$1:$B$31,2,0)*base!P141,0)</f>
        <v/>
      </c>
      <c r="R141" s="38" t="n"/>
      <c r="S141" s="29" t="n"/>
      <c r="T141" s="67">
        <f>IF(base!R141&lt;&gt;"",VLOOKUP(R141,de_para!$A$1:$B$31,2,0)*base!S141,0)</f>
        <v/>
      </c>
      <c r="U141" s="68">
        <f>H141+K141+N141+Q141+T141</f>
        <v/>
      </c>
    </row>
    <row r="142">
      <c r="A142" s="29" t="n"/>
      <c r="B142" s="29" t="n"/>
      <c r="C142" s="29" t="n"/>
      <c r="D142" s="29" t="n"/>
      <c r="E142" s="29" t="n"/>
      <c r="F142" s="29" t="n"/>
      <c r="G142" s="29" t="n"/>
      <c r="H142" s="67">
        <f>IF(base!F142&lt;&gt;"",VLOOKUP(F142,de_para!$A$1:$B$31,2,0)*base!G142,0)</f>
        <v/>
      </c>
      <c r="I142" s="38" t="n"/>
      <c r="J142" s="29" t="n"/>
      <c r="K142" s="67">
        <f>IF(base!I142&lt;&gt;"",VLOOKUP(I142,de_para!$A$1:$B$31,2,0)*base!J142,0)</f>
        <v/>
      </c>
      <c r="L142" s="38" t="n"/>
      <c r="M142" s="29" t="n"/>
      <c r="N142" s="67">
        <f>IF(base!L142&lt;&gt;"",VLOOKUP(L142,de_para!$A$1:$B$31,2,0)*base!M142,0)</f>
        <v/>
      </c>
      <c r="O142" s="38" t="n"/>
      <c r="P142" s="29" t="n"/>
      <c r="Q142" s="67">
        <f>IF(base!O142&lt;&gt;"",VLOOKUP(O142,de_para!$A$1:$B$31,2,0)*base!P142,0)</f>
        <v/>
      </c>
      <c r="R142" s="38" t="n"/>
      <c r="S142" s="29" t="n"/>
      <c r="T142" s="67">
        <f>IF(base!R142&lt;&gt;"",VLOOKUP(R142,de_para!$A$1:$B$31,2,0)*base!S142,0)</f>
        <v/>
      </c>
      <c r="U142" s="68">
        <f>H142+K142+N142+Q142+T142</f>
        <v/>
      </c>
    </row>
    <row r="143">
      <c r="A143" s="29" t="n"/>
      <c r="B143" s="29" t="n"/>
      <c r="C143" s="29" t="n"/>
      <c r="D143" s="29" t="n"/>
      <c r="E143" s="29" t="n"/>
      <c r="F143" s="29" t="n"/>
      <c r="G143" s="29" t="n"/>
      <c r="H143" s="67">
        <f>IF(base!F143&lt;&gt;"",VLOOKUP(F143,de_para!$A$1:$B$31,2,0)*base!G143,0)</f>
        <v/>
      </c>
      <c r="I143" s="38" t="n"/>
      <c r="J143" s="29" t="n"/>
      <c r="K143" s="67">
        <f>IF(base!I143&lt;&gt;"",VLOOKUP(I143,de_para!$A$1:$B$31,2,0)*base!J143,0)</f>
        <v/>
      </c>
      <c r="L143" s="38" t="n"/>
      <c r="M143" s="29" t="n"/>
      <c r="N143" s="67">
        <f>IF(base!L143&lt;&gt;"",VLOOKUP(L143,de_para!$A$1:$B$31,2,0)*base!M143,0)</f>
        <v/>
      </c>
      <c r="O143" s="38" t="n"/>
      <c r="P143" s="29" t="n"/>
      <c r="Q143" s="67">
        <f>IF(base!O143&lt;&gt;"",VLOOKUP(O143,de_para!$A$1:$B$31,2,0)*base!P143,0)</f>
        <v/>
      </c>
      <c r="R143" s="38" t="n"/>
      <c r="S143" s="29" t="n"/>
      <c r="T143" s="67">
        <f>IF(base!R143&lt;&gt;"",VLOOKUP(R143,de_para!$A$1:$B$31,2,0)*base!S143,0)</f>
        <v/>
      </c>
      <c r="U143" s="68">
        <f>H143+K143+N143+Q143+T143</f>
        <v/>
      </c>
    </row>
    <row r="144">
      <c r="A144" s="29" t="n"/>
      <c r="B144" s="29" t="n"/>
      <c r="C144" s="29" t="n"/>
      <c r="D144" s="29" t="n"/>
      <c r="E144" s="29" t="n"/>
      <c r="F144" s="29" t="n"/>
      <c r="G144" s="29" t="n"/>
      <c r="H144" s="67">
        <f>IF(base!F144&lt;&gt;"",VLOOKUP(F144,de_para!$A$1:$B$31,2,0)*base!G144,0)</f>
        <v/>
      </c>
      <c r="I144" s="38" t="n"/>
      <c r="J144" s="29" t="n"/>
      <c r="K144" s="67">
        <f>IF(base!I144&lt;&gt;"",VLOOKUP(I144,de_para!$A$1:$B$31,2,0)*base!J144,0)</f>
        <v/>
      </c>
      <c r="L144" s="38" t="n"/>
      <c r="M144" s="29" t="n"/>
      <c r="N144" s="67">
        <f>IF(base!L144&lt;&gt;"",VLOOKUP(L144,de_para!$A$1:$B$31,2,0)*base!M144,0)</f>
        <v/>
      </c>
      <c r="O144" s="38" t="n"/>
      <c r="P144" s="29" t="n"/>
      <c r="Q144" s="67">
        <f>IF(base!O144&lt;&gt;"",VLOOKUP(O144,de_para!$A$1:$B$31,2,0)*base!P144,0)</f>
        <v/>
      </c>
      <c r="R144" s="38" t="n"/>
      <c r="S144" s="29" t="n"/>
      <c r="T144" s="67">
        <f>IF(base!R144&lt;&gt;"",VLOOKUP(R144,de_para!$A$1:$B$31,2,0)*base!S144,0)</f>
        <v/>
      </c>
      <c r="U144" s="68">
        <f>H144+K144+N144+Q144+T144</f>
        <v/>
      </c>
    </row>
    <row r="145">
      <c r="A145" s="29" t="n"/>
      <c r="B145" s="29" t="n"/>
      <c r="C145" s="29" t="n"/>
      <c r="D145" s="29" t="n"/>
      <c r="E145" s="29" t="n"/>
      <c r="F145" s="29" t="n"/>
      <c r="G145" s="29" t="n"/>
      <c r="H145" s="67">
        <f>IF(base!F145&lt;&gt;"",VLOOKUP(F145,de_para!$A$1:$B$31,2,0)*base!G145,0)</f>
        <v/>
      </c>
      <c r="I145" s="38" t="n"/>
      <c r="J145" s="29" t="n"/>
      <c r="K145" s="67">
        <f>IF(base!I145&lt;&gt;"",VLOOKUP(I145,de_para!$A$1:$B$31,2,0)*base!J145,0)</f>
        <v/>
      </c>
      <c r="L145" s="38" t="n"/>
      <c r="M145" s="29" t="n"/>
      <c r="N145" s="67">
        <f>IF(base!L145&lt;&gt;"",VLOOKUP(L145,de_para!$A$1:$B$31,2,0)*base!M145,0)</f>
        <v/>
      </c>
      <c r="O145" s="38" t="n"/>
      <c r="P145" s="29" t="n"/>
      <c r="Q145" s="67">
        <f>IF(base!O145&lt;&gt;"",VLOOKUP(O145,de_para!$A$1:$B$31,2,0)*base!P145,0)</f>
        <v/>
      </c>
      <c r="R145" s="38" t="n"/>
      <c r="S145" s="29" t="n"/>
      <c r="T145" s="67">
        <f>IF(base!R145&lt;&gt;"",VLOOKUP(R145,de_para!$A$1:$B$31,2,0)*base!S145,0)</f>
        <v/>
      </c>
      <c r="U145" s="68">
        <f>H145+K145+N145+Q145+T145</f>
        <v/>
      </c>
    </row>
    <row r="146">
      <c r="A146" s="29" t="n"/>
      <c r="B146" s="29" t="n"/>
      <c r="C146" s="29" t="n"/>
      <c r="D146" s="29" t="n"/>
      <c r="E146" s="29" t="n"/>
      <c r="F146" s="29" t="n"/>
      <c r="G146" s="29" t="n"/>
      <c r="H146" s="67">
        <f>IF(base!F146&lt;&gt;"",VLOOKUP(F146,de_para!$A$1:$B$31,2,0)*base!G146,0)</f>
        <v/>
      </c>
      <c r="I146" s="38" t="n"/>
      <c r="J146" s="29" t="n"/>
      <c r="K146" s="67">
        <f>IF(base!I146&lt;&gt;"",VLOOKUP(I146,de_para!$A$1:$B$31,2,0)*base!J146,0)</f>
        <v/>
      </c>
      <c r="L146" s="38" t="n"/>
      <c r="M146" s="29" t="n"/>
      <c r="N146" s="67">
        <f>IF(base!L146&lt;&gt;"",VLOOKUP(L146,de_para!$A$1:$B$31,2,0)*base!M146,0)</f>
        <v/>
      </c>
      <c r="O146" s="38" t="n"/>
      <c r="P146" s="29" t="n"/>
      <c r="Q146" s="67">
        <f>IF(base!O146&lt;&gt;"",VLOOKUP(O146,de_para!$A$1:$B$31,2,0)*base!P146,0)</f>
        <v/>
      </c>
      <c r="R146" s="38" t="n"/>
      <c r="S146" s="29" t="n"/>
      <c r="T146" s="67">
        <f>IF(base!R146&lt;&gt;"",VLOOKUP(R146,de_para!$A$1:$B$31,2,0)*base!S146,0)</f>
        <v/>
      </c>
      <c r="U146" s="68">
        <f>H146+K146+N146+Q146+T146</f>
        <v/>
      </c>
    </row>
    <row r="147">
      <c r="A147" s="29" t="n"/>
      <c r="B147" s="29" t="n"/>
      <c r="C147" s="29" t="n"/>
      <c r="D147" s="29" t="n"/>
      <c r="E147" s="29" t="n"/>
      <c r="F147" s="29" t="n"/>
      <c r="G147" s="29" t="n"/>
      <c r="H147" s="67">
        <f>IF(base!F147&lt;&gt;"",VLOOKUP(F147,de_para!$A$1:$B$31,2,0)*base!G147,0)</f>
        <v/>
      </c>
      <c r="I147" s="38" t="n"/>
      <c r="J147" s="29" t="n"/>
      <c r="K147" s="67">
        <f>IF(base!I147&lt;&gt;"",VLOOKUP(I147,de_para!$A$1:$B$31,2,0)*base!J147,0)</f>
        <v/>
      </c>
      <c r="L147" s="38" t="n"/>
      <c r="M147" s="29" t="n"/>
      <c r="N147" s="67">
        <f>IF(base!L147&lt;&gt;"",VLOOKUP(L147,de_para!$A$1:$B$31,2,0)*base!M147,0)</f>
        <v/>
      </c>
      <c r="O147" s="38" t="n"/>
      <c r="P147" s="29" t="n"/>
      <c r="Q147" s="67">
        <f>IF(base!O147&lt;&gt;"",VLOOKUP(O147,de_para!$A$1:$B$31,2,0)*base!P147,0)</f>
        <v/>
      </c>
      <c r="R147" s="38" t="n"/>
      <c r="S147" s="29" t="n"/>
      <c r="T147" s="67">
        <f>IF(base!R147&lt;&gt;"",VLOOKUP(R147,de_para!$A$1:$B$31,2,0)*base!S147,0)</f>
        <v/>
      </c>
      <c r="U147" s="68">
        <f>H147+K147+N147+Q147+T147</f>
        <v/>
      </c>
    </row>
    <row r="148">
      <c r="A148" s="29" t="n"/>
      <c r="B148" s="29" t="n"/>
      <c r="C148" s="29" t="n"/>
      <c r="D148" s="29" t="n"/>
      <c r="E148" s="29" t="n"/>
      <c r="F148" s="29" t="n"/>
      <c r="G148" s="29" t="n"/>
      <c r="H148" s="67">
        <f>IF(base!F148&lt;&gt;"",VLOOKUP(F148,de_para!$A$1:$B$31,2,0)*base!G148,0)</f>
        <v/>
      </c>
      <c r="I148" s="38" t="n"/>
      <c r="J148" s="29" t="n"/>
      <c r="K148" s="67">
        <f>IF(base!I148&lt;&gt;"",VLOOKUP(I148,de_para!$A$1:$B$31,2,0)*base!J148,0)</f>
        <v/>
      </c>
      <c r="L148" s="38" t="n"/>
      <c r="M148" s="29" t="n"/>
      <c r="N148" s="67">
        <f>IF(base!L148&lt;&gt;"",VLOOKUP(L148,de_para!$A$1:$B$31,2,0)*base!M148,0)</f>
        <v/>
      </c>
      <c r="O148" s="38" t="n"/>
      <c r="P148" s="29" t="n"/>
      <c r="Q148" s="67">
        <f>IF(base!O148&lt;&gt;"",VLOOKUP(O148,de_para!$A$1:$B$31,2,0)*base!P148,0)</f>
        <v/>
      </c>
      <c r="R148" s="38" t="n"/>
      <c r="S148" s="29" t="n"/>
      <c r="T148" s="67">
        <f>IF(base!R148&lt;&gt;"",VLOOKUP(R148,de_para!$A$1:$B$31,2,0)*base!S148,0)</f>
        <v/>
      </c>
      <c r="U148" s="68">
        <f>H148+K148+N148+Q148+T148</f>
        <v/>
      </c>
    </row>
    <row r="149">
      <c r="A149" s="29" t="n"/>
      <c r="B149" s="29" t="n"/>
      <c r="C149" s="29" t="n"/>
      <c r="D149" s="29" t="n"/>
      <c r="E149" s="29" t="n"/>
      <c r="F149" s="29" t="n"/>
      <c r="G149" s="29" t="n"/>
      <c r="H149" s="67">
        <f>IF(base!F149&lt;&gt;"",VLOOKUP(F149,de_para!$A$1:$B$31,2,0)*base!G149,0)</f>
        <v/>
      </c>
      <c r="I149" s="38" t="n"/>
      <c r="J149" s="29" t="n"/>
      <c r="K149" s="67">
        <f>IF(base!I149&lt;&gt;"",VLOOKUP(I149,de_para!$A$1:$B$31,2,0)*base!J149,0)</f>
        <v/>
      </c>
      <c r="L149" s="38" t="n"/>
      <c r="M149" s="29" t="n"/>
      <c r="N149" s="67">
        <f>IF(base!L149&lt;&gt;"",VLOOKUP(L149,de_para!$A$1:$B$31,2,0)*base!M149,0)</f>
        <v/>
      </c>
      <c r="O149" s="38" t="n"/>
      <c r="P149" s="29" t="n"/>
      <c r="Q149" s="67">
        <f>IF(base!O149&lt;&gt;"",VLOOKUP(O149,de_para!$A$1:$B$31,2,0)*base!P149,0)</f>
        <v/>
      </c>
      <c r="R149" s="38" t="n"/>
      <c r="S149" s="29" t="n"/>
      <c r="T149" s="67">
        <f>IF(base!R149&lt;&gt;"",VLOOKUP(R149,de_para!$A$1:$B$31,2,0)*base!S149,0)</f>
        <v/>
      </c>
      <c r="U149" s="68">
        <f>H149+K149+N149+Q149+T149</f>
        <v/>
      </c>
    </row>
    <row r="150">
      <c r="A150" s="29" t="n"/>
      <c r="B150" s="29" t="n"/>
      <c r="C150" s="29" t="n"/>
      <c r="D150" s="29" t="n"/>
      <c r="E150" s="29" t="n"/>
      <c r="F150" s="29" t="n"/>
      <c r="G150" s="29" t="n"/>
      <c r="H150" s="67">
        <f>IF(base!F150&lt;&gt;"",VLOOKUP(F150,de_para!$A$1:$B$31,2,0)*base!G150,0)</f>
        <v/>
      </c>
      <c r="I150" s="38" t="n"/>
      <c r="J150" s="29" t="n"/>
      <c r="K150" s="67">
        <f>IF(base!I150&lt;&gt;"",VLOOKUP(I150,de_para!$A$1:$B$31,2,0)*base!J150,0)</f>
        <v/>
      </c>
      <c r="L150" s="38" t="n"/>
      <c r="M150" s="29" t="n"/>
      <c r="N150" s="67">
        <f>IF(base!L150&lt;&gt;"",VLOOKUP(L150,de_para!$A$1:$B$31,2,0)*base!M150,0)</f>
        <v/>
      </c>
      <c r="O150" s="38" t="n"/>
      <c r="P150" s="29" t="n"/>
      <c r="Q150" s="67">
        <f>IF(base!O150&lt;&gt;"",VLOOKUP(O150,de_para!$A$1:$B$31,2,0)*base!P150,0)</f>
        <v/>
      </c>
      <c r="R150" s="38" t="n"/>
      <c r="S150" s="29" t="n"/>
      <c r="T150" s="67">
        <f>IF(base!R150&lt;&gt;"",VLOOKUP(R150,de_para!$A$1:$B$31,2,0)*base!S150,0)</f>
        <v/>
      </c>
      <c r="U150" s="68">
        <f>H150+K150+N150+Q150+T150</f>
        <v/>
      </c>
    </row>
    <row r="151">
      <c r="A151" s="29" t="n"/>
      <c r="B151" s="29" t="n"/>
      <c r="C151" s="29" t="n"/>
      <c r="D151" s="29" t="n"/>
      <c r="E151" s="29" t="n"/>
      <c r="F151" s="29" t="n"/>
      <c r="G151" s="29" t="n"/>
      <c r="H151" s="67">
        <f>IF(base!F151&lt;&gt;"",VLOOKUP(F151,de_para!$A$1:$B$31,2,0)*base!G151,0)</f>
        <v/>
      </c>
      <c r="I151" s="38" t="n"/>
      <c r="J151" s="29" t="n"/>
      <c r="K151" s="67">
        <f>IF(base!I151&lt;&gt;"",VLOOKUP(I151,de_para!$A$1:$B$31,2,0)*base!J151,0)</f>
        <v/>
      </c>
      <c r="L151" s="38" t="n"/>
      <c r="M151" s="29" t="n"/>
      <c r="N151" s="67">
        <f>IF(base!L151&lt;&gt;"",VLOOKUP(L151,de_para!$A$1:$B$31,2,0)*base!M151,0)</f>
        <v/>
      </c>
      <c r="O151" s="38" t="n"/>
      <c r="P151" s="29" t="n"/>
      <c r="Q151" s="67">
        <f>IF(base!O151&lt;&gt;"",VLOOKUP(O151,de_para!$A$1:$B$31,2,0)*base!P151,0)</f>
        <v/>
      </c>
      <c r="R151" s="38" t="n"/>
      <c r="S151" s="29" t="n"/>
      <c r="T151" s="67">
        <f>IF(base!R151&lt;&gt;"",VLOOKUP(R151,de_para!$A$1:$B$31,2,0)*base!S151,0)</f>
        <v/>
      </c>
      <c r="U151" s="68">
        <f>H151+K151+N151+Q151+T151</f>
        <v/>
      </c>
    </row>
    <row r="152">
      <c r="A152" s="29" t="n"/>
      <c r="B152" s="29" t="n"/>
      <c r="C152" s="29" t="n"/>
      <c r="D152" s="29" t="n"/>
      <c r="E152" s="29" t="n"/>
      <c r="F152" s="29" t="n"/>
      <c r="G152" s="29" t="n"/>
      <c r="H152" s="67">
        <f>IF(base!F152&lt;&gt;"",VLOOKUP(F152,de_para!$A$1:$B$31,2,0)*base!G152,0)</f>
        <v/>
      </c>
      <c r="I152" s="38" t="n"/>
      <c r="J152" s="29" t="n"/>
      <c r="K152" s="67">
        <f>IF(base!I152&lt;&gt;"",VLOOKUP(I152,de_para!$A$1:$B$31,2,0)*base!J152,0)</f>
        <v/>
      </c>
      <c r="L152" s="38" t="n"/>
      <c r="M152" s="29" t="n"/>
      <c r="N152" s="67">
        <f>IF(base!L152&lt;&gt;"",VLOOKUP(L152,de_para!$A$1:$B$31,2,0)*base!M152,0)</f>
        <v/>
      </c>
      <c r="O152" s="38" t="n"/>
      <c r="P152" s="29" t="n"/>
      <c r="Q152" s="67">
        <f>IF(base!O152&lt;&gt;"",VLOOKUP(O152,de_para!$A$1:$B$31,2,0)*base!P152,0)</f>
        <v/>
      </c>
      <c r="R152" s="38" t="n"/>
      <c r="S152" s="29" t="n"/>
      <c r="T152" s="67">
        <f>IF(base!R152&lt;&gt;"",VLOOKUP(R152,de_para!$A$1:$B$31,2,0)*base!S152,0)</f>
        <v/>
      </c>
      <c r="U152" s="68">
        <f>H152+K152+N152+Q152+T152</f>
        <v/>
      </c>
    </row>
    <row r="153">
      <c r="A153" s="29" t="n"/>
      <c r="B153" s="29" t="n"/>
      <c r="C153" s="29" t="n"/>
      <c r="D153" s="29" t="n"/>
      <c r="E153" s="29" t="n"/>
      <c r="F153" s="29" t="n"/>
      <c r="G153" s="29" t="n"/>
      <c r="H153" s="67">
        <f>IF(base!F153&lt;&gt;"",VLOOKUP(F153,de_para!$A$1:$B$31,2,0)*base!G153,0)</f>
        <v/>
      </c>
      <c r="I153" s="38" t="n"/>
      <c r="J153" s="29" t="n"/>
      <c r="K153" s="67">
        <f>IF(base!I153&lt;&gt;"",VLOOKUP(I153,de_para!$A$1:$B$31,2,0)*base!J153,0)</f>
        <v/>
      </c>
      <c r="L153" s="38" t="n"/>
      <c r="M153" s="29" t="n"/>
      <c r="N153" s="67">
        <f>IF(base!L153&lt;&gt;"",VLOOKUP(L153,de_para!$A$1:$B$31,2,0)*base!M153,0)</f>
        <v/>
      </c>
      <c r="O153" s="38" t="n"/>
      <c r="P153" s="29" t="n"/>
      <c r="Q153" s="67">
        <f>IF(base!O153&lt;&gt;"",VLOOKUP(O153,de_para!$A$1:$B$31,2,0)*base!P153,0)</f>
        <v/>
      </c>
      <c r="R153" s="38" t="n"/>
      <c r="S153" s="29" t="n"/>
      <c r="T153" s="67">
        <f>IF(base!R153&lt;&gt;"",VLOOKUP(R153,de_para!$A$1:$B$31,2,0)*base!S153,0)</f>
        <v/>
      </c>
      <c r="U153" s="68">
        <f>H153+K153+N153+Q153+T153</f>
        <v/>
      </c>
    </row>
    <row r="154">
      <c r="A154" s="29" t="n"/>
      <c r="B154" s="29" t="n"/>
      <c r="C154" s="29" t="n"/>
      <c r="D154" s="29" t="n"/>
      <c r="E154" s="29" t="n"/>
      <c r="F154" s="29" t="n"/>
      <c r="G154" s="29" t="n"/>
      <c r="H154" s="67">
        <f>IF(base!F154&lt;&gt;"",VLOOKUP(F154,de_para!$A$1:$B$31,2,0)*base!G154,0)</f>
        <v/>
      </c>
      <c r="I154" s="38" t="n"/>
      <c r="J154" s="29" t="n"/>
      <c r="K154" s="67">
        <f>IF(base!I154&lt;&gt;"",VLOOKUP(I154,de_para!$A$1:$B$31,2,0)*base!J154,0)</f>
        <v/>
      </c>
      <c r="L154" s="38" t="n"/>
      <c r="M154" s="29" t="n"/>
      <c r="N154" s="67">
        <f>IF(base!L154&lt;&gt;"",VLOOKUP(L154,de_para!$A$1:$B$31,2,0)*base!M154,0)</f>
        <v/>
      </c>
      <c r="O154" s="38" t="n"/>
      <c r="P154" s="29" t="n"/>
      <c r="Q154" s="67">
        <f>IF(base!O154&lt;&gt;"",VLOOKUP(O154,de_para!$A$1:$B$31,2,0)*base!P154,0)</f>
        <v/>
      </c>
      <c r="R154" s="38" t="n"/>
      <c r="S154" s="29" t="n"/>
      <c r="T154" s="67">
        <f>IF(base!R154&lt;&gt;"",VLOOKUP(R154,de_para!$A$1:$B$31,2,0)*base!S154,0)</f>
        <v/>
      </c>
      <c r="U154" s="68">
        <f>H154+K154+N154+Q154+T154</f>
        <v/>
      </c>
    </row>
    <row r="155">
      <c r="A155" s="29" t="n"/>
      <c r="B155" s="29" t="n"/>
      <c r="C155" s="29" t="n"/>
      <c r="D155" s="29" t="n"/>
      <c r="E155" s="29" t="n"/>
      <c r="F155" s="29" t="n"/>
      <c r="G155" s="29" t="n"/>
      <c r="H155" s="67">
        <f>IF(base!F155&lt;&gt;"",VLOOKUP(F155,de_para!$A$1:$B$31,2,0)*base!G155,0)</f>
        <v/>
      </c>
      <c r="I155" s="38" t="n"/>
      <c r="J155" s="29" t="n"/>
      <c r="K155" s="67">
        <f>IF(base!I155&lt;&gt;"",VLOOKUP(I155,de_para!$A$1:$B$31,2,0)*base!J155,0)</f>
        <v/>
      </c>
      <c r="L155" s="38" t="n"/>
      <c r="M155" s="29" t="n"/>
      <c r="N155" s="67">
        <f>IF(base!L155&lt;&gt;"",VLOOKUP(L155,de_para!$A$1:$B$31,2,0)*base!M155,0)</f>
        <v/>
      </c>
      <c r="O155" s="38" t="n"/>
      <c r="P155" s="29" t="n"/>
      <c r="Q155" s="67">
        <f>IF(base!O155&lt;&gt;"",VLOOKUP(O155,de_para!$A$1:$B$31,2,0)*base!P155,0)</f>
        <v/>
      </c>
      <c r="R155" s="38" t="n"/>
      <c r="S155" s="29" t="n"/>
      <c r="T155" s="67">
        <f>IF(base!R155&lt;&gt;"",VLOOKUP(R155,de_para!$A$1:$B$31,2,0)*base!S155,0)</f>
        <v/>
      </c>
      <c r="U155" s="68">
        <f>H155+K155+N155+Q155+T155</f>
        <v/>
      </c>
    </row>
    <row r="156">
      <c r="A156" s="29" t="n"/>
      <c r="B156" s="29" t="n"/>
      <c r="C156" s="29" t="n"/>
      <c r="D156" s="29" t="n"/>
      <c r="E156" s="29" t="n"/>
      <c r="F156" s="29" t="n"/>
      <c r="G156" s="29" t="n"/>
      <c r="H156" s="67">
        <f>IF(base!F156&lt;&gt;"",VLOOKUP(F156,de_para!$A$1:$B$31,2,0)*base!G156,0)</f>
        <v/>
      </c>
      <c r="I156" s="38" t="n"/>
      <c r="J156" s="29" t="n"/>
      <c r="K156" s="67">
        <f>IF(base!I156&lt;&gt;"",VLOOKUP(I156,de_para!$A$1:$B$31,2,0)*base!J156,0)</f>
        <v/>
      </c>
      <c r="L156" s="38" t="n"/>
      <c r="M156" s="29" t="n"/>
      <c r="N156" s="67">
        <f>IF(base!L156&lt;&gt;"",VLOOKUP(L156,de_para!$A$1:$B$31,2,0)*base!M156,0)</f>
        <v/>
      </c>
      <c r="O156" s="38" t="n"/>
      <c r="P156" s="29" t="n"/>
      <c r="Q156" s="67">
        <f>IF(base!O156&lt;&gt;"",VLOOKUP(O156,de_para!$A$1:$B$31,2,0)*base!P156,0)</f>
        <v/>
      </c>
      <c r="R156" s="38" t="n"/>
      <c r="S156" s="29" t="n"/>
      <c r="T156" s="67">
        <f>IF(base!R156&lt;&gt;"",VLOOKUP(R156,de_para!$A$1:$B$31,2,0)*base!S156,0)</f>
        <v/>
      </c>
      <c r="U156" s="68">
        <f>H156+K156+N156+Q156+T156</f>
        <v/>
      </c>
    </row>
    <row r="157">
      <c r="A157" s="29" t="n"/>
      <c r="B157" s="29" t="n"/>
      <c r="C157" s="29" t="n"/>
      <c r="D157" s="29" t="n"/>
      <c r="E157" s="29" t="n"/>
      <c r="F157" s="29" t="n"/>
      <c r="G157" s="29" t="n"/>
      <c r="H157" s="67">
        <f>IF(base!F157&lt;&gt;"",VLOOKUP(F157,de_para!$A$1:$B$31,2,0)*base!G157,0)</f>
        <v/>
      </c>
      <c r="I157" s="38" t="n"/>
      <c r="J157" s="29" t="n"/>
      <c r="K157" s="67">
        <f>IF(base!I157&lt;&gt;"",VLOOKUP(I157,de_para!$A$1:$B$31,2,0)*base!J157,0)</f>
        <v/>
      </c>
      <c r="L157" s="38" t="n"/>
      <c r="M157" s="29" t="n"/>
      <c r="N157" s="67">
        <f>IF(base!L157&lt;&gt;"",VLOOKUP(L157,de_para!$A$1:$B$31,2,0)*base!M157,0)</f>
        <v/>
      </c>
      <c r="O157" s="38" t="n"/>
      <c r="P157" s="29" t="n"/>
      <c r="Q157" s="67">
        <f>IF(base!O157&lt;&gt;"",VLOOKUP(O157,de_para!$A$1:$B$31,2,0)*base!P157,0)</f>
        <v/>
      </c>
      <c r="R157" s="38" t="n"/>
      <c r="S157" s="29" t="n"/>
      <c r="T157" s="67">
        <f>IF(base!R157&lt;&gt;"",VLOOKUP(R157,de_para!$A$1:$B$31,2,0)*base!S157,0)</f>
        <v/>
      </c>
      <c r="U157" s="68">
        <f>H157+K157+N157+Q157+T157</f>
        <v/>
      </c>
    </row>
    <row r="158">
      <c r="A158" s="29" t="n"/>
      <c r="B158" s="29" t="n"/>
      <c r="C158" s="29" t="n"/>
      <c r="D158" s="29" t="n"/>
      <c r="E158" s="29" t="n"/>
      <c r="F158" s="29" t="n"/>
      <c r="G158" s="29" t="n"/>
      <c r="H158" s="67">
        <f>IF(base!F158&lt;&gt;"",VLOOKUP(F158,de_para!$A$1:$B$31,2,0)*base!G158,0)</f>
        <v/>
      </c>
      <c r="I158" s="38" t="n"/>
      <c r="J158" s="29" t="n"/>
      <c r="K158" s="67">
        <f>IF(base!I158&lt;&gt;"",VLOOKUP(I158,de_para!$A$1:$B$31,2,0)*base!J158,0)</f>
        <v/>
      </c>
      <c r="L158" s="38" t="n"/>
      <c r="M158" s="29" t="n"/>
      <c r="N158" s="67">
        <f>IF(base!L158&lt;&gt;"",VLOOKUP(L158,de_para!$A$1:$B$31,2,0)*base!M158,0)</f>
        <v/>
      </c>
      <c r="O158" s="38" t="n"/>
      <c r="P158" s="29" t="n"/>
      <c r="Q158" s="67">
        <f>IF(base!O158&lt;&gt;"",VLOOKUP(O158,de_para!$A$1:$B$31,2,0)*base!P158,0)</f>
        <v/>
      </c>
      <c r="R158" s="38" t="n"/>
      <c r="S158" s="29" t="n"/>
      <c r="T158" s="67">
        <f>IF(base!R158&lt;&gt;"",VLOOKUP(R158,de_para!$A$1:$B$31,2,0)*base!S158,0)</f>
        <v/>
      </c>
      <c r="U158" s="68">
        <f>H158+K158+N158+Q158+T158</f>
        <v/>
      </c>
    </row>
    <row r="159">
      <c r="A159" s="29" t="n"/>
      <c r="B159" s="29" t="n"/>
      <c r="C159" s="29" t="n"/>
      <c r="D159" s="29" t="n"/>
      <c r="E159" s="29" t="n"/>
      <c r="F159" s="29" t="n"/>
      <c r="G159" s="29" t="n"/>
      <c r="H159" s="67">
        <f>IF(base!F159&lt;&gt;"",VLOOKUP(F159,de_para!$A$1:$B$31,2,0)*base!G159,0)</f>
        <v/>
      </c>
      <c r="I159" s="38" t="n"/>
      <c r="J159" s="29" t="n"/>
      <c r="K159" s="67">
        <f>IF(base!I159&lt;&gt;"",VLOOKUP(I159,de_para!$A$1:$B$31,2,0)*base!J159,0)</f>
        <v/>
      </c>
      <c r="L159" s="38" t="n"/>
      <c r="M159" s="29" t="n"/>
      <c r="N159" s="67">
        <f>IF(base!L159&lt;&gt;"",VLOOKUP(L159,de_para!$A$1:$B$31,2,0)*base!M159,0)</f>
        <v/>
      </c>
      <c r="O159" s="38" t="n"/>
      <c r="P159" s="29" t="n"/>
      <c r="Q159" s="67">
        <f>IF(base!O159&lt;&gt;"",VLOOKUP(O159,de_para!$A$1:$B$31,2,0)*base!P159,0)</f>
        <v/>
      </c>
      <c r="R159" s="38" t="n"/>
      <c r="S159" s="29" t="n"/>
      <c r="T159" s="67">
        <f>IF(base!R159&lt;&gt;"",VLOOKUP(R159,de_para!$A$1:$B$31,2,0)*base!S159,0)</f>
        <v/>
      </c>
      <c r="U159" s="68">
        <f>H159+K159+N159+Q159+T159</f>
        <v/>
      </c>
    </row>
    <row r="160">
      <c r="A160" s="29" t="n"/>
      <c r="B160" s="29" t="n"/>
      <c r="C160" s="29" t="n"/>
      <c r="D160" s="29" t="n"/>
      <c r="E160" s="29" t="n"/>
      <c r="F160" s="29" t="n"/>
      <c r="G160" s="29" t="n"/>
      <c r="H160" s="67">
        <f>IF(base!F160&lt;&gt;"",VLOOKUP(F160,de_para!$A$1:$B$31,2,0)*base!G160,0)</f>
        <v/>
      </c>
      <c r="I160" s="38" t="n"/>
      <c r="J160" s="29" t="n"/>
      <c r="K160" s="67">
        <f>IF(base!I160&lt;&gt;"",VLOOKUP(I160,de_para!$A$1:$B$31,2,0)*base!J160,0)</f>
        <v/>
      </c>
      <c r="L160" s="38" t="n"/>
      <c r="M160" s="29" t="n"/>
      <c r="N160" s="67">
        <f>IF(base!L160&lt;&gt;"",VLOOKUP(L160,de_para!$A$1:$B$31,2,0)*base!M160,0)</f>
        <v/>
      </c>
      <c r="O160" s="38" t="n"/>
      <c r="P160" s="29" t="n"/>
      <c r="Q160" s="67">
        <f>IF(base!O160&lt;&gt;"",VLOOKUP(O160,de_para!$A$1:$B$31,2,0)*base!P160,0)</f>
        <v/>
      </c>
      <c r="R160" s="38" t="n"/>
      <c r="S160" s="29" t="n"/>
      <c r="T160" s="67">
        <f>IF(base!R160&lt;&gt;"",VLOOKUP(R160,de_para!$A$1:$B$31,2,0)*base!S160,0)</f>
        <v/>
      </c>
      <c r="U160" s="68">
        <f>H160+K160+N160+Q160+T160</f>
        <v/>
      </c>
    </row>
    <row r="161">
      <c r="A161" s="29" t="n"/>
      <c r="B161" s="29" t="n"/>
      <c r="C161" s="29" t="n"/>
      <c r="D161" s="29" t="n"/>
      <c r="E161" s="29" t="n"/>
      <c r="F161" s="29" t="n"/>
      <c r="G161" s="29" t="n"/>
      <c r="H161" s="67">
        <f>IF(base!F161&lt;&gt;"",VLOOKUP(F161,de_para!$A$1:$B$31,2,0)*base!G161,0)</f>
        <v/>
      </c>
      <c r="I161" s="38" t="n"/>
      <c r="J161" s="29" t="n"/>
      <c r="K161" s="67">
        <f>IF(base!I161&lt;&gt;"",VLOOKUP(I161,de_para!$A$1:$B$31,2,0)*base!J161,0)</f>
        <v/>
      </c>
      <c r="L161" s="38" t="n"/>
      <c r="M161" s="29" t="n"/>
      <c r="N161" s="67">
        <f>IF(base!L161&lt;&gt;"",VLOOKUP(L161,de_para!$A$1:$B$31,2,0)*base!M161,0)</f>
        <v/>
      </c>
      <c r="O161" s="38" t="n"/>
      <c r="P161" s="29" t="n"/>
      <c r="Q161" s="67">
        <f>IF(base!O161&lt;&gt;"",VLOOKUP(O161,de_para!$A$1:$B$31,2,0)*base!P161,0)</f>
        <v/>
      </c>
      <c r="R161" s="38" t="n"/>
      <c r="S161" s="29" t="n"/>
      <c r="T161" s="67">
        <f>IF(base!R161&lt;&gt;"",VLOOKUP(R161,de_para!$A$1:$B$31,2,0)*base!S161,0)</f>
        <v/>
      </c>
      <c r="U161" s="68">
        <f>H161+K161+N161+Q161+T161</f>
        <v/>
      </c>
    </row>
    <row r="162">
      <c r="A162" s="29" t="n"/>
      <c r="B162" s="29" t="n"/>
      <c r="C162" s="29" t="n"/>
      <c r="D162" s="29" t="n"/>
      <c r="E162" s="29" t="n"/>
      <c r="F162" s="29" t="n"/>
      <c r="G162" s="29" t="n"/>
      <c r="H162" s="67">
        <f>IF(base!F162&lt;&gt;"",VLOOKUP(F162,de_para!$A$1:$B$31,2,0)*base!G162,0)</f>
        <v/>
      </c>
      <c r="I162" s="38" t="n"/>
      <c r="J162" s="29" t="n"/>
      <c r="K162" s="67">
        <f>IF(base!I162&lt;&gt;"",VLOOKUP(I162,de_para!$A$1:$B$31,2,0)*base!J162,0)</f>
        <v/>
      </c>
      <c r="L162" s="38" t="n"/>
      <c r="M162" s="29" t="n"/>
      <c r="N162" s="67">
        <f>IF(base!L162&lt;&gt;"",VLOOKUP(L162,de_para!$A$1:$B$31,2,0)*base!M162,0)</f>
        <v/>
      </c>
      <c r="O162" s="38" t="n"/>
      <c r="P162" s="29" t="n"/>
      <c r="Q162" s="67">
        <f>IF(base!O162&lt;&gt;"",VLOOKUP(O162,de_para!$A$1:$B$31,2,0)*base!P162,0)</f>
        <v/>
      </c>
      <c r="R162" s="38" t="n"/>
      <c r="S162" s="29" t="n"/>
      <c r="T162" s="67">
        <f>IF(base!R162&lt;&gt;"",VLOOKUP(R162,de_para!$A$1:$B$31,2,0)*base!S162,0)</f>
        <v/>
      </c>
      <c r="U162" s="68">
        <f>H162+K162+N162+Q162+T162</f>
        <v/>
      </c>
    </row>
    <row r="163">
      <c r="A163" s="29" t="n"/>
      <c r="B163" s="29" t="n"/>
      <c r="C163" s="29" t="n"/>
      <c r="D163" s="29" t="n"/>
      <c r="E163" s="29" t="n"/>
      <c r="F163" s="29" t="n"/>
      <c r="G163" s="29" t="n"/>
      <c r="H163" s="67">
        <f>IF(base!F163&lt;&gt;"",VLOOKUP(F163,de_para!$A$1:$B$31,2,0)*base!G163,0)</f>
        <v/>
      </c>
      <c r="I163" s="38" t="n"/>
      <c r="J163" s="29" t="n"/>
      <c r="K163" s="67">
        <f>IF(base!I163&lt;&gt;"",VLOOKUP(I163,de_para!$A$1:$B$31,2,0)*base!J163,0)</f>
        <v/>
      </c>
      <c r="L163" s="38" t="n"/>
      <c r="M163" s="29" t="n"/>
      <c r="N163" s="67">
        <f>IF(base!L163&lt;&gt;"",VLOOKUP(L163,de_para!$A$1:$B$31,2,0)*base!M163,0)</f>
        <v/>
      </c>
      <c r="O163" s="38" t="n"/>
      <c r="P163" s="29" t="n"/>
      <c r="Q163" s="67">
        <f>IF(base!O163&lt;&gt;"",VLOOKUP(O163,de_para!$A$1:$B$31,2,0)*base!P163,0)</f>
        <v/>
      </c>
      <c r="R163" s="38" t="n"/>
      <c r="S163" s="29" t="n"/>
      <c r="T163" s="67">
        <f>IF(base!R163&lt;&gt;"",VLOOKUP(R163,de_para!$A$1:$B$31,2,0)*base!S163,0)</f>
        <v/>
      </c>
      <c r="U163" s="68">
        <f>H163+K163+N163+Q163+T163</f>
        <v/>
      </c>
    </row>
    <row r="164">
      <c r="A164" s="29" t="n"/>
      <c r="B164" s="29" t="n"/>
      <c r="C164" s="29" t="n"/>
      <c r="D164" s="29" t="n"/>
      <c r="E164" s="29" t="n"/>
      <c r="F164" s="29" t="n"/>
      <c r="G164" s="29" t="n"/>
      <c r="H164" s="67">
        <f>IF(base!F164&lt;&gt;"",VLOOKUP(F164,de_para!$A$1:$B$31,2,0)*base!G164,0)</f>
        <v/>
      </c>
      <c r="I164" s="38" t="n"/>
      <c r="J164" s="29" t="n"/>
      <c r="K164" s="67">
        <f>IF(base!I164&lt;&gt;"",VLOOKUP(I164,de_para!$A$1:$B$31,2,0)*base!J164,0)</f>
        <v/>
      </c>
      <c r="L164" s="38" t="n"/>
      <c r="M164" s="29" t="n"/>
      <c r="N164" s="67">
        <f>IF(base!L164&lt;&gt;"",VLOOKUP(L164,de_para!$A$1:$B$31,2,0)*base!M164,0)</f>
        <v/>
      </c>
      <c r="O164" s="38" t="n"/>
      <c r="P164" s="29" t="n"/>
      <c r="Q164" s="67">
        <f>IF(base!O164&lt;&gt;"",VLOOKUP(O164,de_para!$A$1:$B$31,2,0)*base!P164,0)</f>
        <v/>
      </c>
      <c r="R164" s="38" t="n"/>
      <c r="S164" s="29" t="n"/>
      <c r="T164" s="67">
        <f>IF(base!R164&lt;&gt;"",VLOOKUP(R164,de_para!$A$1:$B$31,2,0)*base!S164,0)</f>
        <v/>
      </c>
      <c r="U164" s="68">
        <f>H164+K164+N164+Q164+T164</f>
        <v/>
      </c>
    </row>
    <row r="165">
      <c r="A165" s="29" t="n"/>
      <c r="B165" s="29" t="n"/>
      <c r="C165" s="29" t="n"/>
      <c r="D165" s="29" t="n"/>
      <c r="E165" s="29" t="n"/>
      <c r="F165" s="29" t="n"/>
      <c r="G165" s="29" t="n"/>
      <c r="H165" s="67">
        <f>IF(base!F165&lt;&gt;"",VLOOKUP(F165,de_para!$A$1:$B$31,2,0)*base!G165,0)</f>
        <v/>
      </c>
      <c r="I165" s="38" t="n"/>
      <c r="J165" s="29" t="n"/>
      <c r="K165" s="67">
        <f>IF(base!I165&lt;&gt;"",VLOOKUP(I165,de_para!$A$1:$B$31,2,0)*base!J165,0)</f>
        <v/>
      </c>
      <c r="L165" s="38" t="n"/>
      <c r="M165" s="29" t="n"/>
      <c r="N165" s="67">
        <f>IF(base!L165&lt;&gt;"",VLOOKUP(L165,de_para!$A$1:$B$31,2,0)*base!M165,0)</f>
        <v/>
      </c>
      <c r="O165" s="38" t="n"/>
      <c r="P165" s="29" t="n"/>
      <c r="Q165" s="67">
        <f>IF(base!O165&lt;&gt;"",VLOOKUP(O165,de_para!$A$1:$B$31,2,0)*base!P165,0)</f>
        <v/>
      </c>
      <c r="R165" s="38" t="n"/>
      <c r="S165" s="29" t="n"/>
      <c r="T165" s="67">
        <f>IF(base!R165&lt;&gt;"",VLOOKUP(R165,de_para!$A$1:$B$31,2,0)*base!S165,0)</f>
        <v/>
      </c>
      <c r="U165" s="68">
        <f>H165+K165+N165+Q165+T165</f>
        <v/>
      </c>
    </row>
    <row r="166">
      <c r="A166" s="29" t="n"/>
      <c r="B166" s="29" t="n"/>
      <c r="C166" s="29" t="n"/>
      <c r="D166" s="29" t="n"/>
      <c r="E166" s="29" t="n"/>
      <c r="F166" s="29" t="n"/>
      <c r="G166" s="29" t="n"/>
      <c r="H166" s="67">
        <f>IF(base!F166&lt;&gt;"",VLOOKUP(F166,de_para!$A$1:$B$31,2,0)*base!G166,0)</f>
        <v/>
      </c>
      <c r="I166" s="38" t="n"/>
      <c r="J166" s="29" t="n"/>
      <c r="K166" s="67">
        <f>IF(base!I166&lt;&gt;"",VLOOKUP(I166,de_para!$A$1:$B$31,2,0)*base!J166,0)</f>
        <v/>
      </c>
      <c r="L166" s="38" t="n"/>
      <c r="M166" s="29" t="n"/>
      <c r="N166" s="67">
        <f>IF(base!L166&lt;&gt;"",VLOOKUP(L166,de_para!$A$1:$B$31,2,0)*base!M166,0)</f>
        <v/>
      </c>
      <c r="O166" s="38" t="n"/>
      <c r="P166" s="29" t="n"/>
      <c r="Q166" s="67">
        <f>IF(base!O166&lt;&gt;"",VLOOKUP(O166,de_para!$A$1:$B$31,2,0)*base!P166,0)</f>
        <v/>
      </c>
      <c r="R166" s="38" t="n"/>
      <c r="S166" s="29" t="n"/>
      <c r="T166" s="67">
        <f>IF(base!R166&lt;&gt;"",VLOOKUP(R166,de_para!$A$1:$B$31,2,0)*base!S166,0)</f>
        <v/>
      </c>
      <c r="U166" s="68">
        <f>H166+K166+N166+Q166+T166</f>
        <v/>
      </c>
    </row>
    <row r="167">
      <c r="A167" s="29" t="n"/>
      <c r="B167" s="29" t="n"/>
      <c r="C167" s="29" t="n"/>
      <c r="D167" s="29" t="n"/>
      <c r="E167" s="29" t="n"/>
      <c r="F167" s="29" t="n"/>
      <c r="G167" s="29" t="n"/>
      <c r="H167" s="67">
        <f>IF(base!F167&lt;&gt;"",VLOOKUP(F167,de_para!$A$1:$B$31,2,0)*base!G167,0)</f>
        <v/>
      </c>
      <c r="I167" s="38" t="n"/>
      <c r="J167" s="29" t="n"/>
      <c r="K167" s="67">
        <f>IF(base!I167&lt;&gt;"",VLOOKUP(I167,de_para!$A$1:$B$31,2,0)*base!J167,0)</f>
        <v/>
      </c>
      <c r="L167" s="38" t="n"/>
      <c r="M167" s="29" t="n"/>
      <c r="N167" s="67">
        <f>IF(base!L167&lt;&gt;"",VLOOKUP(L167,de_para!$A$1:$B$31,2,0)*base!M167,0)</f>
        <v/>
      </c>
      <c r="O167" s="38" t="n"/>
      <c r="P167" s="29" t="n"/>
      <c r="Q167" s="67">
        <f>IF(base!O167&lt;&gt;"",VLOOKUP(O167,de_para!$A$1:$B$31,2,0)*base!P167,0)</f>
        <v/>
      </c>
      <c r="R167" s="38" t="n"/>
      <c r="S167" s="29" t="n"/>
      <c r="T167" s="67">
        <f>IF(base!R167&lt;&gt;"",VLOOKUP(R167,de_para!$A$1:$B$31,2,0)*base!S167,0)</f>
        <v/>
      </c>
      <c r="U167" s="68">
        <f>H167+K167+N167+Q167+T167</f>
        <v/>
      </c>
    </row>
    <row r="168">
      <c r="A168" s="29" t="n"/>
      <c r="B168" s="29" t="n"/>
      <c r="C168" s="29" t="n"/>
      <c r="D168" s="29" t="n"/>
      <c r="E168" s="29" t="n"/>
      <c r="F168" s="29" t="n"/>
      <c r="G168" s="29" t="n"/>
      <c r="H168" s="67">
        <f>IF(base!F168&lt;&gt;"",VLOOKUP(F168,de_para!$A$1:$B$31,2,0)*base!G168,0)</f>
        <v/>
      </c>
      <c r="I168" s="38" t="n"/>
      <c r="J168" s="29" t="n"/>
      <c r="K168" s="67">
        <f>IF(base!I168&lt;&gt;"",VLOOKUP(I168,de_para!$A$1:$B$31,2,0)*base!J168,0)</f>
        <v/>
      </c>
      <c r="L168" s="38" t="n"/>
      <c r="M168" s="29" t="n"/>
      <c r="N168" s="67">
        <f>IF(base!L168&lt;&gt;"",VLOOKUP(L168,de_para!$A$1:$B$31,2,0)*base!M168,0)</f>
        <v/>
      </c>
      <c r="O168" s="38" t="n"/>
      <c r="P168" s="29" t="n"/>
      <c r="Q168" s="67">
        <f>IF(base!O168&lt;&gt;"",VLOOKUP(O168,de_para!$A$1:$B$31,2,0)*base!P168,0)</f>
        <v/>
      </c>
      <c r="R168" s="38" t="n"/>
      <c r="S168" s="29" t="n"/>
      <c r="T168" s="67">
        <f>IF(base!R168&lt;&gt;"",VLOOKUP(R168,de_para!$A$1:$B$31,2,0)*base!S168,0)</f>
        <v/>
      </c>
      <c r="U168" s="68">
        <f>H168+K168+N168+Q168+T168</f>
        <v/>
      </c>
    </row>
    <row r="169">
      <c r="A169" s="29" t="n"/>
      <c r="B169" s="29" t="n"/>
      <c r="C169" s="29" t="n"/>
      <c r="D169" s="29" t="n"/>
      <c r="E169" s="29" t="n"/>
      <c r="F169" s="29" t="n"/>
      <c r="G169" s="29" t="n"/>
      <c r="H169" s="67">
        <f>IF(base!F169&lt;&gt;"",VLOOKUP(F169,de_para!$A$1:$B$31,2,0)*base!G169,0)</f>
        <v/>
      </c>
      <c r="I169" s="38" t="n"/>
      <c r="J169" s="29" t="n"/>
      <c r="K169" s="67">
        <f>IF(base!I169&lt;&gt;"",VLOOKUP(I169,de_para!$A$1:$B$31,2,0)*base!J169,0)</f>
        <v/>
      </c>
      <c r="L169" s="38" t="n"/>
      <c r="M169" s="29" t="n"/>
      <c r="N169" s="67">
        <f>IF(base!L169&lt;&gt;"",VLOOKUP(L169,de_para!$A$1:$B$31,2,0)*base!M169,0)</f>
        <v/>
      </c>
      <c r="O169" s="38" t="n"/>
      <c r="P169" s="29" t="n"/>
      <c r="Q169" s="67">
        <f>IF(base!O169&lt;&gt;"",VLOOKUP(O169,de_para!$A$1:$B$31,2,0)*base!P169,0)</f>
        <v/>
      </c>
      <c r="R169" s="38" t="n"/>
      <c r="S169" s="29" t="n"/>
      <c r="T169" s="67">
        <f>IF(base!R169&lt;&gt;"",VLOOKUP(R169,de_para!$A$1:$B$31,2,0)*base!S169,0)</f>
        <v/>
      </c>
      <c r="U169" s="68">
        <f>H169+K169+N169+Q169+T169</f>
        <v/>
      </c>
    </row>
    <row r="170">
      <c r="A170" s="29" t="n"/>
      <c r="B170" s="29" t="n"/>
      <c r="C170" s="29" t="n"/>
      <c r="D170" s="29" t="n"/>
      <c r="E170" s="29" t="n"/>
      <c r="F170" s="29" t="n"/>
      <c r="G170" s="29" t="n"/>
      <c r="H170" s="67">
        <f>IF(base!F170&lt;&gt;"",VLOOKUP(F170,de_para!$A$1:$B$31,2,0)*base!G170,0)</f>
        <v/>
      </c>
      <c r="I170" s="38" t="n"/>
      <c r="J170" s="29" t="n"/>
      <c r="K170" s="67">
        <f>IF(base!I170&lt;&gt;"",VLOOKUP(I170,de_para!$A$1:$B$31,2,0)*base!J170,0)</f>
        <v/>
      </c>
      <c r="L170" s="38" t="n"/>
      <c r="M170" s="29" t="n"/>
      <c r="N170" s="67">
        <f>IF(base!L170&lt;&gt;"",VLOOKUP(L170,de_para!$A$1:$B$31,2,0)*base!M170,0)</f>
        <v/>
      </c>
      <c r="O170" s="38" t="n"/>
      <c r="P170" s="29" t="n"/>
      <c r="Q170" s="67">
        <f>IF(base!O170&lt;&gt;"",VLOOKUP(O170,de_para!$A$1:$B$31,2,0)*base!P170,0)</f>
        <v/>
      </c>
      <c r="R170" s="38" t="n"/>
      <c r="S170" s="29" t="n"/>
      <c r="T170" s="67">
        <f>IF(base!R170&lt;&gt;"",VLOOKUP(R170,de_para!$A$1:$B$31,2,0)*base!S170,0)</f>
        <v/>
      </c>
      <c r="U170" s="68">
        <f>H170+K170+N170+Q170+T170</f>
        <v/>
      </c>
    </row>
    <row r="171">
      <c r="A171" s="29" t="n"/>
      <c r="B171" s="29" t="n"/>
      <c r="C171" s="29" t="n"/>
      <c r="D171" s="29" t="n"/>
      <c r="E171" s="29" t="n"/>
      <c r="F171" s="29" t="n"/>
      <c r="G171" s="29" t="n"/>
      <c r="H171" s="67">
        <f>IF(base!F171&lt;&gt;"",VLOOKUP(F171,de_para!$A$1:$B$31,2,0)*base!G171,0)</f>
        <v/>
      </c>
      <c r="I171" s="38" t="n"/>
      <c r="J171" s="29" t="n"/>
      <c r="K171" s="67">
        <f>IF(base!I171&lt;&gt;"",VLOOKUP(I171,de_para!$A$1:$B$31,2,0)*base!J171,0)</f>
        <v/>
      </c>
      <c r="L171" s="38" t="n"/>
      <c r="M171" s="29" t="n"/>
      <c r="N171" s="67">
        <f>IF(base!L171&lt;&gt;"",VLOOKUP(L171,de_para!$A$1:$B$31,2,0)*base!M171,0)</f>
        <v/>
      </c>
      <c r="O171" s="38" t="n"/>
      <c r="P171" s="29" t="n"/>
      <c r="Q171" s="67">
        <f>IF(base!O171&lt;&gt;"",VLOOKUP(O171,de_para!$A$1:$B$31,2,0)*base!P171,0)</f>
        <v/>
      </c>
      <c r="R171" s="38" t="n"/>
      <c r="S171" s="29" t="n"/>
      <c r="T171" s="67">
        <f>IF(base!R171&lt;&gt;"",VLOOKUP(R171,de_para!$A$1:$B$31,2,0)*base!S171,0)</f>
        <v/>
      </c>
      <c r="U171" s="68">
        <f>H171+K171+N171+Q171+T171</f>
        <v/>
      </c>
    </row>
    <row r="172">
      <c r="A172" s="29" t="n"/>
      <c r="B172" s="29" t="n"/>
      <c r="C172" s="29" t="n"/>
      <c r="D172" s="29" t="n"/>
      <c r="E172" s="29" t="n"/>
      <c r="F172" s="29" t="n"/>
      <c r="G172" s="29" t="n"/>
      <c r="H172" s="67">
        <f>IF(base!F172&lt;&gt;"",VLOOKUP(F172,de_para!$A$1:$B$31,2,0)*base!G172,0)</f>
        <v/>
      </c>
      <c r="I172" s="38" t="n"/>
      <c r="J172" s="29" t="n"/>
      <c r="K172" s="67">
        <f>IF(base!I172&lt;&gt;"",VLOOKUP(I172,de_para!$A$1:$B$31,2,0)*base!J172,0)</f>
        <v/>
      </c>
      <c r="L172" s="38" t="n"/>
      <c r="M172" s="29" t="n"/>
      <c r="N172" s="67">
        <f>IF(base!L172&lt;&gt;"",VLOOKUP(L172,de_para!$A$1:$B$31,2,0)*base!M172,0)</f>
        <v/>
      </c>
      <c r="O172" s="38" t="n"/>
      <c r="P172" s="29" t="n"/>
      <c r="Q172" s="67">
        <f>IF(base!O172&lt;&gt;"",VLOOKUP(O172,de_para!$A$1:$B$31,2,0)*base!P172,0)</f>
        <v/>
      </c>
      <c r="R172" s="38" t="n"/>
      <c r="S172" s="29" t="n"/>
      <c r="T172" s="67">
        <f>IF(base!R172&lt;&gt;"",VLOOKUP(R172,de_para!$A$1:$B$31,2,0)*base!S172,0)</f>
        <v/>
      </c>
      <c r="U172" s="68">
        <f>H172+K172+N172+Q172+T172</f>
        <v/>
      </c>
    </row>
    <row r="173">
      <c r="A173" s="29" t="n"/>
      <c r="B173" s="29" t="n"/>
      <c r="C173" s="29" t="n"/>
      <c r="D173" s="29" t="n"/>
      <c r="E173" s="29" t="n"/>
      <c r="F173" s="29" t="n"/>
      <c r="G173" s="29" t="n"/>
      <c r="H173" s="67">
        <f>IF(base!F173&lt;&gt;"",VLOOKUP(F173,de_para!$A$1:$B$31,2,0)*base!G173,0)</f>
        <v/>
      </c>
      <c r="I173" s="38" t="n"/>
      <c r="J173" s="29" t="n"/>
      <c r="K173" s="67">
        <f>IF(base!I173&lt;&gt;"",VLOOKUP(I173,de_para!$A$1:$B$31,2,0)*base!J173,0)</f>
        <v/>
      </c>
      <c r="L173" s="38" t="n"/>
      <c r="M173" s="29" t="n"/>
      <c r="N173" s="67">
        <f>IF(base!L173&lt;&gt;"",VLOOKUP(L173,de_para!$A$1:$B$31,2,0)*base!M173,0)</f>
        <v/>
      </c>
      <c r="O173" s="38" t="n"/>
      <c r="P173" s="29" t="n"/>
      <c r="Q173" s="67">
        <f>IF(base!O173&lt;&gt;"",VLOOKUP(O173,de_para!$A$1:$B$31,2,0)*base!P173,0)</f>
        <v/>
      </c>
      <c r="R173" s="38" t="n"/>
      <c r="S173" s="29" t="n"/>
      <c r="T173" s="67">
        <f>IF(base!R173&lt;&gt;"",VLOOKUP(R173,de_para!$A$1:$B$31,2,0)*base!S173,0)</f>
        <v/>
      </c>
      <c r="U173" s="68">
        <f>H173+K173+N173+Q173+T173</f>
        <v/>
      </c>
    </row>
    <row r="174">
      <c r="A174" s="29" t="n"/>
      <c r="B174" s="29" t="n"/>
      <c r="C174" s="29" t="n"/>
      <c r="D174" s="29" t="n"/>
      <c r="E174" s="29" t="n"/>
      <c r="F174" s="29" t="n"/>
      <c r="G174" s="29" t="n"/>
      <c r="H174" s="67">
        <f>IF(base!F174&lt;&gt;"",VLOOKUP(F174,de_para!$A$1:$B$31,2,0)*base!G174,0)</f>
        <v/>
      </c>
      <c r="I174" s="38" t="n"/>
      <c r="J174" s="29" t="n"/>
      <c r="K174" s="67">
        <f>IF(base!I174&lt;&gt;"",VLOOKUP(I174,de_para!$A$1:$B$31,2,0)*base!J174,0)</f>
        <v/>
      </c>
      <c r="L174" s="38" t="n"/>
      <c r="M174" s="29" t="n"/>
      <c r="N174" s="67">
        <f>IF(base!L174&lt;&gt;"",VLOOKUP(L174,de_para!$A$1:$B$31,2,0)*base!M174,0)</f>
        <v/>
      </c>
      <c r="O174" s="38" t="n"/>
      <c r="P174" s="29" t="n"/>
      <c r="Q174" s="67">
        <f>IF(base!O174&lt;&gt;"",VLOOKUP(O174,de_para!$A$1:$B$31,2,0)*base!P174,0)</f>
        <v/>
      </c>
      <c r="R174" s="38" t="n"/>
      <c r="S174" s="29" t="n"/>
      <c r="T174" s="67">
        <f>IF(base!R174&lt;&gt;"",VLOOKUP(R174,de_para!$A$1:$B$31,2,0)*base!S174,0)</f>
        <v/>
      </c>
      <c r="U174" s="68">
        <f>H174+K174+N174+Q174+T174</f>
        <v/>
      </c>
    </row>
    <row r="175">
      <c r="A175" s="29" t="n"/>
      <c r="B175" s="29" t="n"/>
      <c r="C175" s="29" t="n"/>
      <c r="D175" s="29" t="n"/>
      <c r="E175" s="29" t="n"/>
      <c r="F175" s="29" t="n"/>
      <c r="G175" s="29" t="n"/>
      <c r="H175" s="67">
        <f>IF(base!F175&lt;&gt;"",VLOOKUP(F175,de_para!$A$1:$B$31,2,0)*base!G175,0)</f>
        <v/>
      </c>
      <c r="I175" s="38" t="n"/>
      <c r="J175" s="29" t="n"/>
      <c r="K175" s="67">
        <f>IF(base!I175&lt;&gt;"",VLOOKUP(I175,de_para!$A$1:$B$31,2,0)*base!J175,0)</f>
        <v/>
      </c>
      <c r="L175" s="38" t="n"/>
      <c r="M175" s="29" t="n"/>
      <c r="N175" s="67">
        <f>IF(base!L175&lt;&gt;"",VLOOKUP(L175,de_para!$A$1:$B$31,2,0)*base!M175,0)</f>
        <v/>
      </c>
      <c r="O175" s="38" t="n"/>
      <c r="P175" s="29" t="n"/>
      <c r="Q175" s="67">
        <f>IF(base!O175&lt;&gt;"",VLOOKUP(O175,de_para!$A$1:$B$31,2,0)*base!P175,0)</f>
        <v/>
      </c>
      <c r="R175" s="38" t="n"/>
      <c r="S175" s="29" t="n"/>
      <c r="T175" s="67">
        <f>IF(base!R175&lt;&gt;"",VLOOKUP(R175,de_para!$A$1:$B$31,2,0)*base!S175,0)</f>
        <v/>
      </c>
      <c r="U175" s="68">
        <f>H175+K175+N175+Q175+T175</f>
        <v/>
      </c>
    </row>
    <row r="176">
      <c r="A176" s="29" t="n"/>
      <c r="B176" s="29" t="n"/>
      <c r="C176" s="29" t="n"/>
      <c r="D176" s="29" t="n"/>
      <c r="E176" s="29" t="n"/>
      <c r="F176" s="29" t="n"/>
      <c r="G176" s="29" t="n"/>
      <c r="H176" s="67">
        <f>IF(base!F176&lt;&gt;"",VLOOKUP(F176,de_para!$A$1:$B$31,2,0)*base!G176,0)</f>
        <v/>
      </c>
      <c r="I176" s="38" t="n"/>
      <c r="J176" s="29" t="n"/>
      <c r="K176" s="67">
        <f>IF(base!I176&lt;&gt;"",VLOOKUP(I176,de_para!$A$1:$B$31,2,0)*base!J176,0)</f>
        <v/>
      </c>
      <c r="L176" s="38" t="n"/>
      <c r="M176" s="29" t="n"/>
      <c r="N176" s="67">
        <f>IF(base!L176&lt;&gt;"",VLOOKUP(L176,de_para!$A$1:$B$31,2,0)*base!M176,0)</f>
        <v/>
      </c>
      <c r="O176" s="38" t="n"/>
      <c r="P176" s="29" t="n"/>
      <c r="Q176" s="67">
        <f>IF(base!O176&lt;&gt;"",VLOOKUP(O176,de_para!$A$1:$B$31,2,0)*base!P176,0)</f>
        <v/>
      </c>
      <c r="R176" s="38" t="n"/>
      <c r="S176" s="29" t="n"/>
      <c r="T176" s="67">
        <f>IF(base!R176&lt;&gt;"",VLOOKUP(R176,de_para!$A$1:$B$31,2,0)*base!S176,0)</f>
        <v/>
      </c>
      <c r="U176" s="68">
        <f>H176+K176+N176+Q176+T176</f>
        <v/>
      </c>
    </row>
    <row r="177">
      <c r="A177" s="29" t="n"/>
      <c r="B177" s="29" t="n"/>
      <c r="C177" s="29" t="n"/>
      <c r="D177" s="29" t="n"/>
      <c r="E177" s="29" t="n"/>
      <c r="F177" s="29" t="n"/>
      <c r="G177" s="29" t="n"/>
      <c r="H177" s="67">
        <f>IF(base!F177&lt;&gt;"",VLOOKUP(F177,de_para!$A$1:$B$31,2,0)*base!G177,0)</f>
        <v/>
      </c>
      <c r="I177" s="38" t="n"/>
      <c r="J177" s="29" t="n"/>
      <c r="K177" s="67">
        <f>IF(base!I177&lt;&gt;"",VLOOKUP(I177,de_para!$A$1:$B$31,2,0)*base!J177,0)</f>
        <v/>
      </c>
      <c r="L177" s="38" t="n"/>
      <c r="M177" s="29" t="n"/>
      <c r="N177" s="67">
        <f>IF(base!L177&lt;&gt;"",VLOOKUP(L177,de_para!$A$1:$B$31,2,0)*base!M177,0)</f>
        <v/>
      </c>
      <c r="O177" s="38" t="n"/>
      <c r="P177" s="29" t="n"/>
      <c r="Q177" s="67">
        <f>IF(base!O177&lt;&gt;"",VLOOKUP(O177,de_para!$A$1:$B$31,2,0)*base!P177,0)</f>
        <v/>
      </c>
      <c r="R177" s="38" t="n"/>
      <c r="S177" s="29" t="n"/>
      <c r="T177" s="67">
        <f>IF(base!R177&lt;&gt;"",VLOOKUP(R177,de_para!$A$1:$B$31,2,0)*base!S177,0)</f>
        <v/>
      </c>
      <c r="U177" s="68">
        <f>H177+K177+N177+Q177+T177</f>
        <v/>
      </c>
    </row>
    <row r="178">
      <c r="A178" s="29" t="n"/>
      <c r="B178" s="29" t="n"/>
      <c r="C178" s="29" t="n"/>
      <c r="D178" s="29" t="n"/>
      <c r="E178" s="29" t="n"/>
      <c r="F178" s="29" t="n"/>
      <c r="G178" s="29" t="n"/>
      <c r="H178" s="67">
        <f>IF(base!F178&lt;&gt;"",VLOOKUP(F178,de_para!$A$1:$B$31,2,0)*base!G178,0)</f>
        <v/>
      </c>
      <c r="I178" s="38" t="n"/>
      <c r="J178" s="29" t="n"/>
      <c r="K178" s="67">
        <f>IF(base!I178&lt;&gt;"",VLOOKUP(I178,de_para!$A$1:$B$31,2,0)*base!J178,0)</f>
        <v/>
      </c>
      <c r="L178" s="38" t="n"/>
      <c r="M178" s="29" t="n"/>
      <c r="N178" s="67">
        <f>IF(base!L178&lt;&gt;"",VLOOKUP(L178,de_para!$A$1:$B$31,2,0)*base!M178,0)</f>
        <v/>
      </c>
      <c r="O178" s="38" t="n"/>
      <c r="P178" s="29" t="n"/>
      <c r="Q178" s="67">
        <f>IF(base!O178&lt;&gt;"",VLOOKUP(O178,de_para!$A$1:$B$31,2,0)*base!P178,0)</f>
        <v/>
      </c>
      <c r="R178" s="38" t="n"/>
      <c r="S178" s="29" t="n"/>
      <c r="T178" s="67">
        <f>IF(base!R178&lt;&gt;"",VLOOKUP(R178,de_para!$A$1:$B$31,2,0)*base!S178,0)</f>
        <v/>
      </c>
      <c r="U178" s="68">
        <f>H178+K178+N178+Q178+T178</f>
        <v/>
      </c>
    </row>
    <row r="179">
      <c r="A179" s="29" t="n"/>
      <c r="B179" s="29" t="n"/>
      <c r="C179" s="29" t="n"/>
      <c r="D179" s="29" t="n"/>
      <c r="E179" s="29" t="n"/>
      <c r="F179" s="29" t="n"/>
      <c r="G179" s="29" t="n"/>
      <c r="H179" s="67">
        <f>IF(base!F179&lt;&gt;"",VLOOKUP(F179,de_para!$A$1:$B$31,2,0)*base!G179,0)</f>
        <v/>
      </c>
      <c r="I179" s="38" t="n"/>
      <c r="J179" s="29" t="n"/>
      <c r="K179" s="67">
        <f>IF(base!I179&lt;&gt;"",VLOOKUP(I179,de_para!$A$1:$B$31,2,0)*base!J179,0)</f>
        <v/>
      </c>
      <c r="L179" s="38" t="n"/>
      <c r="M179" s="29" t="n"/>
      <c r="N179" s="67">
        <f>IF(base!L179&lt;&gt;"",VLOOKUP(L179,de_para!$A$1:$B$31,2,0)*base!M179,0)</f>
        <v/>
      </c>
      <c r="O179" s="38" t="n"/>
      <c r="P179" s="29" t="n"/>
      <c r="Q179" s="67">
        <f>IF(base!O179&lt;&gt;"",VLOOKUP(O179,de_para!$A$1:$B$31,2,0)*base!P179,0)</f>
        <v/>
      </c>
      <c r="R179" s="38" t="n"/>
      <c r="S179" s="29" t="n"/>
      <c r="T179" s="67">
        <f>IF(base!R179&lt;&gt;"",VLOOKUP(R179,de_para!$A$1:$B$31,2,0)*base!S179,0)</f>
        <v/>
      </c>
      <c r="U179" s="68">
        <f>H179+K179+N179+Q179+T179</f>
        <v/>
      </c>
    </row>
    <row r="180">
      <c r="A180" s="29" t="n"/>
      <c r="B180" s="29" t="n"/>
      <c r="C180" s="29" t="n"/>
      <c r="D180" s="29" t="n"/>
      <c r="E180" s="29" t="n"/>
      <c r="F180" s="29" t="n"/>
      <c r="G180" s="29" t="n"/>
      <c r="H180" s="67">
        <f>IF(base!F180&lt;&gt;"",VLOOKUP(F180,de_para!$A$1:$B$31,2,0)*base!G180,0)</f>
        <v/>
      </c>
      <c r="I180" s="38" t="n"/>
      <c r="J180" s="29" t="n"/>
      <c r="K180" s="67">
        <f>IF(base!I180&lt;&gt;"",VLOOKUP(I180,de_para!$A$1:$B$31,2,0)*base!J180,0)</f>
        <v/>
      </c>
      <c r="L180" s="38" t="n"/>
      <c r="M180" s="29" t="n"/>
      <c r="N180" s="67">
        <f>IF(base!L180&lt;&gt;"",VLOOKUP(L180,de_para!$A$1:$B$31,2,0)*base!M180,0)</f>
        <v/>
      </c>
      <c r="O180" s="38" t="n"/>
      <c r="P180" s="29" t="n"/>
      <c r="Q180" s="67">
        <f>IF(base!O180&lt;&gt;"",VLOOKUP(O180,de_para!$A$1:$B$31,2,0)*base!P180,0)</f>
        <v/>
      </c>
      <c r="R180" s="38" t="n"/>
      <c r="S180" s="29" t="n"/>
      <c r="T180" s="67">
        <f>IF(base!R180&lt;&gt;"",VLOOKUP(R180,de_para!$A$1:$B$31,2,0)*base!S180,0)</f>
        <v/>
      </c>
      <c r="U180" s="68">
        <f>H180+K180+N180+Q180+T180</f>
        <v/>
      </c>
    </row>
    <row r="181">
      <c r="A181" s="29" t="n"/>
      <c r="B181" s="29" t="n"/>
      <c r="C181" s="29" t="n"/>
      <c r="D181" s="29" t="n"/>
      <c r="E181" s="29" t="n"/>
      <c r="F181" s="29" t="n"/>
      <c r="G181" s="29" t="n"/>
      <c r="H181" s="67">
        <f>IF(base!F181&lt;&gt;"",VLOOKUP(F181,de_para!$A$1:$B$31,2,0)*base!G181,0)</f>
        <v/>
      </c>
      <c r="I181" s="38" t="n"/>
      <c r="J181" s="29" t="n"/>
      <c r="K181" s="67">
        <f>IF(base!I181&lt;&gt;"",VLOOKUP(I181,de_para!$A$1:$B$31,2,0)*base!J181,0)</f>
        <v/>
      </c>
      <c r="L181" s="38" t="n"/>
      <c r="M181" s="29" t="n"/>
      <c r="N181" s="67">
        <f>IF(base!L181&lt;&gt;"",VLOOKUP(L181,de_para!$A$1:$B$31,2,0)*base!M181,0)</f>
        <v/>
      </c>
      <c r="O181" s="38" t="n"/>
      <c r="P181" s="29" t="n"/>
      <c r="Q181" s="67">
        <f>IF(base!O181&lt;&gt;"",VLOOKUP(O181,de_para!$A$1:$B$31,2,0)*base!P181,0)</f>
        <v/>
      </c>
      <c r="R181" s="38" t="n"/>
      <c r="S181" s="29" t="n"/>
      <c r="T181" s="67">
        <f>IF(base!R181&lt;&gt;"",VLOOKUP(R181,de_para!$A$1:$B$31,2,0)*base!S181,0)</f>
        <v/>
      </c>
      <c r="U181" s="68">
        <f>H181+K181+N181+Q181+T181</f>
        <v/>
      </c>
    </row>
    <row r="182">
      <c r="A182" s="29" t="n"/>
      <c r="B182" s="29" t="n"/>
      <c r="C182" s="29" t="n"/>
      <c r="D182" s="29" t="n"/>
      <c r="E182" s="29" t="n"/>
      <c r="F182" s="29" t="n"/>
      <c r="G182" s="29" t="n"/>
      <c r="H182" s="67">
        <f>IF(base!F182&lt;&gt;"",VLOOKUP(F182,de_para!$A$1:$B$31,2,0)*base!G182,0)</f>
        <v/>
      </c>
      <c r="I182" s="38" t="n"/>
      <c r="J182" s="29" t="n"/>
      <c r="K182" s="67">
        <f>IF(base!I182&lt;&gt;"",VLOOKUP(I182,de_para!$A$1:$B$31,2,0)*base!J182,0)</f>
        <v/>
      </c>
      <c r="L182" s="38" t="n"/>
      <c r="M182" s="29" t="n"/>
      <c r="N182" s="67">
        <f>IF(base!L182&lt;&gt;"",VLOOKUP(L182,de_para!$A$1:$B$31,2,0)*base!M182,0)</f>
        <v/>
      </c>
      <c r="O182" s="38" t="n"/>
      <c r="P182" s="29" t="n"/>
      <c r="Q182" s="67">
        <f>IF(base!O182&lt;&gt;"",VLOOKUP(O182,de_para!$A$1:$B$31,2,0)*base!P182,0)</f>
        <v/>
      </c>
      <c r="R182" s="38" t="n"/>
      <c r="S182" s="29" t="n"/>
      <c r="T182" s="67">
        <f>IF(base!R182&lt;&gt;"",VLOOKUP(R182,de_para!$A$1:$B$31,2,0)*base!S182,0)</f>
        <v/>
      </c>
      <c r="U182" s="68">
        <f>H182+K182+N182+Q182+T182</f>
        <v/>
      </c>
    </row>
    <row r="183">
      <c r="A183" s="29" t="n"/>
      <c r="B183" s="29" t="n"/>
      <c r="C183" s="29" t="n"/>
      <c r="D183" s="29" t="n"/>
      <c r="E183" s="29" t="n"/>
      <c r="F183" s="29" t="n"/>
      <c r="G183" s="29" t="n"/>
      <c r="H183" s="67">
        <f>IF(base!F183&lt;&gt;"",VLOOKUP(F183,de_para!$A$1:$B$31,2,0)*base!G183,0)</f>
        <v/>
      </c>
      <c r="I183" s="38" t="n"/>
      <c r="J183" s="29" t="n"/>
      <c r="K183" s="67">
        <f>IF(base!I183&lt;&gt;"",VLOOKUP(I183,de_para!$A$1:$B$31,2,0)*base!J183,0)</f>
        <v/>
      </c>
      <c r="L183" s="38" t="n"/>
      <c r="M183" s="29" t="n"/>
      <c r="N183" s="67">
        <f>IF(base!L183&lt;&gt;"",VLOOKUP(L183,de_para!$A$1:$B$31,2,0)*base!M183,0)</f>
        <v/>
      </c>
      <c r="O183" s="38" t="n"/>
      <c r="P183" s="29" t="n"/>
      <c r="Q183" s="67">
        <f>IF(base!O183&lt;&gt;"",VLOOKUP(O183,de_para!$A$1:$B$31,2,0)*base!P183,0)</f>
        <v/>
      </c>
      <c r="R183" s="38" t="n"/>
      <c r="S183" s="29" t="n"/>
      <c r="T183" s="67">
        <f>IF(base!R183&lt;&gt;"",VLOOKUP(R183,de_para!$A$1:$B$31,2,0)*base!S183,0)</f>
        <v/>
      </c>
      <c r="U183" s="68">
        <f>H183+K183+N183+Q183+T183</f>
        <v/>
      </c>
    </row>
    <row r="184">
      <c r="A184" s="29" t="n"/>
      <c r="B184" s="29" t="n"/>
      <c r="C184" s="29" t="n"/>
      <c r="D184" s="29" t="n"/>
      <c r="E184" s="29" t="n"/>
      <c r="F184" s="29" t="n"/>
      <c r="G184" s="29" t="n"/>
      <c r="H184" s="67">
        <f>IF(base!F184&lt;&gt;"",VLOOKUP(F184,de_para!$A$1:$B$31,2,0)*base!G184,0)</f>
        <v/>
      </c>
      <c r="I184" s="38" t="n"/>
      <c r="J184" s="29" t="n"/>
      <c r="K184" s="67">
        <f>IF(base!I184&lt;&gt;"",VLOOKUP(I184,de_para!$A$1:$B$31,2,0)*base!J184,0)</f>
        <v/>
      </c>
      <c r="L184" s="38" t="n"/>
      <c r="M184" s="29" t="n"/>
      <c r="N184" s="67">
        <f>IF(base!L184&lt;&gt;"",VLOOKUP(L184,de_para!$A$1:$B$31,2,0)*base!M184,0)</f>
        <v/>
      </c>
      <c r="O184" s="38" t="n"/>
      <c r="P184" s="29" t="n"/>
      <c r="Q184" s="67">
        <f>IF(base!O184&lt;&gt;"",VLOOKUP(O184,de_para!$A$1:$B$31,2,0)*base!P184,0)</f>
        <v/>
      </c>
      <c r="R184" s="38" t="n"/>
      <c r="S184" s="29" t="n"/>
      <c r="T184" s="67">
        <f>IF(base!R184&lt;&gt;"",VLOOKUP(R184,de_para!$A$1:$B$31,2,0)*base!S184,0)</f>
        <v/>
      </c>
      <c r="U184" s="68">
        <f>H184+K184+N184+Q184+T184</f>
        <v/>
      </c>
    </row>
    <row r="185">
      <c r="A185" s="29" t="n"/>
      <c r="B185" s="29" t="n"/>
      <c r="C185" s="29" t="n"/>
      <c r="D185" s="29" t="n"/>
      <c r="E185" s="29" t="n"/>
      <c r="F185" s="29" t="n"/>
      <c r="G185" s="29" t="n"/>
      <c r="H185" s="67">
        <f>IF(base!F185&lt;&gt;"",VLOOKUP(F185,de_para!$A$1:$B$31,2,0)*base!G185,0)</f>
        <v/>
      </c>
      <c r="I185" s="38" t="n"/>
      <c r="J185" s="29" t="n"/>
      <c r="K185" s="67">
        <f>IF(base!I185&lt;&gt;"",VLOOKUP(I185,de_para!$A$1:$B$31,2,0)*base!J185,0)</f>
        <v/>
      </c>
      <c r="L185" s="38" t="n"/>
      <c r="M185" s="29" t="n"/>
      <c r="N185" s="67">
        <f>IF(base!L185&lt;&gt;"",VLOOKUP(L185,de_para!$A$1:$B$31,2,0)*base!M185,0)</f>
        <v/>
      </c>
      <c r="O185" s="38" t="n"/>
      <c r="P185" s="29" t="n"/>
      <c r="Q185" s="67">
        <f>IF(base!O185&lt;&gt;"",VLOOKUP(O185,de_para!$A$1:$B$31,2,0)*base!P185,0)</f>
        <v/>
      </c>
      <c r="R185" s="38" t="n"/>
      <c r="S185" s="29" t="n"/>
      <c r="T185" s="67">
        <f>IF(base!R185&lt;&gt;"",VLOOKUP(R185,de_para!$A$1:$B$31,2,0)*base!S185,0)</f>
        <v/>
      </c>
      <c r="U185" s="68">
        <f>H185+K185+N185+Q185+T185</f>
        <v/>
      </c>
    </row>
    <row r="186">
      <c r="A186" s="29" t="n"/>
      <c r="B186" s="29" t="n"/>
      <c r="C186" s="29" t="n"/>
      <c r="D186" s="29" t="n"/>
      <c r="E186" s="29" t="n"/>
      <c r="F186" s="29" t="n"/>
      <c r="G186" s="29" t="n"/>
      <c r="H186" s="67">
        <f>IF(base!F186&lt;&gt;"",VLOOKUP(F186,de_para!$A$1:$B$31,2,0)*base!G186,0)</f>
        <v/>
      </c>
      <c r="I186" s="38" t="n"/>
      <c r="J186" s="29" t="n"/>
      <c r="K186" s="67">
        <f>IF(base!I186&lt;&gt;"",VLOOKUP(I186,de_para!$A$1:$B$31,2,0)*base!J186,0)</f>
        <v/>
      </c>
      <c r="L186" s="38" t="n"/>
      <c r="M186" s="29" t="n"/>
      <c r="N186" s="67">
        <f>IF(base!L186&lt;&gt;"",VLOOKUP(L186,de_para!$A$1:$B$31,2,0)*base!M186,0)</f>
        <v/>
      </c>
      <c r="O186" s="38" t="n"/>
      <c r="P186" s="29" t="n"/>
      <c r="Q186" s="67">
        <f>IF(base!O186&lt;&gt;"",VLOOKUP(O186,de_para!$A$1:$B$31,2,0)*base!P186,0)</f>
        <v/>
      </c>
      <c r="R186" s="38" t="n"/>
      <c r="S186" s="29" t="n"/>
      <c r="T186" s="67">
        <f>IF(base!R186&lt;&gt;"",VLOOKUP(R186,de_para!$A$1:$B$31,2,0)*base!S186,0)</f>
        <v/>
      </c>
      <c r="U186" s="68">
        <f>H186+K186+N186+Q186+T186</f>
        <v/>
      </c>
    </row>
    <row r="187">
      <c r="A187" s="29" t="n"/>
      <c r="B187" s="29" t="n"/>
      <c r="C187" s="29" t="n"/>
      <c r="D187" s="29" t="n"/>
      <c r="E187" s="29" t="n"/>
      <c r="F187" s="29" t="n"/>
      <c r="G187" s="29" t="n"/>
      <c r="H187" s="67">
        <f>IF(base!F187&lt;&gt;"",VLOOKUP(F187,de_para!$A$1:$B$31,2,0)*base!G187,0)</f>
        <v/>
      </c>
      <c r="I187" s="38" t="n"/>
      <c r="J187" s="29" t="n"/>
      <c r="K187" s="67">
        <f>IF(base!I187&lt;&gt;"",VLOOKUP(I187,de_para!$A$1:$B$31,2,0)*base!J187,0)</f>
        <v/>
      </c>
      <c r="L187" s="38" t="n"/>
      <c r="M187" s="29" t="n"/>
      <c r="N187" s="67">
        <f>IF(base!L187&lt;&gt;"",VLOOKUP(L187,de_para!$A$1:$B$31,2,0)*base!M187,0)</f>
        <v/>
      </c>
      <c r="O187" s="38" t="n"/>
      <c r="P187" s="29" t="n"/>
      <c r="Q187" s="67">
        <f>IF(base!O187&lt;&gt;"",VLOOKUP(O187,de_para!$A$1:$B$31,2,0)*base!P187,0)</f>
        <v/>
      </c>
      <c r="R187" s="38" t="n"/>
      <c r="S187" s="29" t="n"/>
      <c r="T187" s="67">
        <f>IF(base!R187&lt;&gt;"",VLOOKUP(R187,de_para!$A$1:$B$31,2,0)*base!S187,0)</f>
        <v/>
      </c>
      <c r="U187" s="68">
        <f>H187+K187+N187+Q187+T187</f>
        <v/>
      </c>
    </row>
    <row r="188">
      <c r="A188" s="29" t="n"/>
      <c r="B188" s="29" t="n"/>
      <c r="C188" s="29" t="n"/>
      <c r="D188" s="29" t="n"/>
      <c r="E188" s="29" t="n"/>
      <c r="F188" s="29" t="n"/>
      <c r="G188" s="29" t="n"/>
      <c r="H188" s="67">
        <f>IF(base!F188&lt;&gt;"",VLOOKUP(F188,de_para!$A$1:$B$31,2,0)*base!G188,0)</f>
        <v/>
      </c>
      <c r="I188" s="38" t="n"/>
      <c r="J188" s="29" t="n"/>
      <c r="K188" s="67">
        <f>IF(base!I188&lt;&gt;"",VLOOKUP(I188,de_para!$A$1:$B$31,2,0)*base!J188,0)</f>
        <v/>
      </c>
      <c r="L188" s="38" t="n"/>
      <c r="M188" s="29" t="n"/>
      <c r="N188" s="67">
        <f>IF(base!L188&lt;&gt;"",VLOOKUP(L188,de_para!$A$1:$B$31,2,0)*base!M188,0)</f>
        <v/>
      </c>
      <c r="O188" s="38" t="n"/>
      <c r="P188" s="29" t="n"/>
      <c r="Q188" s="67">
        <f>IF(base!O188&lt;&gt;"",VLOOKUP(O188,de_para!$A$1:$B$31,2,0)*base!P188,0)</f>
        <v/>
      </c>
      <c r="R188" s="38" t="n"/>
      <c r="S188" s="29" t="n"/>
      <c r="T188" s="67">
        <f>IF(base!R188&lt;&gt;"",VLOOKUP(R188,de_para!$A$1:$B$31,2,0)*base!S188,0)</f>
        <v/>
      </c>
      <c r="U188" s="68">
        <f>H188+K188+N188+Q188+T188</f>
        <v/>
      </c>
    </row>
    <row r="189">
      <c r="A189" s="29" t="n"/>
      <c r="B189" s="29" t="n"/>
      <c r="C189" s="29" t="n"/>
      <c r="D189" s="29" t="n"/>
      <c r="E189" s="29" t="n"/>
      <c r="F189" s="29" t="n"/>
      <c r="G189" s="29" t="n"/>
      <c r="H189" s="67">
        <f>IF(base!F189&lt;&gt;"",VLOOKUP(F189,de_para!$A$1:$B$31,2,0)*base!G189,0)</f>
        <v/>
      </c>
      <c r="I189" s="38" t="n"/>
      <c r="J189" s="29" t="n"/>
      <c r="K189" s="67">
        <f>IF(base!I189&lt;&gt;"",VLOOKUP(I189,de_para!$A$1:$B$31,2,0)*base!J189,0)</f>
        <v/>
      </c>
      <c r="L189" s="38" t="n"/>
      <c r="M189" s="29" t="n"/>
      <c r="N189" s="67">
        <f>IF(base!L189&lt;&gt;"",VLOOKUP(L189,de_para!$A$1:$B$31,2,0)*base!M189,0)</f>
        <v/>
      </c>
      <c r="O189" s="38" t="n"/>
      <c r="P189" s="29" t="n"/>
      <c r="Q189" s="67">
        <f>IF(base!O189&lt;&gt;"",VLOOKUP(O189,de_para!$A$1:$B$31,2,0)*base!P189,0)</f>
        <v/>
      </c>
      <c r="R189" s="38" t="n"/>
      <c r="S189" s="29" t="n"/>
      <c r="T189" s="67">
        <f>IF(base!R189&lt;&gt;"",VLOOKUP(R189,de_para!$A$1:$B$31,2,0)*base!S189,0)</f>
        <v/>
      </c>
      <c r="U189" s="68">
        <f>H189+K189+N189+Q189+T189</f>
        <v/>
      </c>
    </row>
    <row r="190">
      <c r="A190" s="29" t="n"/>
      <c r="B190" s="29" t="n"/>
      <c r="C190" s="29" t="n"/>
      <c r="D190" s="29" t="n"/>
      <c r="E190" s="29" t="n"/>
      <c r="F190" s="29" t="n"/>
      <c r="G190" s="29" t="n"/>
      <c r="H190" s="67">
        <f>IF(base!F190&lt;&gt;"",VLOOKUP(F190,de_para!$A$1:$B$31,2,0)*base!G190,0)</f>
        <v/>
      </c>
      <c r="I190" s="38" t="n"/>
      <c r="J190" s="29" t="n"/>
      <c r="K190" s="67">
        <f>IF(base!I190&lt;&gt;"",VLOOKUP(I190,de_para!$A$1:$B$31,2,0)*base!J190,0)</f>
        <v/>
      </c>
      <c r="L190" s="38" t="n"/>
      <c r="M190" s="29" t="n"/>
      <c r="N190" s="67">
        <f>IF(base!L190&lt;&gt;"",VLOOKUP(L190,de_para!$A$1:$B$31,2,0)*base!M190,0)</f>
        <v/>
      </c>
      <c r="O190" s="38" t="n"/>
      <c r="P190" s="29" t="n"/>
      <c r="Q190" s="67">
        <f>IF(base!O190&lt;&gt;"",VLOOKUP(O190,de_para!$A$1:$B$31,2,0)*base!P190,0)</f>
        <v/>
      </c>
      <c r="R190" s="38" t="n"/>
      <c r="S190" s="29" t="n"/>
      <c r="T190" s="67">
        <f>IF(base!R190&lt;&gt;"",VLOOKUP(R190,de_para!$A$1:$B$31,2,0)*base!S190,0)</f>
        <v/>
      </c>
      <c r="U190" s="68">
        <f>H190+K190+N190+Q190+T190</f>
        <v/>
      </c>
    </row>
    <row r="191">
      <c r="A191" s="29" t="n"/>
      <c r="B191" s="29" t="n"/>
      <c r="C191" s="29" t="n"/>
      <c r="D191" s="29" t="n"/>
      <c r="E191" s="29" t="n"/>
      <c r="F191" s="29" t="n"/>
      <c r="G191" s="29" t="n"/>
      <c r="H191" s="67">
        <f>IF(base!F191&lt;&gt;"",VLOOKUP(F191,de_para!$A$1:$B$31,2,0)*base!G191,0)</f>
        <v/>
      </c>
      <c r="I191" s="38" t="n"/>
      <c r="J191" s="29" t="n"/>
      <c r="K191" s="67">
        <f>IF(base!I191&lt;&gt;"",VLOOKUP(I191,de_para!$A$1:$B$31,2,0)*base!J191,0)</f>
        <v/>
      </c>
      <c r="L191" s="38" t="n"/>
      <c r="M191" s="29" t="n"/>
      <c r="N191" s="67">
        <f>IF(base!L191&lt;&gt;"",VLOOKUP(L191,de_para!$A$1:$B$31,2,0)*base!M191,0)</f>
        <v/>
      </c>
      <c r="O191" s="38" t="n"/>
      <c r="P191" s="29" t="n"/>
      <c r="Q191" s="67">
        <f>IF(base!O191&lt;&gt;"",VLOOKUP(O191,de_para!$A$1:$B$31,2,0)*base!P191,0)</f>
        <v/>
      </c>
      <c r="R191" s="38" t="n"/>
      <c r="S191" s="29" t="n"/>
      <c r="T191" s="67">
        <f>IF(base!R191&lt;&gt;"",VLOOKUP(R191,de_para!$A$1:$B$31,2,0)*base!S191,0)</f>
        <v/>
      </c>
      <c r="U191" s="68">
        <f>H191+K191+N191+Q191+T191</f>
        <v/>
      </c>
    </row>
    <row r="192">
      <c r="A192" s="29" t="n"/>
      <c r="B192" s="29" t="n"/>
      <c r="C192" s="29" t="n"/>
      <c r="D192" s="29" t="n"/>
      <c r="E192" s="29" t="n"/>
      <c r="F192" s="29" t="n"/>
      <c r="G192" s="29" t="n"/>
      <c r="H192" s="67">
        <f>IF(base!F192&lt;&gt;"",VLOOKUP(F192,de_para!$A$1:$B$31,2,0)*base!G192,0)</f>
        <v/>
      </c>
      <c r="I192" s="38" t="n"/>
      <c r="J192" s="29" t="n"/>
      <c r="K192" s="67">
        <f>IF(base!I192&lt;&gt;"",VLOOKUP(I192,de_para!$A$1:$B$31,2,0)*base!J192,0)</f>
        <v/>
      </c>
      <c r="L192" s="38" t="n"/>
      <c r="M192" s="29" t="n"/>
      <c r="N192" s="67">
        <f>IF(base!L192&lt;&gt;"",VLOOKUP(L192,de_para!$A$1:$B$31,2,0)*base!M192,0)</f>
        <v/>
      </c>
      <c r="O192" s="38" t="n"/>
      <c r="P192" s="29" t="n"/>
      <c r="Q192" s="67">
        <f>IF(base!O192&lt;&gt;"",VLOOKUP(O192,de_para!$A$1:$B$31,2,0)*base!P192,0)</f>
        <v/>
      </c>
      <c r="R192" s="38" t="n"/>
      <c r="S192" s="29" t="n"/>
      <c r="T192" s="67">
        <f>IF(base!R192&lt;&gt;"",VLOOKUP(R192,de_para!$A$1:$B$31,2,0)*base!S192,0)</f>
        <v/>
      </c>
      <c r="U192" s="68">
        <f>H192+K192+N192+Q192+T192</f>
        <v/>
      </c>
    </row>
    <row r="193">
      <c r="A193" s="29" t="n"/>
      <c r="B193" s="29" t="n"/>
      <c r="C193" s="29" t="n"/>
      <c r="D193" s="29" t="n"/>
      <c r="E193" s="29" t="n"/>
      <c r="F193" s="29" t="n"/>
      <c r="G193" s="29" t="n"/>
      <c r="H193" s="67">
        <f>IF(base!F193&lt;&gt;"",VLOOKUP(F193,de_para!$A$1:$B$31,2,0)*base!G193,0)</f>
        <v/>
      </c>
      <c r="I193" s="38" t="n"/>
      <c r="J193" s="29" t="n"/>
      <c r="K193" s="67">
        <f>IF(base!I193&lt;&gt;"",VLOOKUP(I193,de_para!$A$1:$B$31,2,0)*base!J193,0)</f>
        <v/>
      </c>
      <c r="L193" s="38" t="n"/>
      <c r="M193" s="29" t="n"/>
      <c r="N193" s="67">
        <f>IF(base!L193&lt;&gt;"",VLOOKUP(L193,de_para!$A$1:$B$31,2,0)*base!M193,0)</f>
        <v/>
      </c>
      <c r="O193" s="38" t="n"/>
      <c r="P193" s="29" t="n"/>
      <c r="Q193" s="67">
        <f>IF(base!O193&lt;&gt;"",VLOOKUP(O193,de_para!$A$1:$B$31,2,0)*base!P193,0)</f>
        <v/>
      </c>
      <c r="R193" s="38" t="n"/>
      <c r="S193" s="29" t="n"/>
      <c r="T193" s="67">
        <f>IF(base!R193&lt;&gt;"",VLOOKUP(R193,de_para!$A$1:$B$31,2,0)*base!S193,0)</f>
        <v/>
      </c>
      <c r="U193" s="68">
        <f>H193+K193+N193+Q193+T193</f>
        <v/>
      </c>
    </row>
    <row r="194">
      <c r="A194" s="29" t="n"/>
      <c r="B194" s="29" t="n"/>
      <c r="C194" s="29" t="n"/>
      <c r="D194" s="29" t="n"/>
      <c r="E194" s="29" t="n"/>
      <c r="F194" s="29" t="n"/>
      <c r="G194" s="29" t="n"/>
      <c r="H194" s="67">
        <f>IF(base!F194&lt;&gt;"",VLOOKUP(F194,de_para!$A$1:$B$31,2,0)*base!G194,0)</f>
        <v/>
      </c>
      <c r="I194" s="38" t="n"/>
      <c r="J194" s="29" t="n"/>
      <c r="K194" s="67">
        <f>IF(base!I194&lt;&gt;"",VLOOKUP(I194,de_para!$A$1:$B$31,2,0)*base!J194,0)</f>
        <v/>
      </c>
      <c r="L194" s="38" t="n"/>
      <c r="M194" s="29" t="n"/>
      <c r="N194" s="67">
        <f>IF(base!L194&lt;&gt;"",VLOOKUP(L194,de_para!$A$1:$B$31,2,0)*base!M194,0)</f>
        <v/>
      </c>
      <c r="O194" s="38" t="n"/>
      <c r="P194" s="29" t="n"/>
      <c r="Q194" s="67">
        <f>IF(base!O194&lt;&gt;"",VLOOKUP(O194,de_para!$A$1:$B$31,2,0)*base!P194,0)</f>
        <v/>
      </c>
      <c r="R194" s="38" t="n"/>
      <c r="S194" s="29" t="n"/>
      <c r="T194" s="67">
        <f>IF(base!R194&lt;&gt;"",VLOOKUP(R194,de_para!$A$1:$B$31,2,0)*base!S194,0)</f>
        <v/>
      </c>
      <c r="U194" s="68">
        <f>H194+K194+N194+Q194+T194</f>
        <v/>
      </c>
    </row>
    <row r="195">
      <c r="A195" s="29" t="n"/>
      <c r="B195" s="29" t="n"/>
      <c r="C195" s="29" t="n"/>
      <c r="D195" s="29" t="n"/>
      <c r="E195" s="29" t="n"/>
      <c r="F195" s="29" t="n"/>
      <c r="G195" s="29" t="n"/>
      <c r="H195" s="67">
        <f>IF(base!F195&lt;&gt;"",VLOOKUP(F195,de_para!$A$1:$B$31,2,0)*base!G195,0)</f>
        <v/>
      </c>
      <c r="I195" s="38" t="n"/>
      <c r="J195" s="29" t="n"/>
      <c r="K195" s="67">
        <f>IF(base!I195&lt;&gt;"",VLOOKUP(I195,de_para!$A$1:$B$31,2,0)*base!J195,0)</f>
        <v/>
      </c>
      <c r="L195" s="38" t="n"/>
      <c r="M195" s="29" t="n"/>
      <c r="N195" s="67">
        <f>IF(base!L195&lt;&gt;"",VLOOKUP(L195,de_para!$A$1:$B$31,2,0)*base!M195,0)</f>
        <v/>
      </c>
      <c r="O195" s="38" t="n"/>
      <c r="P195" s="29" t="n"/>
      <c r="Q195" s="67">
        <f>IF(base!O195&lt;&gt;"",VLOOKUP(O195,de_para!$A$1:$B$31,2,0)*base!P195,0)</f>
        <v/>
      </c>
      <c r="R195" s="38" t="n"/>
      <c r="S195" s="29" t="n"/>
      <c r="T195" s="67">
        <f>IF(base!R195&lt;&gt;"",VLOOKUP(R195,de_para!$A$1:$B$31,2,0)*base!S195,0)</f>
        <v/>
      </c>
      <c r="U195" s="68">
        <f>H195+K195+N195+Q195+T195</f>
        <v/>
      </c>
    </row>
    <row r="196">
      <c r="A196" s="29" t="n"/>
      <c r="B196" s="29" t="n"/>
      <c r="C196" s="29" t="n"/>
      <c r="D196" s="29" t="n"/>
      <c r="E196" s="29" t="n"/>
      <c r="F196" s="29" t="n"/>
      <c r="G196" s="29" t="n"/>
      <c r="H196" s="67">
        <f>IF(base!F196&lt;&gt;"",VLOOKUP(F196,de_para!$A$1:$B$31,2,0)*base!G196,0)</f>
        <v/>
      </c>
      <c r="I196" s="38" t="n"/>
      <c r="J196" s="29" t="n"/>
      <c r="K196" s="67">
        <f>IF(base!I196&lt;&gt;"",VLOOKUP(I196,de_para!$A$1:$B$31,2,0)*base!J196,0)</f>
        <v/>
      </c>
      <c r="L196" s="38" t="n"/>
      <c r="M196" s="29" t="n"/>
      <c r="N196" s="67">
        <f>IF(base!L196&lt;&gt;"",VLOOKUP(L196,de_para!$A$1:$B$31,2,0)*base!M196,0)</f>
        <v/>
      </c>
      <c r="O196" s="38" t="n"/>
      <c r="P196" s="29" t="n"/>
      <c r="Q196" s="67">
        <f>IF(base!O196&lt;&gt;"",VLOOKUP(O196,de_para!$A$1:$B$31,2,0)*base!P196,0)</f>
        <v/>
      </c>
      <c r="R196" s="38" t="n"/>
      <c r="S196" s="29" t="n"/>
      <c r="T196" s="67">
        <f>IF(base!R196&lt;&gt;"",VLOOKUP(R196,de_para!$A$1:$B$31,2,0)*base!S196,0)</f>
        <v/>
      </c>
      <c r="U196" s="68">
        <f>H196+K196+N196+Q196+T196</f>
        <v/>
      </c>
    </row>
    <row r="197">
      <c r="A197" s="29" t="n"/>
      <c r="B197" s="29" t="n"/>
      <c r="C197" s="29" t="n"/>
      <c r="D197" s="29" t="n"/>
      <c r="E197" s="29" t="n"/>
      <c r="F197" s="29" t="n"/>
      <c r="G197" s="29" t="n"/>
      <c r="H197" s="67">
        <f>IF(base!F197&lt;&gt;"",VLOOKUP(F197,de_para!$A$1:$B$31,2,0)*base!G197,0)</f>
        <v/>
      </c>
      <c r="I197" s="38" t="n"/>
      <c r="J197" s="29" t="n"/>
      <c r="K197" s="67">
        <f>IF(base!I197&lt;&gt;"",VLOOKUP(I197,de_para!$A$1:$B$31,2,0)*base!J197,0)</f>
        <v/>
      </c>
      <c r="L197" s="38" t="n"/>
      <c r="M197" s="29" t="n"/>
      <c r="N197" s="67">
        <f>IF(base!L197&lt;&gt;"",VLOOKUP(L197,de_para!$A$1:$B$31,2,0)*base!M197,0)</f>
        <v/>
      </c>
      <c r="O197" s="38" t="n"/>
      <c r="P197" s="29" t="n"/>
      <c r="Q197" s="67">
        <f>IF(base!O197&lt;&gt;"",VLOOKUP(O197,de_para!$A$1:$B$31,2,0)*base!P197,0)</f>
        <v/>
      </c>
      <c r="R197" s="38" t="n"/>
      <c r="S197" s="29" t="n"/>
      <c r="T197" s="67">
        <f>IF(base!R197&lt;&gt;"",VLOOKUP(R197,de_para!$A$1:$B$31,2,0)*base!S197,0)</f>
        <v/>
      </c>
      <c r="U197" s="68">
        <f>H197+K197+N197+Q197+T197</f>
        <v/>
      </c>
    </row>
    <row r="198">
      <c r="A198" s="29" t="n"/>
      <c r="B198" s="29" t="n"/>
      <c r="C198" s="29" t="n"/>
      <c r="D198" s="29" t="n"/>
      <c r="E198" s="29" t="n"/>
      <c r="F198" s="29" t="n"/>
      <c r="G198" s="29" t="n"/>
      <c r="H198" s="67">
        <f>IF(base!F198&lt;&gt;"",VLOOKUP(F198,de_para!$A$1:$B$31,2,0)*base!G198,0)</f>
        <v/>
      </c>
      <c r="I198" s="38" t="n"/>
      <c r="J198" s="29" t="n"/>
      <c r="K198" s="67">
        <f>IF(base!I198&lt;&gt;"",VLOOKUP(I198,de_para!$A$1:$B$31,2,0)*base!J198,0)</f>
        <v/>
      </c>
      <c r="L198" s="38" t="n"/>
      <c r="M198" s="29" t="n"/>
      <c r="N198" s="67">
        <f>IF(base!L198&lt;&gt;"",VLOOKUP(L198,de_para!$A$1:$B$31,2,0)*base!M198,0)</f>
        <v/>
      </c>
      <c r="O198" s="38" t="n"/>
      <c r="P198" s="29" t="n"/>
      <c r="Q198" s="67">
        <f>IF(base!O198&lt;&gt;"",VLOOKUP(O198,de_para!$A$1:$B$31,2,0)*base!P198,0)</f>
        <v/>
      </c>
      <c r="R198" s="38" t="n"/>
      <c r="S198" s="29" t="n"/>
      <c r="T198" s="67">
        <f>IF(base!R198&lt;&gt;"",VLOOKUP(R198,de_para!$A$1:$B$31,2,0)*base!S198,0)</f>
        <v/>
      </c>
      <c r="U198" s="68">
        <f>H198+K198+N198+Q198+T198</f>
        <v/>
      </c>
    </row>
    <row r="199">
      <c r="A199" s="29" t="n"/>
      <c r="B199" s="29" t="n"/>
      <c r="C199" s="29" t="n"/>
      <c r="D199" s="29" t="n"/>
      <c r="E199" s="29" t="n"/>
      <c r="F199" s="29" t="n"/>
      <c r="G199" s="29" t="n"/>
      <c r="H199" s="67">
        <f>IF(base!F199&lt;&gt;"",VLOOKUP(F199,de_para!$A$1:$B$31,2,0)*base!G199,0)</f>
        <v/>
      </c>
      <c r="I199" s="38" t="n"/>
      <c r="J199" s="29" t="n"/>
      <c r="K199" s="67">
        <f>IF(base!I199&lt;&gt;"",VLOOKUP(I199,de_para!$A$1:$B$31,2,0)*base!J199,0)</f>
        <v/>
      </c>
      <c r="L199" s="38" t="n"/>
      <c r="M199" s="29" t="n"/>
      <c r="N199" s="67">
        <f>IF(base!L199&lt;&gt;"",VLOOKUP(L199,de_para!$A$1:$B$31,2,0)*base!M199,0)</f>
        <v/>
      </c>
      <c r="O199" s="38" t="n"/>
      <c r="P199" s="29" t="n"/>
      <c r="Q199" s="67">
        <f>IF(base!O199&lt;&gt;"",VLOOKUP(O199,de_para!$A$1:$B$31,2,0)*base!P199,0)</f>
        <v/>
      </c>
      <c r="R199" s="38" t="n"/>
      <c r="S199" s="29" t="n"/>
      <c r="T199" s="67">
        <f>IF(base!R199&lt;&gt;"",VLOOKUP(R199,de_para!$A$1:$B$31,2,0)*base!S199,0)</f>
        <v/>
      </c>
      <c r="U199" s="68">
        <f>H199+K199+N199+Q199+T199</f>
        <v/>
      </c>
    </row>
    <row r="200">
      <c r="A200" s="29" t="n"/>
      <c r="B200" s="29" t="n"/>
      <c r="C200" s="29" t="n"/>
      <c r="D200" s="29" t="n"/>
      <c r="E200" s="29" t="n"/>
      <c r="F200" s="29" t="n"/>
      <c r="G200" s="29" t="n"/>
      <c r="H200" s="67">
        <f>IF(base!F200&lt;&gt;"",VLOOKUP(F200,de_para!$A$1:$B$31,2,0)*base!G200,0)</f>
        <v/>
      </c>
      <c r="I200" s="38" t="n"/>
      <c r="J200" s="29" t="n"/>
      <c r="K200" s="67">
        <f>IF(base!I200&lt;&gt;"",VLOOKUP(I200,de_para!$A$1:$B$31,2,0)*base!J200,0)</f>
        <v/>
      </c>
      <c r="L200" s="38" t="n"/>
      <c r="M200" s="29" t="n"/>
      <c r="N200" s="67">
        <f>IF(base!L200&lt;&gt;"",VLOOKUP(L200,de_para!$A$1:$B$31,2,0)*base!M200,0)</f>
        <v/>
      </c>
      <c r="O200" s="38" t="n"/>
      <c r="P200" s="29" t="n"/>
      <c r="Q200" s="67">
        <f>IF(base!O200&lt;&gt;"",VLOOKUP(O200,de_para!$A$1:$B$31,2,0)*base!P200,0)</f>
        <v/>
      </c>
      <c r="R200" s="38" t="n"/>
      <c r="S200" s="29" t="n"/>
      <c r="T200" s="67">
        <f>IF(base!R200&lt;&gt;"",VLOOKUP(R200,de_para!$A$1:$B$31,2,0)*base!S200,0)</f>
        <v/>
      </c>
      <c r="U200" s="68">
        <f>H200+K200+N200+Q200+T200</f>
        <v/>
      </c>
    </row>
    <row r="201">
      <c r="A201" s="29" t="n"/>
      <c r="B201" s="29" t="n"/>
      <c r="C201" s="29" t="n"/>
      <c r="D201" s="29" t="n"/>
      <c r="E201" s="29" t="n"/>
      <c r="F201" s="29" t="n"/>
      <c r="G201" s="29" t="n"/>
      <c r="H201" s="67">
        <f>IF(base!F201&lt;&gt;"",VLOOKUP(F201,de_para!$A$1:$B$31,2,0)*base!G201,0)</f>
        <v/>
      </c>
      <c r="I201" s="38" t="n"/>
      <c r="J201" s="29" t="n"/>
      <c r="K201" s="67">
        <f>IF(base!I201&lt;&gt;"",VLOOKUP(I201,de_para!$A$1:$B$31,2,0)*base!J201,0)</f>
        <v/>
      </c>
      <c r="L201" s="38" t="n"/>
      <c r="M201" s="29" t="n"/>
      <c r="N201" s="67">
        <f>IF(base!L201&lt;&gt;"",VLOOKUP(L201,de_para!$A$1:$B$31,2,0)*base!M201,0)</f>
        <v/>
      </c>
      <c r="O201" s="38" t="n"/>
      <c r="P201" s="29" t="n"/>
      <c r="Q201" s="67">
        <f>IF(base!O201&lt;&gt;"",VLOOKUP(O201,de_para!$A$1:$B$31,2,0)*base!P201,0)</f>
        <v/>
      </c>
      <c r="R201" s="38" t="n"/>
      <c r="S201" s="29" t="n"/>
      <c r="T201" s="67">
        <f>IF(base!R201&lt;&gt;"",VLOOKUP(R201,de_para!$A$1:$B$31,2,0)*base!S201,0)</f>
        <v/>
      </c>
      <c r="U201" s="68">
        <f>H201+K201+N201+Q201+T201</f>
        <v/>
      </c>
    </row>
    <row r="202">
      <c r="A202" s="29" t="n"/>
      <c r="B202" s="29" t="n"/>
      <c r="C202" s="29" t="n"/>
      <c r="D202" s="29" t="n"/>
      <c r="E202" s="29" t="n"/>
      <c r="F202" s="29" t="n"/>
      <c r="G202" s="29" t="n"/>
      <c r="H202" s="67">
        <f>IF(base!F202&lt;&gt;"",VLOOKUP(F202,de_para!$A$1:$B$31,2,0)*base!G202,0)</f>
        <v/>
      </c>
      <c r="I202" s="38" t="n"/>
      <c r="J202" s="29" t="n"/>
      <c r="K202" s="67">
        <f>IF(base!I202&lt;&gt;"",VLOOKUP(I202,de_para!$A$1:$B$31,2,0)*base!J202,0)</f>
        <v/>
      </c>
      <c r="L202" s="38" t="n"/>
      <c r="M202" s="29" t="n"/>
      <c r="N202" s="67">
        <f>IF(base!L202&lt;&gt;"",VLOOKUP(L202,de_para!$A$1:$B$31,2,0)*base!M202,0)</f>
        <v/>
      </c>
      <c r="O202" s="38" t="n"/>
      <c r="P202" s="29" t="n"/>
      <c r="Q202" s="67">
        <f>IF(base!O202&lt;&gt;"",VLOOKUP(O202,de_para!$A$1:$B$31,2,0)*base!P202,0)</f>
        <v/>
      </c>
      <c r="R202" s="38" t="n"/>
      <c r="S202" s="29" t="n"/>
      <c r="T202" s="67">
        <f>IF(base!R202&lt;&gt;"",VLOOKUP(R202,de_para!$A$1:$B$31,2,0)*base!S202,0)</f>
        <v/>
      </c>
      <c r="U202" s="68">
        <f>H202+K202+N202+Q202+T202</f>
        <v/>
      </c>
    </row>
    <row r="203">
      <c r="A203" s="29" t="n"/>
      <c r="B203" s="29" t="n"/>
      <c r="C203" s="29" t="n"/>
      <c r="D203" s="29" t="n"/>
      <c r="E203" s="29" t="n"/>
      <c r="F203" s="29" t="n"/>
      <c r="G203" s="29" t="n"/>
      <c r="H203" s="67">
        <f>IF(base!F203&lt;&gt;"",VLOOKUP(F203,de_para!$A$1:$B$31,2,0)*base!G203,0)</f>
        <v/>
      </c>
      <c r="I203" s="38" t="n"/>
      <c r="J203" s="29" t="n"/>
      <c r="K203" s="67">
        <f>IF(base!I203&lt;&gt;"",VLOOKUP(I203,de_para!$A$1:$B$31,2,0)*base!J203,0)</f>
        <v/>
      </c>
      <c r="L203" s="38" t="n"/>
      <c r="M203" s="29" t="n"/>
      <c r="N203" s="67">
        <f>IF(base!L203&lt;&gt;"",VLOOKUP(L203,de_para!$A$1:$B$31,2,0)*base!M203,0)</f>
        <v/>
      </c>
      <c r="O203" s="38" t="n"/>
      <c r="P203" s="29" t="n"/>
      <c r="Q203" s="67">
        <f>IF(base!O203&lt;&gt;"",VLOOKUP(O203,de_para!$A$1:$B$31,2,0)*base!P203,0)</f>
        <v/>
      </c>
      <c r="R203" s="38" t="n"/>
      <c r="S203" s="29" t="n"/>
      <c r="T203" s="67">
        <f>IF(base!R203&lt;&gt;"",VLOOKUP(R203,de_para!$A$1:$B$31,2,0)*base!S203,0)</f>
        <v/>
      </c>
      <c r="U203" s="68">
        <f>H203+K203+N203+Q203+T203</f>
        <v/>
      </c>
    </row>
    <row r="204">
      <c r="A204" s="29" t="n"/>
      <c r="B204" s="29" t="n"/>
      <c r="C204" s="29" t="n"/>
      <c r="D204" s="29" t="n"/>
      <c r="E204" s="29" t="n"/>
      <c r="F204" s="29" t="n"/>
      <c r="G204" s="29" t="n"/>
      <c r="H204" s="67">
        <f>IF(base!F204&lt;&gt;"",VLOOKUP(F204,de_para!$A$1:$B$31,2,0)*base!G204,0)</f>
        <v/>
      </c>
      <c r="I204" s="38" t="n"/>
      <c r="J204" s="29" t="n"/>
      <c r="K204" s="67">
        <f>IF(base!I204&lt;&gt;"",VLOOKUP(I204,de_para!$A$1:$B$31,2,0)*base!J204,0)</f>
        <v/>
      </c>
      <c r="L204" s="38" t="n"/>
      <c r="M204" s="29" t="n"/>
      <c r="N204" s="67">
        <f>IF(base!L204&lt;&gt;"",VLOOKUP(L204,de_para!$A$1:$B$31,2,0)*base!M204,0)</f>
        <v/>
      </c>
      <c r="O204" s="38" t="n"/>
      <c r="P204" s="29" t="n"/>
      <c r="Q204" s="67">
        <f>IF(base!O204&lt;&gt;"",VLOOKUP(O204,de_para!$A$1:$B$31,2,0)*base!P204,0)</f>
        <v/>
      </c>
      <c r="R204" s="38" t="n"/>
      <c r="S204" s="29" t="n"/>
      <c r="T204" s="67">
        <f>IF(base!R204&lt;&gt;"",VLOOKUP(R204,de_para!$A$1:$B$31,2,0)*base!S204,0)</f>
        <v/>
      </c>
      <c r="U204" s="68">
        <f>H204+K204+N204+Q204+T204</f>
        <v/>
      </c>
    </row>
    <row r="205">
      <c r="A205" s="29" t="n"/>
      <c r="B205" s="29" t="n"/>
      <c r="C205" s="29" t="n"/>
      <c r="D205" s="29" t="n"/>
      <c r="E205" s="29" t="n"/>
      <c r="F205" s="29" t="n"/>
      <c r="G205" s="29" t="n"/>
      <c r="H205" s="67">
        <f>IF(base!F205&lt;&gt;"",VLOOKUP(F205,de_para!$A$1:$B$31,2,0)*base!G205,0)</f>
        <v/>
      </c>
      <c r="I205" s="38" t="n"/>
      <c r="J205" s="29" t="n"/>
      <c r="K205" s="67">
        <f>IF(base!I205&lt;&gt;"",VLOOKUP(I205,de_para!$A$1:$B$31,2,0)*base!J205,0)</f>
        <v/>
      </c>
      <c r="L205" s="38" t="n"/>
      <c r="M205" s="29" t="n"/>
      <c r="N205" s="67">
        <f>IF(base!L205&lt;&gt;"",VLOOKUP(L205,de_para!$A$1:$B$31,2,0)*base!M205,0)</f>
        <v/>
      </c>
      <c r="O205" s="38" t="n"/>
      <c r="P205" s="29" t="n"/>
      <c r="Q205" s="67">
        <f>IF(base!O205&lt;&gt;"",VLOOKUP(O205,de_para!$A$1:$B$31,2,0)*base!P205,0)</f>
        <v/>
      </c>
      <c r="R205" s="38" t="n"/>
      <c r="S205" s="29" t="n"/>
      <c r="T205" s="67">
        <f>IF(base!R205&lt;&gt;"",VLOOKUP(R205,de_para!$A$1:$B$31,2,0)*base!S205,0)</f>
        <v/>
      </c>
      <c r="U205" s="68">
        <f>H205+K205+N205+Q205+T205</f>
        <v/>
      </c>
    </row>
    <row r="206">
      <c r="A206" s="29" t="n"/>
      <c r="B206" s="29" t="n"/>
      <c r="C206" s="29" t="n"/>
      <c r="D206" s="29" t="n"/>
      <c r="E206" s="29" t="n"/>
      <c r="F206" s="29" t="n"/>
      <c r="G206" s="29" t="n"/>
      <c r="H206" s="67">
        <f>IF(base!F206&lt;&gt;"",VLOOKUP(F206,de_para!$A$1:$B$31,2,0)*base!G206,0)</f>
        <v/>
      </c>
      <c r="I206" s="38" t="n"/>
      <c r="J206" s="29" t="n"/>
      <c r="K206" s="67">
        <f>IF(base!I206&lt;&gt;"",VLOOKUP(I206,de_para!$A$1:$B$31,2,0)*base!J206,0)</f>
        <v/>
      </c>
      <c r="L206" s="38" t="n"/>
      <c r="M206" s="29" t="n"/>
      <c r="N206" s="67">
        <f>IF(base!L206&lt;&gt;"",VLOOKUP(L206,de_para!$A$1:$B$31,2,0)*base!M206,0)</f>
        <v/>
      </c>
      <c r="O206" s="38" t="n"/>
      <c r="P206" s="29" t="n"/>
      <c r="Q206" s="67">
        <f>IF(base!O206&lt;&gt;"",VLOOKUP(O206,de_para!$A$1:$B$31,2,0)*base!P206,0)</f>
        <v/>
      </c>
      <c r="R206" s="38" t="n"/>
      <c r="S206" s="29" t="n"/>
      <c r="T206" s="67">
        <f>IF(base!R206&lt;&gt;"",VLOOKUP(R206,de_para!$A$1:$B$31,2,0)*base!S206,0)</f>
        <v/>
      </c>
      <c r="U206" s="68">
        <f>H206+K206+N206+Q206+T206</f>
        <v/>
      </c>
    </row>
    <row r="207">
      <c r="A207" s="29" t="n"/>
      <c r="B207" s="29" t="n"/>
      <c r="C207" s="29" t="n"/>
      <c r="D207" s="29" t="n"/>
      <c r="E207" s="29" t="n"/>
      <c r="F207" s="29" t="n"/>
      <c r="G207" s="29" t="n"/>
      <c r="H207" s="67">
        <f>IF(base!F207&lt;&gt;"",VLOOKUP(F207,de_para!$A$1:$B$31,2,0)*base!G207,0)</f>
        <v/>
      </c>
      <c r="I207" s="38" t="n"/>
      <c r="J207" s="29" t="n"/>
      <c r="K207" s="67">
        <f>IF(base!I207&lt;&gt;"",VLOOKUP(I207,de_para!$A$1:$B$31,2,0)*base!J207,0)</f>
        <v/>
      </c>
      <c r="L207" s="38" t="n"/>
      <c r="M207" s="29" t="n"/>
      <c r="N207" s="67">
        <f>IF(base!L207&lt;&gt;"",VLOOKUP(L207,de_para!$A$1:$B$31,2,0)*base!M207,0)</f>
        <v/>
      </c>
      <c r="O207" s="38" t="n"/>
      <c r="P207" s="29" t="n"/>
      <c r="Q207" s="67">
        <f>IF(base!O207&lt;&gt;"",VLOOKUP(O207,de_para!$A$1:$B$31,2,0)*base!P207,0)</f>
        <v/>
      </c>
      <c r="R207" s="38" t="n"/>
      <c r="S207" s="29" t="n"/>
      <c r="T207" s="67">
        <f>IF(base!R207&lt;&gt;"",VLOOKUP(R207,de_para!$A$1:$B$31,2,0)*base!S207,0)</f>
        <v/>
      </c>
      <c r="U207" s="68">
        <f>H207+K207+N207+Q207+T207</f>
        <v/>
      </c>
    </row>
    <row r="208">
      <c r="A208" s="29" t="n"/>
      <c r="B208" s="29" t="n"/>
      <c r="C208" s="29" t="n"/>
      <c r="D208" s="29" t="n"/>
      <c r="E208" s="29" t="n"/>
      <c r="F208" s="29" t="n"/>
      <c r="G208" s="29" t="n"/>
      <c r="H208" s="67">
        <f>IF(base!F208&lt;&gt;"",VLOOKUP(F208,de_para!$A$1:$B$31,2,0)*base!G208,0)</f>
        <v/>
      </c>
      <c r="I208" s="38" t="n"/>
      <c r="J208" s="29" t="n"/>
      <c r="K208" s="67">
        <f>IF(base!I208&lt;&gt;"",VLOOKUP(I208,de_para!$A$1:$B$31,2,0)*base!J208,0)</f>
        <v/>
      </c>
      <c r="L208" s="38" t="n"/>
      <c r="M208" s="29" t="n"/>
      <c r="N208" s="67">
        <f>IF(base!L208&lt;&gt;"",VLOOKUP(L208,de_para!$A$1:$B$31,2,0)*base!M208,0)</f>
        <v/>
      </c>
      <c r="O208" s="38" t="n"/>
      <c r="P208" s="29" t="n"/>
      <c r="Q208" s="67">
        <f>IF(base!O208&lt;&gt;"",VLOOKUP(O208,de_para!$A$1:$B$31,2,0)*base!P208,0)</f>
        <v/>
      </c>
      <c r="R208" s="38" t="n"/>
      <c r="S208" s="29" t="n"/>
      <c r="T208" s="67">
        <f>IF(base!R208&lt;&gt;"",VLOOKUP(R208,de_para!$A$1:$B$31,2,0)*base!S208,0)</f>
        <v/>
      </c>
      <c r="U208" s="68">
        <f>H208+K208+N208+Q208+T208</f>
        <v/>
      </c>
    </row>
    <row r="209">
      <c r="A209" s="29" t="n"/>
      <c r="B209" s="29" t="n"/>
      <c r="C209" s="29" t="n"/>
      <c r="D209" s="29" t="n"/>
      <c r="E209" s="29" t="n"/>
      <c r="F209" s="29" t="n"/>
      <c r="G209" s="29" t="n"/>
      <c r="H209" s="67">
        <f>IF(base!F209&lt;&gt;"",VLOOKUP(F209,de_para!$A$1:$B$31,2,0)*base!G209,0)</f>
        <v/>
      </c>
      <c r="I209" s="38" t="n"/>
      <c r="J209" s="29" t="n"/>
      <c r="K209" s="67">
        <f>IF(base!I209&lt;&gt;"",VLOOKUP(I209,de_para!$A$1:$B$31,2,0)*base!J209,0)</f>
        <v/>
      </c>
      <c r="L209" s="38" t="n"/>
      <c r="M209" s="29" t="n"/>
      <c r="N209" s="67">
        <f>IF(base!L209&lt;&gt;"",VLOOKUP(L209,de_para!$A$1:$B$31,2,0)*base!M209,0)</f>
        <v/>
      </c>
      <c r="O209" s="38" t="n"/>
      <c r="P209" s="29" t="n"/>
      <c r="Q209" s="67">
        <f>IF(base!O209&lt;&gt;"",VLOOKUP(O209,de_para!$A$1:$B$31,2,0)*base!P209,0)</f>
        <v/>
      </c>
      <c r="R209" s="38" t="n"/>
      <c r="S209" s="29" t="n"/>
      <c r="T209" s="67">
        <f>IF(base!R209&lt;&gt;"",VLOOKUP(R209,de_para!$A$1:$B$31,2,0)*base!S209,0)</f>
        <v/>
      </c>
      <c r="U209" s="68">
        <f>H209+K209+N209+Q209+T209</f>
        <v/>
      </c>
    </row>
    <row r="210">
      <c r="A210" s="29" t="n"/>
      <c r="B210" s="29" t="n"/>
      <c r="C210" s="29" t="n"/>
      <c r="D210" s="29" t="n"/>
      <c r="E210" s="29" t="n"/>
      <c r="F210" s="29" t="n"/>
      <c r="G210" s="29" t="n"/>
      <c r="H210" s="67">
        <f>IF(base!F210&lt;&gt;"",VLOOKUP(F210,de_para!$A$1:$B$31,2,0)*base!G210,0)</f>
        <v/>
      </c>
      <c r="I210" s="38" t="n"/>
      <c r="J210" s="29" t="n"/>
      <c r="K210" s="67">
        <f>IF(base!I210&lt;&gt;"",VLOOKUP(I210,de_para!$A$1:$B$31,2,0)*base!J210,0)</f>
        <v/>
      </c>
      <c r="L210" s="38" t="n"/>
      <c r="M210" s="29" t="n"/>
      <c r="N210" s="67">
        <f>IF(base!L210&lt;&gt;"",VLOOKUP(L210,de_para!$A$1:$B$31,2,0)*base!M210,0)</f>
        <v/>
      </c>
      <c r="O210" s="38" t="n"/>
      <c r="P210" s="29" t="n"/>
      <c r="Q210" s="67">
        <f>IF(base!O210&lt;&gt;"",VLOOKUP(O210,de_para!$A$1:$B$31,2,0)*base!P210,0)</f>
        <v/>
      </c>
      <c r="R210" s="38" t="n"/>
      <c r="S210" s="29" t="n"/>
      <c r="T210" s="67">
        <f>IF(base!R210&lt;&gt;"",VLOOKUP(R210,de_para!$A$1:$B$31,2,0)*base!S210,0)</f>
        <v/>
      </c>
      <c r="U210" s="68">
        <f>H210+K210+N210+Q210+T210</f>
        <v/>
      </c>
    </row>
    <row r="211">
      <c r="A211" s="29" t="n"/>
      <c r="B211" s="29" t="n"/>
      <c r="C211" s="29" t="n"/>
      <c r="D211" s="29" t="n"/>
      <c r="E211" s="29" t="n"/>
      <c r="F211" s="29" t="n"/>
      <c r="G211" s="29" t="n"/>
      <c r="H211" s="67">
        <f>IF(base!F211&lt;&gt;"",VLOOKUP(F211,de_para!$A$1:$B$31,2,0)*base!G211,0)</f>
        <v/>
      </c>
      <c r="I211" s="38" t="n"/>
      <c r="J211" s="29" t="n"/>
      <c r="K211" s="67">
        <f>IF(base!I211&lt;&gt;"",VLOOKUP(I211,de_para!$A$1:$B$31,2,0)*base!J211,0)</f>
        <v/>
      </c>
      <c r="L211" s="38" t="n"/>
      <c r="M211" s="29" t="n"/>
      <c r="N211" s="67">
        <f>IF(base!L211&lt;&gt;"",VLOOKUP(L211,de_para!$A$1:$B$31,2,0)*base!M211,0)</f>
        <v/>
      </c>
      <c r="O211" s="38" t="n"/>
      <c r="P211" s="29" t="n"/>
      <c r="Q211" s="67">
        <f>IF(base!O211&lt;&gt;"",VLOOKUP(O211,de_para!$A$1:$B$31,2,0)*base!P211,0)</f>
        <v/>
      </c>
      <c r="R211" s="38" t="n"/>
      <c r="S211" s="29" t="n"/>
      <c r="T211" s="67">
        <f>IF(base!R211&lt;&gt;"",VLOOKUP(R211,de_para!$A$1:$B$31,2,0)*base!S211,0)</f>
        <v/>
      </c>
      <c r="U211" s="68">
        <f>H211+K211+N211+Q211+T211</f>
        <v/>
      </c>
    </row>
    <row r="212">
      <c r="A212" s="29" t="n"/>
      <c r="B212" s="29" t="n"/>
      <c r="C212" s="29" t="n"/>
      <c r="D212" s="29" t="n"/>
      <c r="E212" s="29" t="n"/>
      <c r="F212" s="29" t="n"/>
      <c r="G212" s="29" t="n"/>
      <c r="H212" s="67">
        <f>IF(base!F212&lt;&gt;"",VLOOKUP(F212,de_para!$A$1:$B$31,2,0)*base!G212,0)</f>
        <v/>
      </c>
      <c r="I212" s="38" t="n"/>
      <c r="J212" s="29" t="n"/>
      <c r="K212" s="67">
        <f>IF(base!I212&lt;&gt;"",VLOOKUP(I212,de_para!$A$1:$B$31,2,0)*base!J212,0)</f>
        <v/>
      </c>
      <c r="L212" s="38" t="n"/>
      <c r="M212" s="29" t="n"/>
      <c r="N212" s="67">
        <f>IF(base!L212&lt;&gt;"",VLOOKUP(L212,de_para!$A$1:$B$31,2,0)*base!M212,0)</f>
        <v/>
      </c>
      <c r="O212" s="38" t="n"/>
      <c r="P212" s="29" t="n"/>
      <c r="Q212" s="67">
        <f>IF(base!O212&lt;&gt;"",VLOOKUP(O212,de_para!$A$1:$B$31,2,0)*base!P212,0)</f>
        <v/>
      </c>
      <c r="R212" s="38" t="n"/>
      <c r="S212" s="29" t="n"/>
      <c r="T212" s="67">
        <f>IF(base!R212&lt;&gt;"",VLOOKUP(R212,de_para!$A$1:$B$31,2,0)*base!S212,0)</f>
        <v/>
      </c>
      <c r="U212" s="68">
        <f>H212+K212+N212+Q212+T212</f>
        <v/>
      </c>
    </row>
    <row r="213">
      <c r="A213" s="29" t="n"/>
      <c r="B213" s="29" t="n"/>
      <c r="C213" s="29" t="n"/>
      <c r="D213" s="29" t="n"/>
      <c r="E213" s="29" t="n"/>
      <c r="F213" s="29" t="n"/>
      <c r="G213" s="29" t="n"/>
      <c r="H213" s="67">
        <f>IF(base!F213&lt;&gt;"",VLOOKUP(F213,de_para!$A$1:$B$31,2,0)*base!G213,0)</f>
        <v/>
      </c>
      <c r="I213" s="38" t="n"/>
      <c r="J213" s="29" t="n"/>
      <c r="K213" s="67">
        <f>IF(base!I213&lt;&gt;"",VLOOKUP(I213,de_para!$A$1:$B$31,2,0)*base!J213,0)</f>
        <v/>
      </c>
      <c r="L213" s="38" t="n"/>
      <c r="M213" s="29" t="n"/>
      <c r="N213" s="67">
        <f>IF(base!L213&lt;&gt;"",VLOOKUP(L213,de_para!$A$1:$B$31,2,0)*base!M213,0)</f>
        <v/>
      </c>
      <c r="O213" s="38" t="n"/>
      <c r="P213" s="29" t="n"/>
      <c r="Q213" s="67">
        <f>IF(base!O213&lt;&gt;"",VLOOKUP(O213,de_para!$A$1:$B$31,2,0)*base!P213,0)</f>
        <v/>
      </c>
      <c r="R213" s="38" t="n"/>
      <c r="S213" s="29" t="n"/>
      <c r="T213" s="67">
        <f>IF(base!R213&lt;&gt;"",VLOOKUP(R213,de_para!$A$1:$B$31,2,0)*base!S213,0)</f>
        <v/>
      </c>
      <c r="U213" s="68">
        <f>H213+K213+N213+Q213+T213</f>
        <v/>
      </c>
    </row>
    <row r="214">
      <c r="A214" s="29" t="n"/>
      <c r="B214" s="29" t="n"/>
      <c r="C214" s="29" t="n"/>
      <c r="D214" s="29" t="n"/>
      <c r="E214" s="29" t="n"/>
      <c r="F214" s="29" t="n"/>
      <c r="G214" s="29" t="n"/>
      <c r="H214" s="67">
        <f>IF(base!F214&lt;&gt;"",VLOOKUP(F214,de_para!$A$1:$B$31,2,0)*base!G214,0)</f>
        <v/>
      </c>
      <c r="I214" s="38" t="n"/>
      <c r="J214" s="29" t="n"/>
      <c r="K214" s="67">
        <f>IF(base!I214&lt;&gt;"",VLOOKUP(I214,de_para!$A$1:$B$31,2,0)*base!J214,0)</f>
        <v/>
      </c>
      <c r="L214" s="38" t="n"/>
      <c r="M214" s="29" t="n"/>
      <c r="N214" s="67">
        <f>IF(base!L214&lt;&gt;"",VLOOKUP(L214,de_para!$A$1:$B$31,2,0)*base!M214,0)</f>
        <v/>
      </c>
      <c r="O214" s="38" t="n"/>
      <c r="P214" s="29" t="n"/>
      <c r="Q214" s="67">
        <f>IF(base!O214&lt;&gt;"",VLOOKUP(O214,de_para!$A$1:$B$31,2,0)*base!P214,0)</f>
        <v/>
      </c>
      <c r="R214" s="38" t="n"/>
      <c r="S214" s="29" t="n"/>
      <c r="T214" s="67">
        <f>IF(base!R214&lt;&gt;"",VLOOKUP(R214,de_para!$A$1:$B$31,2,0)*base!S214,0)</f>
        <v/>
      </c>
      <c r="U214" s="68">
        <f>H214+K214+N214+Q214+T214</f>
        <v/>
      </c>
    </row>
    <row r="215">
      <c r="A215" s="29" t="n"/>
      <c r="B215" s="29" t="n"/>
      <c r="C215" s="29" t="n"/>
      <c r="D215" s="29" t="n"/>
      <c r="E215" s="29" t="n"/>
      <c r="F215" s="29" t="n"/>
      <c r="G215" s="29" t="n"/>
      <c r="H215" s="67">
        <f>IF(base!F215&lt;&gt;"",VLOOKUP(F215,de_para!$A$1:$B$31,2,0)*base!G215,0)</f>
        <v/>
      </c>
      <c r="I215" s="38" t="n"/>
      <c r="J215" s="29" t="n"/>
      <c r="K215" s="67">
        <f>IF(base!I215&lt;&gt;"",VLOOKUP(I215,de_para!$A$1:$B$31,2,0)*base!J215,0)</f>
        <v/>
      </c>
      <c r="L215" s="38" t="n"/>
      <c r="M215" s="29" t="n"/>
      <c r="N215" s="67">
        <f>IF(base!L215&lt;&gt;"",VLOOKUP(L215,de_para!$A$1:$B$31,2,0)*base!M215,0)</f>
        <v/>
      </c>
      <c r="O215" s="38" t="n"/>
      <c r="P215" s="29" t="n"/>
      <c r="Q215" s="67">
        <f>IF(base!O215&lt;&gt;"",VLOOKUP(O215,de_para!$A$1:$B$31,2,0)*base!P215,0)</f>
        <v/>
      </c>
      <c r="R215" s="38" t="n"/>
      <c r="S215" s="29" t="n"/>
      <c r="T215" s="67">
        <f>IF(base!R215&lt;&gt;"",VLOOKUP(R215,de_para!$A$1:$B$31,2,0)*base!S215,0)</f>
        <v/>
      </c>
      <c r="U215" s="68">
        <f>H215+K215+N215+Q215+T215</f>
        <v/>
      </c>
    </row>
    <row r="216">
      <c r="A216" s="29" t="n"/>
      <c r="B216" s="29" t="n"/>
      <c r="C216" s="29" t="n"/>
      <c r="D216" s="29" t="n"/>
      <c r="E216" s="29" t="n"/>
      <c r="F216" s="29" t="n"/>
      <c r="G216" s="29" t="n"/>
      <c r="H216" s="67">
        <f>IF(base!F216&lt;&gt;"",VLOOKUP(F216,de_para!$A$1:$B$31,2,0)*base!G216,0)</f>
        <v/>
      </c>
      <c r="I216" s="38" t="n"/>
      <c r="J216" s="29" t="n"/>
      <c r="K216" s="67">
        <f>IF(base!I216&lt;&gt;"",VLOOKUP(I216,de_para!$A$1:$B$31,2,0)*base!J216,0)</f>
        <v/>
      </c>
      <c r="L216" s="38" t="n"/>
      <c r="M216" s="29" t="n"/>
      <c r="N216" s="67">
        <f>IF(base!L216&lt;&gt;"",VLOOKUP(L216,de_para!$A$1:$B$31,2,0)*base!M216,0)</f>
        <v/>
      </c>
      <c r="O216" s="38" t="n"/>
      <c r="P216" s="29" t="n"/>
      <c r="Q216" s="67">
        <f>IF(base!O216&lt;&gt;"",VLOOKUP(O216,de_para!$A$1:$B$31,2,0)*base!P216,0)</f>
        <v/>
      </c>
      <c r="R216" s="38" t="n"/>
      <c r="S216" s="29" t="n"/>
      <c r="T216" s="67">
        <f>IF(base!R216&lt;&gt;"",VLOOKUP(R216,de_para!$A$1:$B$31,2,0)*base!S216,0)</f>
        <v/>
      </c>
      <c r="U216" s="68">
        <f>H216+K216+N216+Q216+T216</f>
        <v/>
      </c>
    </row>
    <row r="217">
      <c r="A217" s="29" t="n"/>
      <c r="B217" s="29" t="n"/>
      <c r="C217" s="29" t="n"/>
      <c r="D217" s="29" t="n"/>
      <c r="E217" s="29" t="n"/>
      <c r="F217" s="29" t="n"/>
      <c r="G217" s="29" t="n"/>
      <c r="H217" s="67">
        <f>IF(base!F217&lt;&gt;"",VLOOKUP(F217,de_para!$A$1:$B$31,2,0)*base!G217,0)</f>
        <v/>
      </c>
      <c r="I217" s="38" t="n"/>
      <c r="J217" s="29" t="n"/>
      <c r="K217" s="67">
        <f>IF(base!I217&lt;&gt;"",VLOOKUP(I217,de_para!$A$1:$B$31,2,0)*base!J217,0)</f>
        <v/>
      </c>
      <c r="L217" s="38" t="n"/>
      <c r="M217" s="29" t="n"/>
      <c r="N217" s="67">
        <f>IF(base!L217&lt;&gt;"",VLOOKUP(L217,de_para!$A$1:$B$31,2,0)*base!M217,0)</f>
        <v/>
      </c>
      <c r="O217" s="38" t="n"/>
      <c r="P217" s="29" t="n"/>
      <c r="Q217" s="67">
        <f>IF(base!O217&lt;&gt;"",VLOOKUP(O217,de_para!$A$1:$B$31,2,0)*base!P217,0)</f>
        <v/>
      </c>
      <c r="R217" s="38" t="n"/>
      <c r="S217" s="29" t="n"/>
      <c r="T217" s="67">
        <f>IF(base!R217&lt;&gt;"",VLOOKUP(R217,de_para!$A$1:$B$31,2,0)*base!S217,0)</f>
        <v/>
      </c>
      <c r="U217" s="68">
        <f>H217+K217+N217+Q217+T217</f>
        <v/>
      </c>
    </row>
    <row r="218">
      <c r="A218" s="29" t="n"/>
      <c r="B218" s="29" t="n"/>
      <c r="C218" s="29" t="n"/>
      <c r="D218" s="29" t="n"/>
      <c r="E218" s="29" t="n"/>
      <c r="F218" s="29" t="n"/>
      <c r="G218" s="29" t="n"/>
      <c r="H218" s="67">
        <f>IF(base!F218&lt;&gt;"",VLOOKUP(F218,de_para!$A$1:$B$31,2,0)*base!G218,0)</f>
        <v/>
      </c>
      <c r="I218" s="38" t="n"/>
      <c r="J218" s="29" t="n"/>
      <c r="K218" s="67">
        <f>IF(base!I218&lt;&gt;"",VLOOKUP(I218,de_para!$A$1:$B$31,2,0)*base!J218,0)</f>
        <v/>
      </c>
      <c r="L218" s="38" t="n"/>
      <c r="M218" s="29" t="n"/>
      <c r="N218" s="67">
        <f>IF(base!L218&lt;&gt;"",VLOOKUP(L218,de_para!$A$1:$B$31,2,0)*base!M218,0)</f>
        <v/>
      </c>
      <c r="O218" s="38" t="n"/>
      <c r="P218" s="29" t="n"/>
      <c r="Q218" s="67">
        <f>IF(base!O218&lt;&gt;"",VLOOKUP(O218,de_para!$A$1:$B$31,2,0)*base!P218,0)</f>
        <v/>
      </c>
      <c r="R218" s="38" t="n"/>
      <c r="S218" s="29" t="n"/>
      <c r="T218" s="67">
        <f>IF(base!R218&lt;&gt;"",VLOOKUP(R218,de_para!$A$1:$B$31,2,0)*base!S218,0)</f>
        <v/>
      </c>
      <c r="U218" s="68">
        <f>H218+K218+N218+Q218+T218</f>
        <v/>
      </c>
    </row>
    <row r="219">
      <c r="A219" s="29" t="n"/>
      <c r="B219" s="29" t="n"/>
      <c r="C219" s="29" t="n"/>
      <c r="D219" s="29" t="n"/>
      <c r="E219" s="29" t="n"/>
      <c r="F219" s="29" t="n"/>
      <c r="G219" s="29" t="n"/>
      <c r="H219" s="67">
        <f>IF(base!F219&lt;&gt;"",VLOOKUP(F219,de_para!$A$1:$B$31,2,0)*base!G219,0)</f>
        <v/>
      </c>
      <c r="I219" s="38" t="n"/>
      <c r="J219" s="29" t="n"/>
      <c r="K219" s="67">
        <f>IF(base!I219&lt;&gt;"",VLOOKUP(I219,de_para!$A$1:$B$31,2,0)*base!J219,0)</f>
        <v/>
      </c>
      <c r="L219" s="38" t="n"/>
      <c r="M219" s="29" t="n"/>
      <c r="N219" s="67">
        <f>IF(base!L219&lt;&gt;"",VLOOKUP(L219,de_para!$A$1:$B$31,2,0)*base!M219,0)</f>
        <v/>
      </c>
      <c r="O219" s="38" t="n"/>
      <c r="P219" s="29" t="n"/>
      <c r="Q219" s="67">
        <f>IF(base!O219&lt;&gt;"",VLOOKUP(O219,de_para!$A$1:$B$31,2,0)*base!P219,0)</f>
        <v/>
      </c>
      <c r="R219" s="38" t="n"/>
      <c r="S219" s="29" t="n"/>
      <c r="T219" s="67">
        <f>IF(base!R219&lt;&gt;"",VLOOKUP(R219,de_para!$A$1:$B$31,2,0)*base!S219,0)</f>
        <v/>
      </c>
      <c r="U219" s="68">
        <f>H219+K219+N219+Q219+T219</f>
        <v/>
      </c>
    </row>
    <row r="220">
      <c r="A220" s="29" t="n"/>
      <c r="B220" s="29" t="n"/>
      <c r="C220" s="29" t="n"/>
      <c r="D220" s="29" t="n"/>
      <c r="E220" s="29" t="n"/>
      <c r="F220" s="29" t="n"/>
      <c r="G220" s="29" t="n"/>
      <c r="H220" s="67">
        <f>IF(base!F220&lt;&gt;"",VLOOKUP(F220,de_para!$A$1:$B$31,2,0)*base!G220,0)</f>
        <v/>
      </c>
      <c r="I220" s="38" t="n"/>
      <c r="J220" s="29" t="n"/>
      <c r="K220" s="67">
        <f>IF(base!I220&lt;&gt;"",VLOOKUP(I220,de_para!$A$1:$B$31,2,0)*base!J220,0)</f>
        <v/>
      </c>
      <c r="L220" s="38" t="n"/>
      <c r="M220" s="29" t="n"/>
      <c r="N220" s="67">
        <f>IF(base!L220&lt;&gt;"",VLOOKUP(L220,de_para!$A$1:$B$31,2,0)*base!M220,0)</f>
        <v/>
      </c>
      <c r="O220" s="38" t="n"/>
      <c r="P220" s="29" t="n"/>
      <c r="Q220" s="67">
        <f>IF(base!O220&lt;&gt;"",VLOOKUP(O220,de_para!$A$1:$B$31,2,0)*base!P220,0)</f>
        <v/>
      </c>
      <c r="R220" s="38" t="n"/>
      <c r="S220" s="29" t="n"/>
      <c r="T220" s="67">
        <f>IF(base!R220&lt;&gt;"",VLOOKUP(R220,de_para!$A$1:$B$31,2,0)*base!S220,0)</f>
        <v/>
      </c>
      <c r="U220" s="68">
        <f>H220+K220+N220+Q220+T220</f>
        <v/>
      </c>
    </row>
    <row r="221">
      <c r="A221" s="29" t="n"/>
      <c r="B221" s="29" t="n"/>
      <c r="C221" s="29" t="n"/>
      <c r="D221" s="29" t="n"/>
      <c r="E221" s="29" t="n"/>
      <c r="F221" s="29" t="n"/>
      <c r="G221" s="29" t="n"/>
      <c r="H221" s="67">
        <f>IF(base!F221&lt;&gt;"",VLOOKUP(F221,de_para!$A$1:$B$31,2,0)*base!G221,0)</f>
        <v/>
      </c>
      <c r="I221" s="38" t="n"/>
      <c r="J221" s="29" t="n"/>
      <c r="K221" s="67">
        <f>IF(base!I221&lt;&gt;"",VLOOKUP(I221,de_para!$A$1:$B$31,2,0)*base!J221,0)</f>
        <v/>
      </c>
      <c r="L221" s="38" t="n"/>
      <c r="M221" s="29" t="n"/>
      <c r="N221" s="67">
        <f>IF(base!L221&lt;&gt;"",VLOOKUP(L221,de_para!$A$1:$B$31,2,0)*base!M221,0)</f>
        <v/>
      </c>
      <c r="O221" s="38" t="n"/>
      <c r="P221" s="29" t="n"/>
      <c r="Q221" s="67">
        <f>IF(base!O221&lt;&gt;"",VLOOKUP(O221,de_para!$A$1:$B$31,2,0)*base!P221,0)</f>
        <v/>
      </c>
      <c r="R221" s="38" t="n"/>
      <c r="S221" s="29" t="n"/>
      <c r="T221" s="67">
        <f>IF(base!R221&lt;&gt;"",VLOOKUP(R221,de_para!$A$1:$B$31,2,0)*base!S221,0)</f>
        <v/>
      </c>
      <c r="U221" s="68">
        <f>H221+K221+N221+Q221+T221</f>
        <v/>
      </c>
    </row>
    <row r="222">
      <c r="A222" s="29" t="n"/>
      <c r="B222" s="29" t="n"/>
      <c r="C222" s="29" t="n"/>
      <c r="D222" s="29" t="n"/>
      <c r="E222" s="29" t="n"/>
      <c r="F222" s="29" t="n"/>
      <c r="G222" s="29" t="n"/>
      <c r="H222" s="67">
        <f>IF(base!F222&lt;&gt;"",VLOOKUP(F222,de_para!$A$1:$B$31,2,0)*base!G222,0)</f>
        <v/>
      </c>
      <c r="I222" s="38" t="n"/>
      <c r="J222" s="29" t="n"/>
      <c r="K222" s="67">
        <f>IF(base!I222&lt;&gt;"",VLOOKUP(I222,de_para!$A$1:$B$31,2,0)*base!J222,0)</f>
        <v/>
      </c>
      <c r="L222" s="38" t="n"/>
      <c r="M222" s="29" t="n"/>
      <c r="N222" s="67">
        <f>IF(base!L222&lt;&gt;"",VLOOKUP(L222,de_para!$A$1:$B$31,2,0)*base!M222,0)</f>
        <v/>
      </c>
      <c r="O222" s="38" t="n"/>
      <c r="P222" s="29" t="n"/>
      <c r="Q222" s="67">
        <f>IF(base!O222&lt;&gt;"",VLOOKUP(O222,de_para!$A$1:$B$31,2,0)*base!P222,0)</f>
        <v/>
      </c>
      <c r="R222" s="38" t="n"/>
      <c r="S222" s="29" t="n"/>
      <c r="T222" s="67">
        <f>IF(base!R222&lt;&gt;"",VLOOKUP(R222,de_para!$A$1:$B$31,2,0)*base!S222,0)</f>
        <v/>
      </c>
      <c r="U222" s="68">
        <f>H222+K222+N222+Q222+T222</f>
        <v/>
      </c>
    </row>
    <row r="223">
      <c r="A223" s="29" t="n"/>
      <c r="B223" s="29" t="n"/>
      <c r="C223" s="29" t="n"/>
      <c r="D223" s="29" t="n"/>
      <c r="E223" s="29" t="n"/>
      <c r="F223" s="29" t="n"/>
      <c r="G223" s="29" t="n"/>
      <c r="H223" s="67">
        <f>IF(base!F223&lt;&gt;"",VLOOKUP(F223,de_para!$A$1:$B$31,2,0)*base!G223,0)</f>
        <v/>
      </c>
      <c r="I223" s="38" t="n"/>
      <c r="J223" s="29" t="n"/>
      <c r="K223" s="67">
        <f>IF(base!I223&lt;&gt;"",VLOOKUP(I223,de_para!$A$1:$B$31,2,0)*base!J223,0)</f>
        <v/>
      </c>
      <c r="L223" s="38" t="n"/>
      <c r="M223" s="29" t="n"/>
      <c r="N223" s="67">
        <f>IF(base!L223&lt;&gt;"",VLOOKUP(L223,de_para!$A$1:$B$31,2,0)*base!M223,0)</f>
        <v/>
      </c>
      <c r="O223" s="38" t="n"/>
      <c r="P223" s="29" t="n"/>
      <c r="Q223" s="67">
        <f>IF(base!O223&lt;&gt;"",VLOOKUP(O223,de_para!$A$1:$B$31,2,0)*base!P223,0)</f>
        <v/>
      </c>
      <c r="R223" s="38" t="n"/>
      <c r="S223" s="29" t="n"/>
      <c r="T223" s="67">
        <f>IF(base!R223&lt;&gt;"",VLOOKUP(R223,de_para!$A$1:$B$31,2,0)*base!S223,0)</f>
        <v/>
      </c>
      <c r="U223" s="68">
        <f>H223+K223+N223+Q223+T223</f>
        <v/>
      </c>
    </row>
    <row r="224">
      <c r="A224" s="29" t="n"/>
      <c r="B224" s="29" t="n"/>
      <c r="C224" s="29" t="n"/>
      <c r="D224" s="29" t="n"/>
      <c r="E224" s="29" t="n"/>
      <c r="F224" s="29" t="n"/>
      <c r="G224" s="29" t="n"/>
      <c r="H224" s="67">
        <f>IF(base!F224&lt;&gt;"",VLOOKUP(F224,de_para!$A$1:$B$31,2,0)*base!G224,0)</f>
        <v/>
      </c>
      <c r="I224" s="38" t="n"/>
      <c r="J224" s="29" t="n"/>
      <c r="K224" s="67">
        <f>IF(base!I224&lt;&gt;"",VLOOKUP(I224,de_para!$A$1:$B$31,2,0)*base!J224,0)</f>
        <v/>
      </c>
      <c r="L224" s="38" t="n"/>
      <c r="M224" s="29" t="n"/>
      <c r="N224" s="67">
        <f>IF(base!L224&lt;&gt;"",VLOOKUP(L224,de_para!$A$1:$B$31,2,0)*base!M224,0)</f>
        <v/>
      </c>
      <c r="O224" s="38" t="n"/>
      <c r="P224" s="29" t="n"/>
      <c r="Q224" s="67">
        <f>IF(base!O224&lt;&gt;"",VLOOKUP(O224,de_para!$A$1:$B$31,2,0)*base!P224,0)</f>
        <v/>
      </c>
      <c r="R224" s="38" t="n"/>
      <c r="S224" s="29" t="n"/>
      <c r="T224" s="67">
        <f>IF(base!R224&lt;&gt;"",VLOOKUP(R224,de_para!$A$1:$B$31,2,0)*base!S224,0)</f>
        <v/>
      </c>
      <c r="U224" s="68">
        <f>H224+K224+N224+Q224+T224</f>
        <v/>
      </c>
    </row>
    <row r="225">
      <c r="A225" s="29" t="n"/>
      <c r="B225" s="29" t="n"/>
      <c r="C225" s="29" t="n"/>
      <c r="D225" s="29" t="n"/>
      <c r="E225" s="29" t="n"/>
      <c r="F225" s="29" t="n"/>
      <c r="G225" s="29" t="n"/>
      <c r="H225" s="67">
        <f>IF(base!F225&lt;&gt;"",VLOOKUP(F225,de_para!$A$1:$B$31,2,0)*base!G225,0)</f>
        <v/>
      </c>
      <c r="I225" s="38" t="n"/>
      <c r="J225" s="29" t="n"/>
      <c r="K225" s="67">
        <f>IF(base!I225&lt;&gt;"",VLOOKUP(I225,de_para!$A$1:$B$31,2,0)*base!J225,0)</f>
        <v/>
      </c>
      <c r="L225" s="38" t="n"/>
      <c r="M225" s="29" t="n"/>
      <c r="N225" s="67">
        <f>IF(base!L225&lt;&gt;"",VLOOKUP(L225,de_para!$A$1:$B$31,2,0)*base!M225,0)</f>
        <v/>
      </c>
      <c r="O225" s="38" t="n"/>
      <c r="P225" s="29" t="n"/>
      <c r="Q225" s="67">
        <f>IF(base!O225&lt;&gt;"",VLOOKUP(O225,de_para!$A$1:$B$31,2,0)*base!P225,0)</f>
        <v/>
      </c>
      <c r="R225" s="38" t="n"/>
      <c r="S225" s="29" t="n"/>
      <c r="T225" s="67">
        <f>IF(base!R225&lt;&gt;"",VLOOKUP(R225,de_para!$A$1:$B$31,2,0)*base!S225,0)</f>
        <v/>
      </c>
      <c r="U225" s="68">
        <f>H225+K225+N225+Q225+T225</f>
        <v/>
      </c>
    </row>
    <row r="226">
      <c r="A226" s="29" t="n"/>
      <c r="B226" s="29" t="n"/>
      <c r="C226" s="29" t="n"/>
      <c r="D226" s="29" t="n"/>
      <c r="E226" s="29" t="n"/>
      <c r="F226" s="29" t="n"/>
      <c r="G226" s="29" t="n"/>
      <c r="H226" s="67">
        <f>IF(base!F226&lt;&gt;"",VLOOKUP(F226,de_para!$A$1:$B$31,2,0)*base!G226,0)</f>
        <v/>
      </c>
      <c r="I226" s="38" t="n"/>
      <c r="J226" s="29" t="n"/>
      <c r="K226" s="67">
        <f>IF(base!I226&lt;&gt;"",VLOOKUP(I226,de_para!$A$1:$B$31,2,0)*base!J226,0)</f>
        <v/>
      </c>
      <c r="L226" s="38" t="n"/>
      <c r="M226" s="29" t="n"/>
      <c r="N226" s="67">
        <f>IF(base!L226&lt;&gt;"",VLOOKUP(L226,de_para!$A$1:$B$31,2,0)*base!M226,0)</f>
        <v/>
      </c>
      <c r="O226" s="38" t="n"/>
      <c r="P226" s="29" t="n"/>
      <c r="Q226" s="67">
        <f>IF(base!O226&lt;&gt;"",VLOOKUP(O226,de_para!$A$1:$B$31,2,0)*base!P226,0)</f>
        <v/>
      </c>
      <c r="R226" s="38" t="n"/>
      <c r="S226" s="29" t="n"/>
      <c r="T226" s="67">
        <f>IF(base!R226&lt;&gt;"",VLOOKUP(R226,de_para!$A$1:$B$31,2,0)*base!S226,0)</f>
        <v/>
      </c>
      <c r="U226" s="68">
        <f>H226+K226+N226+Q226+T226</f>
        <v/>
      </c>
    </row>
    <row r="227">
      <c r="A227" s="29" t="n"/>
      <c r="B227" s="29" t="n"/>
      <c r="C227" s="29" t="n"/>
      <c r="D227" s="29" t="n"/>
      <c r="E227" s="29" t="n"/>
      <c r="F227" s="29" t="n"/>
      <c r="G227" s="29" t="n"/>
      <c r="H227" s="67">
        <f>IF(base!F227&lt;&gt;"",VLOOKUP(F227,de_para!$A$1:$B$31,2,0)*base!G227,0)</f>
        <v/>
      </c>
      <c r="I227" s="38" t="n"/>
      <c r="J227" s="29" t="n"/>
      <c r="K227" s="67">
        <f>IF(base!I227&lt;&gt;"",VLOOKUP(I227,de_para!$A$1:$B$31,2,0)*base!J227,0)</f>
        <v/>
      </c>
      <c r="L227" s="38" t="n"/>
      <c r="M227" s="29" t="n"/>
      <c r="N227" s="67">
        <f>IF(base!L227&lt;&gt;"",VLOOKUP(L227,de_para!$A$1:$B$31,2,0)*base!M227,0)</f>
        <v/>
      </c>
      <c r="O227" s="38" t="n"/>
      <c r="P227" s="29" t="n"/>
      <c r="Q227" s="67">
        <f>IF(base!O227&lt;&gt;"",VLOOKUP(O227,de_para!$A$1:$B$31,2,0)*base!P227,0)</f>
        <v/>
      </c>
      <c r="R227" s="38" t="n"/>
      <c r="S227" s="29" t="n"/>
      <c r="T227" s="67">
        <f>IF(base!R227&lt;&gt;"",VLOOKUP(R227,de_para!$A$1:$B$31,2,0)*base!S227,0)</f>
        <v/>
      </c>
      <c r="U227" s="68">
        <f>H227+K227+N227+Q227+T227</f>
        <v/>
      </c>
    </row>
    <row r="228">
      <c r="A228" s="29" t="n"/>
      <c r="B228" s="29" t="n"/>
      <c r="C228" s="29" t="n"/>
      <c r="D228" s="29" t="n"/>
      <c r="E228" s="29" t="n"/>
      <c r="F228" s="29" t="n"/>
      <c r="G228" s="29" t="n"/>
      <c r="H228" s="67">
        <f>IF(base!F228&lt;&gt;"",VLOOKUP(F228,de_para!$A$1:$B$31,2,0)*base!G228,0)</f>
        <v/>
      </c>
      <c r="I228" s="38" t="n"/>
      <c r="J228" s="29" t="n"/>
      <c r="K228" s="67">
        <f>IF(base!I228&lt;&gt;"",VLOOKUP(I228,de_para!$A$1:$B$31,2,0)*base!J228,0)</f>
        <v/>
      </c>
      <c r="L228" s="38" t="n"/>
      <c r="M228" s="29" t="n"/>
      <c r="N228" s="67">
        <f>IF(base!L228&lt;&gt;"",VLOOKUP(L228,de_para!$A$1:$B$31,2,0)*base!M228,0)</f>
        <v/>
      </c>
      <c r="O228" s="38" t="n"/>
      <c r="P228" s="29" t="n"/>
      <c r="Q228" s="67">
        <f>IF(base!O228&lt;&gt;"",VLOOKUP(O228,de_para!$A$1:$B$31,2,0)*base!P228,0)</f>
        <v/>
      </c>
      <c r="R228" s="38" t="n"/>
      <c r="S228" s="29" t="n"/>
      <c r="T228" s="67">
        <f>IF(base!R228&lt;&gt;"",VLOOKUP(R228,de_para!$A$1:$B$31,2,0)*base!S228,0)</f>
        <v/>
      </c>
      <c r="U228" s="68">
        <f>H228+K228+N228+Q228+T228</f>
        <v/>
      </c>
    </row>
    <row r="229">
      <c r="A229" s="29" t="n"/>
      <c r="B229" s="29" t="n"/>
      <c r="C229" s="29" t="n"/>
      <c r="D229" s="29" t="n"/>
      <c r="E229" s="29" t="n"/>
      <c r="F229" s="29" t="n"/>
      <c r="G229" s="29" t="n"/>
      <c r="H229" s="67">
        <f>IF(base!F229&lt;&gt;"",VLOOKUP(F229,de_para!$A$1:$B$31,2,0)*base!G229,0)</f>
        <v/>
      </c>
      <c r="I229" s="38" t="n"/>
      <c r="J229" s="29" t="n"/>
      <c r="K229" s="67">
        <f>IF(base!I229&lt;&gt;"",VLOOKUP(I229,de_para!$A$1:$B$31,2,0)*base!J229,0)</f>
        <v/>
      </c>
      <c r="L229" s="38" t="n"/>
      <c r="M229" s="29" t="n"/>
      <c r="N229" s="67">
        <f>IF(base!L229&lt;&gt;"",VLOOKUP(L229,de_para!$A$1:$B$31,2,0)*base!M229,0)</f>
        <v/>
      </c>
      <c r="O229" s="38" t="n"/>
      <c r="P229" s="29" t="n"/>
      <c r="Q229" s="67">
        <f>IF(base!O229&lt;&gt;"",VLOOKUP(O229,de_para!$A$1:$B$31,2,0)*base!P229,0)</f>
        <v/>
      </c>
      <c r="R229" s="38" t="n"/>
      <c r="S229" s="29" t="n"/>
      <c r="T229" s="67">
        <f>IF(base!R229&lt;&gt;"",VLOOKUP(R229,de_para!$A$1:$B$31,2,0)*base!S229,0)</f>
        <v/>
      </c>
      <c r="U229" s="68">
        <f>H229+K229+N229+Q229+T229</f>
        <v/>
      </c>
    </row>
    <row r="230">
      <c r="A230" s="29" t="n"/>
      <c r="B230" s="29" t="n"/>
      <c r="C230" s="29" t="n"/>
      <c r="D230" s="29" t="n"/>
      <c r="E230" s="29" t="n"/>
      <c r="F230" s="29" t="n"/>
      <c r="G230" s="29" t="n"/>
      <c r="H230" s="67">
        <f>IF(base!F230&lt;&gt;"",VLOOKUP(F230,de_para!$A$1:$B$31,2,0)*base!G230,0)</f>
        <v/>
      </c>
      <c r="I230" s="38" t="n"/>
      <c r="J230" s="29" t="n"/>
      <c r="K230" s="67">
        <f>IF(base!I230&lt;&gt;"",VLOOKUP(I230,de_para!$A$1:$B$31,2,0)*base!J230,0)</f>
        <v/>
      </c>
      <c r="L230" s="38" t="n"/>
      <c r="M230" s="29" t="n"/>
      <c r="N230" s="67">
        <f>IF(base!L230&lt;&gt;"",VLOOKUP(L230,de_para!$A$1:$B$31,2,0)*base!M230,0)</f>
        <v/>
      </c>
      <c r="O230" s="38" t="n"/>
      <c r="P230" s="29" t="n"/>
      <c r="Q230" s="67">
        <f>IF(base!O230&lt;&gt;"",VLOOKUP(O230,de_para!$A$1:$B$31,2,0)*base!P230,0)</f>
        <v/>
      </c>
      <c r="R230" s="38" t="n"/>
      <c r="S230" s="29" t="n"/>
      <c r="T230" s="67">
        <f>IF(base!R230&lt;&gt;"",VLOOKUP(R230,de_para!$A$1:$B$31,2,0)*base!S230,0)</f>
        <v/>
      </c>
      <c r="U230" s="68">
        <f>H230+K230+N230+Q230+T230</f>
        <v/>
      </c>
    </row>
    <row r="231">
      <c r="A231" s="29" t="n"/>
      <c r="B231" s="29" t="n"/>
      <c r="C231" s="29" t="n"/>
      <c r="D231" s="29" t="n"/>
      <c r="E231" s="29" t="n"/>
      <c r="F231" s="29" t="n"/>
      <c r="G231" s="29" t="n"/>
      <c r="H231" s="67">
        <f>IF(base!F231&lt;&gt;"",VLOOKUP(F231,de_para!$A$1:$B$31,2,0)*base!G231,0)</f>
        <v/>
      </c>
      <c r="I231" s="38" t="n"/>
      <c r="J231" s="29" t="n"/>
      <c r="K231" s="67">
        <f>IF(base!I231&lt;&gt;"",VLOOKUP(I231,de_para!$A$1:$B$31,2,0)*base!J231,0)</f>
        <v/>
      </c>
      <c r="L231" s="38" t="n"/>
      <c r="M231" s="29" t="n"/>
      <c r="N231" s="67">
        <f>IF(base!L231&lt;&gt;"",VLOOKUP(L231,de_para!$A$1:$B$31,2,0)*base!M231,0)</f>
        <v/>
      </c>
      <c r="O231" s="38" t="n"/>
      <c r="P231" s="29" t="n"/>
      <c r="Q231" s="67">
        <f>IF(base!O231&lt;&gt;"",VLOOKUP(O231,de_para!$A$1:$B$31,2,0)*base!P231,0)</f>
        <v/>
      </c>
      <c r="R231" s="38" t="n"/>
      <c r="S231" s="29" t="n"/>
      <c r="T231" s="67">
        <f>IF(base!R231&lt;&gt;"",VLOOKUP(R231,de_para!$A$1:$B$31,2,0)*base!S231,0)</f>
        <v/>
      </c>
      <c r="U231" s="68">
        <f>H231+K231+N231+Q231+T231</f>
        <v/>
      </c>
    </row>
    <row r="232">
      <c r="A232" s="29" t="n"/>
      <c r="B232" s="29" t="n"/>
      <c r="C232" s="29" t="n"/>
      <c r="D232" s="29" t="n"/>
      <c r="E232" s="29" t="n"/>
      <c r="F232" s="29" t="n"/>
      <c r="G232" s="29" t="n"/>
      <c r="H232" s="67">
        <f>IF(base!F232&lt;&gt;"",VLOOKUP(F232,de_para!$A$1:$B$31,2,0)*base!G232,0)</f>
        <v/>
      </c>
      <c r="I232" s="38" t="n"/>
      <c r="J232" s="29" t="n"/>
      <c r="K232" s="67">
        <f>IF(base!I232&lt;&gt;"",VLOOKUP(I232,de_para!$A$1:$B$31,2,0)*base!J232,0)</f>
        <v/>
      </c>
      <c r="L232" s="38" t="n"/>
      <c r="M232" s="29" t="n"/>
      <c r="N232" s="67">
        <f>IF(base!L232&lt;&gt;"",VLOOKUP(L232,de_para!$A$1:$B$31,2,0)*base!M232,0)</f>
        <v/>
      </c>
      <c r="O232" s="38" t="n"/>
      <c r="P232" s="29" t="n"/>
      <c r="Q232" s="67">
        <f>IF(base!O232&lt;&gt;"",VLOOKUP(O232,de_para!$A$1:$B$31,2,0)*base!P232,0)</f>
        <v/>
      </c>
      <c r="R232" s="38" t="n"/>
      <c r="S232" s="29" t="n"/>
      <c r="T232" s="67">
        <f>IF(base!R232&lt;&gt;"",VLOOKUP(R232,de_para!$A$1:$B$31,2,0)*base!S232,0)</f>
        <v/>
      </c>
      <c r="U232" s="68">
        <f>H232+K232+N232+Q232+T232</f>
        <v/>
      </c>
    </row>
    <row r="233">
      <c r="A233" s="29" t="n"/>
      <c r="B233" s="29" t="n"/>
      <c r="C233" s="29" t="n"/>
      <c r="D233" s="29" t="n"/>
      <c r="E233" s="29" t="n"/>
      <c r="F233" s="29" t="n"/>
      <c r="G233" s="29" t="n"/>
      <c r="H233" s="67">
        <f>IF(base!F233&lt;&gt;"",VLOOKUP(F233,de_para!$A$1:$B$31,2,0)*base!G233,0)</f>
        <v/>
      </c>
      <c r="I233" s="38" t="n"/>
      <c r="J233" s="29" t="n"/>
      <c r="K233" s="67">
        <f>IF(base!I233&lt;&gt;"",VLOOKUP(I233,de_para!$A$1:$B$31,2,0)*base!J233,0)</f>
        <v/>
      </c>
      <c r="L233" s="38" t="n"/>
      <c r="M233" s="29" t="n"/>
      <c r="N233" s="67">
        <f>IF(base!L233&lt;&gt;"",VLOOKUP(L233,de_para!$A$1:$B$31,2,0)*base!M233,0)</f>
        <v/>
      </c>
      <c r="O233" s="38" t="n"/>
      <c r="P233" s="29" t="n"/>
      <c r="Q233" s="67">
        <f>IF(base!O233&lt;&gt;"",VLOOKUP(O233,de_para!$A$1:$B$31,2,0)*base!P233,0)</f>
        <v/>
      </c>
      <c r="R233" s="38" t="n"/>
      <c r="S233" s="29" t="n"/>
      <c r="T233" s="67">
        <f>IF(base!R233&lt;&gt;"",VLOOKUP(R233,de_para!$A$1:$B$31,2,0)*base!S233,0)</f>
        <v/>
      </c>
      <c r="U233" s="68">
        <f>H233+K233+N233+Q233+T233</f>
        <v/>
      </c>
    </row>
    <row r="234">
      <c r="A234" s="29" t="n"/>
      <c r="B234" s="29" t="n"/>
      <c r="C234" s="29" t="n"/>
      <c r="D234" s="29" t="n"/>
      <c r="E234" s="29" t="n"/>
      <c r="F234" s="29" t="n"/>
      <c r="G234" s="29" t="n"/>
      <c r="H234" s="67">
        <f>IF(base!F234&lt;&gt;"",VLOOKUP(F234,de_para!$A$1:$B$31,2,0)*base!G234,0)</f>
        <v/>
      </c>
      <c r="I234" s="38" t="n"/>
      <c r="J234" s="29" t="n"/>
      <c r="K234" s="67">
        <f>IF(base!I234&lt;&gt;"",VLOOKUP(I234,de_para!$A$1:$B$31,2,0)*base!J234,0)</f>
        <v/>
      </c>
      <c r="L234" s="38" t="n"/>
      <c r="M234" s="29" t="n"/>
      <c r="N234" s="67">
        <f>IF(base!L234&lt;&gt;"",VLOOKUP(L234,de_para!$A$1:$B$31,2,0)*base!M234,0)</f>
        <v/>
      </c>
      <c r="O234" s="38" t="n"/>
      <c r="P234" s="29" t="n"/>
      <c r="Q234" s="67">
        <f>IF(base!O234&lt;&gt;"",VLOOKUP(O234,de_para!$A$1:$B$31,2,0)*base!P234,0)</f>
        <v/>
      </c>
      <c r="R234" s="38" t="n"/>
      <c r="S234" s="29" t="n"/>
      <c r="T234" s="67">
        <f>IF(base!R234&lt;&gt;"",VLOOKUP(R234,de_para!$A$1:$B$31,2,0)*base!S234,0)</f>
        <v/>
      </c>
      <c r="U234" s="68">
        <f>H234+K234+N234+Q234+T234</f>
        <v/>
      </c>
    </row>
    <row r="235">
      <c r="A235" s="29" t="n"/>
      <c r="B235" s="29" t="n"/>
      <c r="C235" s="29" t="n"/>
      <c r="D235" s="29" t="n"/>
      <c r="E235" s="29" t="n"/>
      <c r="F235" s="29" t="n"/>
      <c r="G235" s="29" t="n"/>
      <c r="H235" s="67">
        <f>IF(base!F235&lt;&gt;"",VLOOKUP(F235,de_para!$A$1:$B$31,2,0)*base!G235,0)</f>
        <v/>
      </c>
      <c r="I235" s="38" t="n"/>
      <c r="J235" s="29" t="n"/>
      <c r="K235" s="67">
        <f>IF(base!I235&lt;&gt;"",VLOOKUP(I235,de_para!$A$1:$B$31,2,0)*base!J235,0)</f>
        <v/>
      </c>
      <c r="L235" s="38" t="n"/>
      <c r="M235" s="29" t="n"/>
      <c r="N235" s="67">
        <f>IF(base!L235&lt;&gt;"",VLOOKUP(L235,de_para!$A$1:$B$31,2,0)*base!M235,0)</f>
        <v/>
      </c>
      <c r="O235" s="38" t="n"/>
      <c r="P235" s="29" t="n"/>
      <c r="Q235" s="67">
        <f>IF(base!O235&lt;&gt;"",VLOOKUP(O235,de_para!$A$1:$B$31,2,0)*base!P235,0)</f>
        <v/>
      </c>
      <c r="R235" s="38" t="n"/>
      <c r="S235" s="29" t="n"/>
      <c r="T235" s="67">
        <f>IF(base!R235&lt;&gt;"",VLOOKUP(R235,de_para!$A$1:$B$31,2,0)*base!S235,0)</f>
        <v/>
      </c>
      <c r="U235" s="68">
        <f>H235+K235+N235+Q235+T235</f>
        <v/>
      </c>
    </row>
    <row r="236">
      <c r="A236" s="29" t="n"/>
      <c r="B236" s="29" t="n"/>
      <c r="C236" s="29" t="n"/>
      <c r="D236" s="29" t="n"/>
      <c r="E236" s="29" t="n"/>
      <c r="F236" s="29" t="n"/>
      <c r="G236" s="29" t="n"/>
      <c r="H236" s="67">
        <f>IF(base!F236&lt;&gt;"",VLOOKUP(F236,de_para!$A$1:$B$31,2,0)*base!G236,0)</f>
        <v/>
      </c>
      <c r="I236" s="38" t="n"/>
      <c r="J236" s="29" t="n"/>
      <c r="K236" s="67">
        <f>IF(base!I236&lt;&gt;"",VLOOKUP(I236,de_para!$A$1:$B$31,2,0)*base!J236,0)</f>
        <v/>
      </c>
      <c r="L236" s="38" t="n"/>
      <c r="M236" s="29" t="n"/>
      <c r="N236" s="67">
        <f>IF(base!L236&lt;&gt;"",VLOOKUP(L236,de_para!$A$1:$B$31,2,0)*base!M236,0)</f>
        <v/>
      </c>
      <c r="O236" s="38" t="n"/>
      <c r="P236" s="29" t="n"/>
      <c r="Q236" s="67">
        <f>IF(base!O236&lt;&gt;"",VLOOKUP(O236,de_para!$A$1:$B$31,2,0)*base!P236,0)</f>
        <v/>
      </c>
      <c r="R236" s="38" t="n"/>
      <c r="S236" s="29" t="n"/>
      <c r="T236" s="67">
        <f>IF(base!R236&lt;&gt;"",VLOOKUP(R236,de_para!$A$1:$B$31,2,0)*base!S236,0)</f>
        <v/>
      </c>
      <c r="U236" s="68">
        <f>H236+K236+N236+Q236+T236</f>
        <v/>
      </c>
    </row>
    <row r="237">
      <c r="A237" s="29" t="n"/>
      <c r="B237" s="29" t="n"/>
      <c r="C237" s="29" t="n"/>
      <c r="D237" s="29" t="n"/>
      <c r="E237" s="29" t="n"/>
      <c r="F237" s="29" t="n"/>
      <c r="G237" s="29" t="n"/>
      <c r="H237" s="67">
        <f>IF(base!F237&lt;&gt;"",VLOOKUP(F237,de_para!$A$1:$B$31,2,0)*base!G237,0)</f>
        <v/>
      </c>
      <c r="I237" s="38" t="n"/>
      <c r="J237" s="29" t="n"/>
      <c r="K237" s="67">
        <f>IF(base!I237&lt;&gt;"",VLOOKUP(I237,de_para!$A$1:$B$31,2,0)*base!J237,0)</f>
        <v/>
      </c>
      <c r="L237" s="38" t="n"/>
      <c r="M237" s="29" t="n"/>
      <c r="N237" s="67">
        <f>IF(base!L237&lt;&gt;"",VLOOKUP(L237,de_para!$A$1:$B$31,2,0)*base!M237,0)</f>
        <v/>
      </c>
      <c r="O237" s="38" t="n"/>
      <c r="P237" s="29" t="n"/>
      <c r="Q237" s="67">
        <f>IF(base!O237&lt;&gt;"",VLOOKUP(O237,de_para!$A$1:$B$31,2,0)*base!P237,0)</f>
        <v/>
      </c>
      <c r="R237" s="38" t="n"/>
      <c r="S237" s="29" t="n"/>
      <c r="T237" s="67">
        <f>IF(base!R237&lt;&gt;"",VLOOKUP(R237,de_para!$A$1:$B$31,2,0)*base!S237,0)</f>
        <v/>
      </c>
      <c r="U237" s="68">
        <f>H237+K237+N237+Q237+T237</f>
        <v/>
      </c>
    </row>
    <row r="238">
      <c r="A238" s="29" t="n"/>
      <c r="B238" s="29" t="n"/>
      <c r="C238" s="29" t="n"/>
      <c r="D238" s="29" t="n"/>
      <c r="E238" s="29" t="n"/>
      <c r="F238" s="29" t="n"/>
      <c r="G238" s="29" t="n"/>
      <c r="H238" s="67">
        <f>IF(base!F238&lt;&gt;"",VLOOKUP(F238,de_para!$A$1:$B$31,2,0)*base!G238,0)</f>
        <v/>
      </c>
      <c r="I238" s="38" t="n"/>
      <c r="J238" s="29" t="n"/>
      <c r="K238" s="67">
        <f>IF(base!I238&lt;&gt;"",VLOOKUP(I238,de_para!$A$1:$B$31,2,0)*base!J238,0)</f>
        <v/>
      </c>
      <c r="L238" s="38" t="n"/>
      <c r="M238" s="29" t="n"/>
      <c r="N238" s="67">
        <f>IF(base!L238&lt;&gt;"",VLOOKUP(L238,de_para!$A$1:$B$31,2,0)*base!M238,0)</f>
        <v/>
      </c>
      <c r="O238" s="38" t="n"/>
      <c r="P238" s="29" t="n"/>
      <c r="Q238" s="67">
        <f>IF(base!O238&lt;&gt;"",VLOOKUP(O238,de_para!$A$1:$B$31,2,0)*base!P238,0)</f>
        <v/>
      </c>
      <c r="R238" s="38" t="n"/>
      <c r="S238" s="29" t="n"/>
      <c r="T238" s="67">
        <f>IF(base!R238&lt;&gt;"",VLOOKUP(R238,de_para!$A$1:$B$31,2,0)*base!S238,0)</f>
        <v/>
      </c>
      <c r="U238" s="68">
        <f>H238+K238+N238+Q238+T238</f>
        <v/>
      </c>
    </row>
    <row r="239">
      <c r="A239" s="29" t="n"/>
      <c r="B239" s="29" t="n"/>
      <c r="C239" s="29" t="n"/>
      <c r="D239" s="29" t="n"/>
      <c r="E239" s="29" t="n"/>
      <c r="F239" s="29" t="n"/>
      <c r="G239" s="29" t="n"/>
      <c r="H239" s="67">
        <f>IF(base!F239&lt;&gt;"",VLOOKUP(F239,de_para!$A$1:$B$31,2,0)*base!G239,0)</f>
        <v/>
      </c>
      <c r="I239" s="38" t="n"/>
      <c r="J239" s="29" t="n"/>
      <c r="K239" s="67">
        <f>IF(base!I239&lt;&gt;"",VLOOKUP(I239,de_para!$A$1:$B$31,2,0)*base!J239,0)</f>
        <v/>
      </c>
      <c r="L239" s="38" t="n"/>
      <c r="M239" s="29" t="n"/>
      <c r="N239" s="67">
        <f>IF(base!L239&lt;&gt;"",VLOOKUP(L239,de_para!$A$1:$B$31,2,0)*base!M239,0)</f>
        <v/>
      </c>
      <c r="O239" s="38" t="n"/>
      <c r="P239" s="29" t="n"/>
      <c r="Q239" s="67">
        <f>IF(base!O239&lt;&gt;"",VLOOKUP(O239,de_para!$A$1:$B$31,2,0)*base!P239,0)</f>
        <v/>
      </c>
      <c r="R239" s="38" t="n"/>
      <c r="S239" s="29" t="n"/>
      <c r="T239" s="67">
        <f>IF(base!R239&lt;&gt;"",VLOOKUP(R239,de_para!$A$1:$B$31,2,0)*base!S239,0)</f>
        <v/>
      </c>
      <c r="U239" s="68">
        <f>H239+K239+N239+Q239+T239</f>
        <v/>
      </c>
    </row>
    <row r="240">
      <c r="A240" s="29" t="n"/>
      <c r="B240" s="29" t="n"/>
      <c r="C240" s="29" t="n"/>
      <c r="D240" s="29" t="n"/>
      <c r="E240" s="29" t="n"/>
      <c r="F240" s="29" t="n"/>
      <c r="G240" s="29" t="n"/>
      <c r="H240" s="67">
        <f>IF(base!F240&lt;&gt;"",VLOOKUP(F240,de_para!$A$1:$B$31,2,0)*base!G240,0)</f>
        <v/>
      </c>
      <c r="I240" s="38" t="n"/>
      <c r="J240" s="29" t="n"/>
      <c r="K240" s="67">
        <f>IF(base!I240&lt;&gt;"",VLOOKUP(I240,de_para!$A$1:$B$31,2,0)*base!J240,0)</f>
        <v/>
      </c>
      <c r="L240" s="38" t="n"/>
      <c r="M240" s="29" t="n"/>
      <c r="N240" s="67">
        <f>IF(base!L240&lt;&gt;"",VLOOKUP(L240,de_para!$A$1:$B$31,2,0)*base!M240,0)</f>
        <v/>
      </c>
      <c r="O240" s="38" t="n"/>
      <c r="P240" s="29" t="n"/>
      <c r="Q240" s="67">
        <f>IF(base!O240&lt;&gt;"",VLOOKUP(O240,de_para!$A$1:$B$31,2,0)*base!P240,0)</f>
        <v/>
      </c>
      <c r="R240" s="38" t="n"/>
      <c r="S240" s="29" t="n"/>
      <c r="T240" s="67">
        <f>IF(base!R240&lt;&gt;"",VLOOKUP(R240,de_para!$A$1:$B$31,2,0)*base!S240,0)</f>
        <v/>
      </c>
      <c r="U240" s="68">
        <f>H240+K240+N240+Q240+T240</f>
        <v/>
      </c>
    </row>
    <row r="241">
      <c r="A241" s="29" t="n"/>
      <c r="B241" s="29" t="n"/>
      <c r="C241" s="29" t="n"/>
      <c r="D241" s="29" t="n"/>
      <c r="E241" s="29" t="n"/>
      <c r="F241" s="29" t="n"/>
      <c r="G241" s="29" t="n"/>
      <c r="H241" s="67">
        <f>IF(base!F241&lt;&gt;"",VLOOKUP(F241,de_para!$A$1:$B$31,2,0)*base!G241,0)</f>
        <v/>
      </c>
      <c r="I241" s="38" t="n"/>
      <c r="J241" s="29" t="n"/>
      <c r="K241" s="67">
        <f>IF(base!I241&lt;&gt;"",VLOOKUP(I241,de_para!$A$1:$B$31,2,0)*base!J241,0)</f>
        <v/>
      </c>
      <c r="L241" s="38" t="n"/>
      <c r="M241" s="29" t="n"/>
      <c r="N241" s="67">
        <f>IF(base!L241&lt;&gt;"",VLOOKUP(L241,de_para!$A$1:$B$31,2,0)*base!M241,0)</f>
        <v/>
      </c>
      <c r="O241" s="38" t="n"/>
      <c r="P241" s="29" t="n"/>
      <c r="Q241" s="67">
        <f>IF(base!O241&lt;&gt;"",VLOOKUP(O241,de_para!$A$1:$B$31,2,0)*base!P241,0)</f>
        <v/>
      </c>
      <c r="R241" s="38" t="n"/>
      <c r="S241" s="29" t="n"/>
      <c r="T241" s="67">
        <f>IF(base!R241&lt;&gt;"",VLOOKUP(R241,de_para!$A$1:$B$31,2,0)*base!S241,0)</f>
        <v/>
      </c>
      <c r="U241" s="68">
        <f>H241+K241+N241+Q241+T241</f>
        <v/>
      </c>
    </row>
    <row r="242">
      <c r="A242" s="29" t="n"/>
      <c r="B242" s="29" t="n"/>
      <c r="C242" s="29" t="n"/>
      <c r="D242" s="29" t="n"/>
      <c r="E242" s="29" t="n"/>
      <c r="F242" s="29" t="n"/>
      <c r="G242" s="29" t="n"/>
      <c r="H242" s="67">
        <f>IF(base!F242&lt;&gt;"",VLOOKUP(F242,de_para!$A$1:$B$31,2,0)*base!G242,0)</f>
        <v/>
      </c>
      <c r="I242" s="38" t="n"/>
      <c r="J242" s="29" t="n"/>
      <c r="K242" s="67">
        <f>IF(base!I242&lt;&gt;"",VLOOKUP(I242,de_para!$A$1:$B$31,2,0)*base!J242,0)</f>
        <v/>
      </c>
      <c r="L242" s="38" t="n"/>
      <c r="M242" s="29" t="n"/>
      <c r="N242" s="67">
        <f>IF(base!L242&lt;&gt;"",VLOOKUP(L242,de_para!$A$1:$B$31,2,0)*base!M242,0)</f>
        <v/>
      </c>
      <c r="O242" s="38" t="n"/>
      <c r="P242" s="29" t="n"/>
      <c r="Q242" s="67">
        <f>IF(base!O242&lt;&gt;"",VLOOKUP(O242,de_para!$A$1:$B$31,2,0)*base!P242,0)</f>
        <v/>
      </c>
      <c r="R242" s="38" t="n"/>
      <c r="S242" s="29" t="n"/>
      <c r="T242" s="67">
        <f>IF(base!R242&lt;&gt;"",VLOOKUP(R242,de_para!$A$1:$B$31,2,0)*base!S242,0)</f>
        <v/>
      </c>
      <c r="U242" s="68">
        <f>H242+K242+N242+Q242+T242</f>
        <v/>
      </c>
    </row>
    <row r="243">
      <c r="A243" s="29" t="n"/>
      <c r="B243" s="29" t="n"/>
      <c r="C243" s="29" t="n"/>
      <c r="D243" s="29" t="n"/>
      <c r="E243" s="29" t="n"/>
      <c r="F243" s="29" t="n"/>
      <c r="G243" s="29" t="n"/>
      <c r="H243" s="67">
        <f>IF(base!F243&lt;&gt;"",VLOOKUP(F243,de_para!$A$1:$B$31,2,0)*base!G243,0)</f>
        <v/>
      </c>
      <c r="I243" s="38" t="n"/>
      <c r="J243" s="29" t="n"/>
      <c r="K243" s="67">
        <f>IF(base!I243&lt;&gt;"",VLOOKUP(I243,de_para!$A$1:$B$31,2,0)*base!J243,0)</f>
        <v/>
      </c>
      <c r="L243" s="38" t="n"/>
      <c r="M243" s="29" t="n"/>
      <c r="N243" s="67">
        <f>IF(base!L243&lt;&gt;"",VLOOKUP(L243,de_para!$A$1:$B$31,2,0)*base!M243,0)</f>
        <v/>
      </c>
      <c r="O243" s="38" t="n"/>
      <c r="P243" s="29" t="n"/>
      <c r="Q243" s="67">
        <f>IF(base!O243&lt;&gt;"",VLOOKUP(O243,de_para!$A$1:$B$31,2,0)*base!P243,0)</f>
        <v/>
      </c>
      <c r="R243" s="38" t="n"/>
      <c r="S243" s="29" t="n"/>
      <c r="T243" s="67">
        <f>IF(base!R243&lt;&gt;"",VLOOKUP(R243,de_para!$A$1:$B$31,2,0)*base!S243,0)</f>
        <v/>
      </c>
      <c r="U243" s="68">
        <f>H243+K243+N243+Q243+T243</f>
        <v/>
      </c>
    </row>
    <row r="244">
      <c r="A244" s="29" t="n"/>
      <c r="B244" s="29" t="n"/>
      <c r="C244" s="29" t="n"/>
      <c r="D244" s="29" t="n"/>
      <c r="E244" s="29" t="n"/>
      <c r="F244" s="29" t="n"/>
      <c r="G244" s="29" t="n"/>
      <c r="H244" s="67">
        <f>IF(base!F244&lt;&gt;"",VLOOKUP(F244,de_para!$A$1:$B$31,2,0)*base!G244,0)</f>
        <v/>
      </c>
      <c r="I244" s="38" t="n"/>
      <c r="J244" s="29" t="n"/>
      <c r="K244" s="67">
        <f>IF(base!I244&lt;&gt;"",VLOOKUP(I244,de_para!$A$1:$B$31,2,0)*base!J244,0)</f>
        <v/>
      </c>
      <c r="L244" s="38" t="n"/>
      <c r="M244" s="29" t="n"/>
      <c r="N244" s="67">
        <f>IF(base!L244&lt;&gt;"",VLOOKUP(L244,de_para!$A$1:$B$31,2,0)*base!M244,0)</f>
        <v/>
      </c>
      <c r="O244" s="38" t="n"/>
      <c r="P244" s="29" t="n"/>
      <c r="Q244" s="67">
        <f>IF(base!O244&lt;&gt;"",VLOOKUP(O244,de_para!$A$1:$B$31,2,0)*base!P244,0)</f>
        <v/>
      </c>
      <c r="R244" s="38" t="n"/>
      <c r="S244" s="29" t="n"/>
      <c r="T244" s="67">
        <f>IF(base!R244&lt;&gt;"",VLOOKUP(R244,de_para!$A$1:$B$31,2,0)*base!S244,0)</f>
        <v/>
      </c>
      <c r="U244" s="68">
        <f>H244+K244+N244+Q244+T244</f>
        <v/>
      </c>
    </row>
    <row r="245">
      <c r="A245" s="29" t="n"/>
      <c r="B245" s="29" t="n"/>
      <c r="C245" s="29" t="n"/>
      <c r="D245" s="29" t="n"/>
      <c r="E245" s="29" t="n"/>
      <c r="F245" s="29" t="n"/>
      <c r="G245" s="29" t="n"/>
      <c r="H245" s="67">
        <f>IF(base!F245&lt;&gt;"",VLOOKUP(F245,de_para!$A$1:$B$31,2,0)*base!G245,0)</f>
        <v/>
      </c>
      <c r="I245" s="38" t="n"/>
      <c r="J245" s="29" t="n"/>
      <c r="K245" s="67">
        <f>IF(base!I245&lt;&gt;"",VLOOKUP(I245,de_para!$A$1:$B$31,2,0)*base!J245,0)</f>
        <v/>
      </c>
      <c r="L245" s="38" t="n"/>
      <c r="M245" s="29" t="n"/>
      <c r="N245" s="67">
        <f>IF(base!L245&lt;&gt;"",VLOOKUP(L245,de_para!$A$1:$B$31,2,0)*base!M245,0)</f>
        <v/>
      </c>
      <c r="O245" s="38" t="n"/>
      <c r="P245" s="29" t="n"/>
      <c r="Q245" s="67">
        <f>IF(base!O245&lt;&gt;"",VLOOKUP(O245,de_para!$A$1:$B$31,2,0)*base!P245,0)</f>
        <v/>
      </c>
      <c r="R245" s="38" t="n"/>
      <c r="S245" s="29" t="n"/>
      <c r="T245" s="67">
        <f>IF(base!R245&lt;&gt;"",VLOOKUP(R245,de_para!$A$1:$B$31,2,0)*base!S245,0)</f>
        <v/>
      </c>
      <c r="U245" s="68">
        <f>H245+K245+N245+Q245+T245</f>
        <v/>
      </c>
    </row>
    <row r="246">
      <c r="A246" s="29" t="n"/>
      <c r="B246" s="29" t="n"/>
      <c r="C246" s="29" t="n"/>
      <c r="D246" s="29" t="n"/>
      <c r="E246" s="29" t="n"/>
      <c r="F246" s="29" t="n"/>
      <c r="G246" s="29" t="n"/>
      <c r="H246" s="67">
        <f>IF(base!F246&lt;&gt;"",VLOOKUP(F246,de_para!$A$1:$B$31,2,0)*base!G246,0)</f>
        <v/>
      </c>
      <c r="I246" s="38" t="n"/>
      <c r="J246" s="29" t="n"/>
      <c r="K246" s="67">
        <f>IF(base!I246&lt;&gt;"",VLOOKUP(I246,de_para!$A$1:$B$31,2,0)*base!J246,0)</f>
        <v/>
      </c>
      <c r="L246" s="38" t="n"/>
      <c r="M246" s="29" t="n"/>
      <c r="N246" s="67">
        <f>IF(base!L246&lt;&gt;"",VLOOKUP(L246,de_para!$A$1:$B$31,2,0)*base!M246,0)</f>
        <v/>
      </c>
      <c r="O246" s="38" t="n"/>
      <c r="P246" s="29" t="n"/>
      <c r="Q246" s="67">
        <f>IF(base!O246&lt;&gt;"",VLOOKUP(O246,de_para!$A$1:$B$31,2,0)*base!P246,0)</f>
        <v/>
      </c>
      <c r="R246" s="38" t="n"/>
      <c r="S246" s="29" t="n"/>
      <c r="T246" s="67">
        <f>IF(base!R246&lt;&gt;"",VLOOKUP(R246,de_para!$A$1:$B$31,2,0)*base!S246,0)</f>
        <v/>
      </c>
      <c r="U246" s="68">
        <f>H246+K246+N246+Q246+T246</f>
        <v/>
      </c>
    </row>
    <row r="247">
      <c r="A247" s="29" t="n"/>
      <c r="B247" s="29" t="n"/>
      <c r="C247" s="29" t="n"/>
      <c r="D247" s="29" t="n"/>
      <c r="E247" s="29" t="n"/>
      <c r="F247" s="29" t="n"/>
      <c r="G247" s="29" t="n"/>
      <c r="H247" s="67">
        <f>IF(base!F247&lt;&gt;"",VLOOKUP(F247,de_para!$A$1:$B$31,2,0)*base!G247,0)</f>
        <v/>
      </c>
      <c r="I247" s="38" t="n"/>
      <c r="J247" s="29" t="n"/>
      <c r="K247" s="67">
        <f>IF(base!I247&lt;&gt;"",VLOOKUP(I247,de_para!$A$1:$B$31,2,0)*base!J247,0)</f>
        <v/>
      </c>
      <c r="L247" s="38" t="n"/>
      <c r="M247" s="29" t="n"/>
      <c r="N247" s="67">
        <f>IF(base!L247&lt;&gt;"",VLOOKUP(L247,de_para!$A$1:$B$31,2,0)*base!M247,0)</f>
        <v/>
      </c>
      <c r="O247" s="38" t="n"/>
      <c r="P247" s="29" t="n"/>
      <c r="Q247" s="67">
        <f>IF(base!O247&lt;&gt;"",VLOOKUP(O247,de_para!$A$1:$B$31,2,0)*base!P247,0)</f>
        <v/>
      </c>
      <c r="R247" s="38" t="n"/>
      <c r="S247" s="29" t="n"/>
      <c r="T247" s="67">
        <f>IF(base!R247&lt;&gt;"",VLOOKUP(R247,de_para!$A$1:$B$31,2,0)*base!S247,0)</f>
        <v/>
      </c>
      <c r="U247" s="68">
        <f>H247+K247+N247+Q247+T247</f>
        <v/>
      </c>
    </row>
    <row r="248">
      <c r="A248" s="29" t="n"/>
      <c r="B248" s="29" t="n"/>
      <c r="C248" s="29" t="n"/>
      <c r="D248" s="29" t="n"/>
      <c r="E248" s="29" t="n"/>
      <c r="F248" s="29" t="n"/>
      <c r="G248" s="29" t="n"/>
      <c r="H248" s="67">
        <f>IF(base!F248&lt;&gt;"",VLOOKUP(F248,de_para!$A$1:$B$31,2,0)*base!G248,0)</f>
        <v/>
      </c>
      <c r="I248" s="38" t="n"/>
      <c r="J248" s="29" t="n"/>
      <c r="K248" s="67">
        <f>IF(base!I248&lt;&gt;"",VLOOKUP(I248,de_para!$A$1:$B$31,2,0)*base!J248,0)</f>
        <v/>
      </c>
      <c r="L248" s="38" t="n"/>
      <c r="M248" s="29" t="n"/>
      <c r="N248" s="67">
        <f>IF(base!L248&lt;&gt;"",VLOOKUP(L248,de_para!$A$1:$B$31,2,0)*base!M248,0)</f>
        <v/>
      </c>
      <c r="O248" s="38" t="n"/>
      <c r="P248" s="29" t="n"/>
      <c r="Q248" s="67">
        <f>IF(base!O248&lt;&gt;"",VLOOKUP(O248,de_para!$A$1:$B$31,2,0)*base!P248,0)</f>
        <v/>
      </c>
      <c r="R248" s="38" t="n"/>
      <c r="S248" s="29" t="n"/>
      <c r="T248" s="67">
        <f>IF(base!R248&lt;&gt;"",VLOOKUP(R248,de_para!$A$1:$B$31,2,0)*base!S248,0)</f>
        <v/>
      </c>
      <c r="U248" s="68">
        <f>H248+K248+N248+Q248+T248</f>
        <v/>
      </c>
    </row>
    <row r="249">
      <c r="A249" s="29" t="n"/>
      <c r="B249" s="29" t="n"/>
      <c r="C249" s="29" t="n"/>
      <c r="D249" s="29" t="n"/>
      <c r="E249" s="29" t="n"/>
      <c r="F249" s="29" t="n"/>
      <c r="G249" s="29" t="n"/>
      <c r="H249" s="67">
        <f>IF(base!F249&lt;&gt;"",VLOOKUP(F249,de_para!$A$1:$B$31,2,0)*base!G249,0)</f>
        <v/>
      </c>
      <c r="I249" s="38" t="n"/>
      <c r="J249" s="29" t="n"/>
      <c r="K249" s="67">
        <f>IF(base!I249&lt;&gt;"",VLOOKUP(I249,de_para!$A$1:$B$31,2,0)*base!J249,0)</f>
        <v/>
      </c>
      <c r="L249" s="38" t="n"/>
      <c r="M249" s="29" t="n"/>
      <c r="N249" s="67">
        <f>IF(base!L249&lt;&gt;"",VLOOKUP(L249,de_para!$A$1:$B$31,2,0)*base!M249,0)</f>
        <v/>
      </c>
      <c r="O249" s="38" t="n"/>
      <c r="P249" s="29" t="n"/>
      <c r="Q249" s="67">
        <f>IF(base!O249&lt;&gt;"",VLOOKUP(O249,de_para!$A$1:$B$31,2,0)*base!P249,0)</f>
        <v/>
      </c>
      <c r="R249" s="38" t="n"/>
      <c r="S249" s="29" t="n"/>
      <c r="T249" s="67">
        <f>IF(base!R249&lt;&gt;"",VLOOKUP(R249,de_para!$A$1:$B$31,2,0)*base!S249,0)</f>
        <v/>
      </c>
      <c r="U249" s="68">
        <f>H249+K249+N249+Q249+T249</f>
        <v/>
      </c>
    </row>
    <row r="250">
      <c r="A250" s="29" t="n"/>
      <c r="B250" s="29" t="n"/>
      <c r="C250" s="29" t="n"/>
      <c r="D250" s="29" t="n"/>
      <c r="E250" s="29" t="n"/>
      <c r="F250" s="29" t="n"/>
      <c r="G250" s="29" t="n"/>
      <c r="H250" s="67">
        <f>IF(base!F250&lt;&gt;"",VLOOKUP(F250,de_para!$A$1:$B$31,2,0)*base!G250,0)</f>
        <v/>
      </c>
      <c r="I250" s="38" t="n"/>
      <c r="J250" s="29" t="n"/>
      <c r="K250" s="67">
        <f>IF(base!I250&lt;&gt;"",VLOOKUP(I250,de_para!$A$1:$B$31,2,0)*base!J250,0)</f>
        <v/>
      </c>
      <c r="L250" s="38" t="n"/>
      <c r="M250" s="29" t="n"/>
      <c r="N250" s="67">
        <f>IF(base!L250&lt;&gt;"",VLOOKUP(L250,de_para!$A$1:$B$31,2,0)*base!M250,0)</f>
        <v/>
      </c>
      <c r="O250" s="38" t="n"/>
      <c r="P250" s="29" t="n"/>
      <c r="Q250" s="67">
        <f>IF(base!O250&lt;&gt;"",VLOOKUP(O250,de_para!$A$1:$B$31,2,0)*base!P250,0)</f>
        <v/>
      </c>
      <c r="R250" s="38" t="n"/>
      <c r="S250" s="29" t="n"/>
      <c r="T250" s="67">
        <f>IF(base!R250&lt;&gt;"",VLOOKUP(R250,de_para!$A$1:$B$31,2,0)*base!S250,0)</f>
        <v/>
      </c>
      <c r="U250" s="68">
        <f>H250+K250+N250+Q250+T250</f>
        <v/>
      </c>
    </row>
    <row r="251">
      <c r="A251" s="29" t="n"/>
      <c r="B251" s="29" t="n"/>
      <c r="C251" s="29" t="n"/>
      <c r="D251" s="29" t="n"/>
      <c r="E251" s="29" t="n"/>
      <c r="F251" s="29" t="n"/>
      <c r="G251" s="29" t="n"/>
      <c r="H251" s="67">
        <f>IF(base!F251&lt;&gt;"",VLOOKUP(F251,de_para!$A$1:$B$31,2,0)*base!G251,0)</f>
        <v/>
      </c>
      <c r="I251" s="38" t="n"/>
      <c r="J251" s="29" t="n"/>
      <c r="K251" s="67">
        <f>IF(base!I251&lt;&gt;"",VLOOKUP(I251,de_para!$A$1:$B$31,2,0)*base!J251,0)</f>
        <v/>
      </c>
      <c r="L251" s="38" t="n"/>
      <c r="M251" s="29" t="n"/>
      <c r="N251" s="67">
        <f>IF(base!L251&lt;&gt;"",VLOOKUP(L251,de_para!$A$1:$B$31,2,0)*base!M251,0)</f>
        <v/>
      </c>
      <c r="O251" s="38" t="n"/>
      <c r="P251" s="29" t="n"/>
      <c r="Q251" s="67">
        <f>IF(base!O251&lt;&gt;"",VLOOKUP(O251,de_para!$A$1:$B$31,2,0)*base!P251,0)</f>
        <v/>
      </c>
      <c r="R251" s="38" t="n"/>
      <c r="S251" s="29" t="n"/>
      <c r="T251" s="67">
        <f>IF(base!R251&lt;&gt;"",VLOOKUP(R251,de_para!$A$1:$B$31,2,0)*base!S251,0)</f>
        <v/>
      </c>
      <c r="U251" s="68">
        <f>H251+K251+N251+Q251+T251</f>
        <v/>
      </c>
    </row>
    <row r="252">
      <c r="A252" s="29" t="n"/>
      <c r="B252" s="29" t="n"/>
      <c r="C252" s="29" t="n"/>
      <c r="D252" s="29" t="n"/>
      <c r="E252" s="29" t="n"/>
      <c r="F252" s="29" t="n"/>
      <c r="G252" s="29" t="n"/>
      <c r="H252" s="67">
        <f>IF(base!F252&lt;&gt;"",VLOOKUP(F252,de_para!$A$1:$B$31,2,0)*base!G252,0)</f>
        <v/>
      </c>
      <c r="I252" s="38" t="n"/>
      <c r="J252" s="29" t="n"/>
      <c r="K252" s="67">
        <f>IF(base!I252&lt;&gt;"",VLOOKUP(I252,de_para!$A$1:$B$31,2,0)*base!J252,0)</f>
        <v/>
      </c>
      <c r="L252" s="38" t="n"/>
      <c r="M252" s="29" t="n"/>
      <c r="N252" s="67">
        <f>IF(base!L252&lt;&gt;"",VLOOKUP(L252,de_para!$A$1:$B$31,2,0)*base!M252,0)</f>
        <v/>
      </c>
      <c r="O252" s="38" t="n"/>
      <c r="P252" s="29" t="n"/>
      <c r="Q252" s="67">
        <f>IF(base!O252&lt;&gt;"",VLOOKUP(O252,de_para!$A$1:$B$31,2,0)*base!P252,0)</f>
        <v/>
      </c>
      <c r="R252" s="38" t="n"/>
      <c r="S252" s="29" t="n"/>
      <c r="T252" s="67">
        <f>IF(base!R252&lt;&gt;"",VLOOKUP(R252,de_para!$A$1:$B$31,2,0)*base!S252,0)</f>
        <v/>
      </c>
      <c r="U252" s="68">
        <f>H252+K252+N252+Q252+T252</f>
        <v/>
      </c>
    </row>
    <row r="253">
      <c r="A253" s="29" t="n"/>
      <c r="B253" s="29" t="n"/>
      <c r="C253" s="29" t="n"/>
      <c r="D253" s="29" t="n"/>
      <c r="E253" s="29" t="n"/>
      <c r="F253" s="29" t="n"/>
      <c r="G253" s="29" t="n"/>
      <c r="H253" s="67">
        <f>IF(base!F253&lt;&gt;"",VLOOKUP(F253,de_para!$A$1:$B$31,2,0)*base!G253,0)</f>
        <v/>
      </c>
      <c r="I253" s="38" t="n"/>
      <c r="J253" s="29" t="n"/>
      <c r="K253" s="67">
        <f>IF(base!I253&lt;&gt;"",VLOOKUP(I253,de_para!$A$1:$B$31,2,0)*base!J253,0)</f>
        <v/>
      </c>
      <c r="L253" s="38" t="n"/>
      <c r="M253" s="29" t="n"/>
      <c r="N253" s="67">
        <f>IF(base!L253&lt;&gt;"",VLOOKUP(L253,de_para!$A$1:$B$31,2,0)*base!M253,0)</f>
        <v/>
      </c>
      <c r="O253" s="38" t="n"/>
      <c r="P253" s="29" t="n"/>
      <c r="Q253" s="67">
        <f>IF(base!O253&lt;&gt;"",VLOOKUP(O253,de_para!$A$1:$B$31,2,0)*base!P253,0)</f>
        <v/>
      </c>
      <c r="R253" s="38" t="n"/>
      <c r="S253" s="29" t="n"/>
      <c r="T253" s="67">
        <f>IF(base!R253&lt;&gt;"",VLOOKUP(R253,de_para!$A$1:$B$31,2,0)*base!S253,0)</f>
        <v/>
      </c>
      <c r="U253" s="68">
        <f>H253+K253+N253+Q253+T253</f>
        <v/>
      </c>
    </row>
    <row r="254">
      <c r="A254" s="29" t="n"/>
      <c r="B254" s="29" t="n"/>
      <c r="C254" s="29" t="n"/>
      <c r="D254" s="29" t="n"/>
      <c r="E254" s="29" t="n"/>
      <c r="F254" s="29" t="n"/>
      <c r="G254" s="29" t="n"/>
      <c r="H254" s="67">
        <f>IF(base!F254&lt;&gt;"",VLOOKUP(F254,de_para!$A$1:$B$31,2,0)*base!G254,0)</f>
        <v/>
      </c>
      <c r="I254" s="38" t="n"/>
      <c r="J254" s="29" t="n"/>
      <c r="K254" s="67">
        <f>IF(base!I254&lt;&gt;"",VLOOKUP(I254,de_para!$A$1:$B$31,2,0)*base!J254,0)</f>
        <v/>
      </c>
      <c r="L254" s="38" t="n"/>
      <c r="M254" s="29" t="n"/>
      <c r="N254" s="67">
        <f>IF(base!L254&lt;&gt;"",VLOOKUP(L254,de_para!$A$1:$B$31,2,0)*base!M254,0)</f>
        <v/>
      </c>
      <c r="O254" s="38" t="n"/>
      <c r="P254" s="29" t="n"/>
      <c r="Q254" s="67">
        <f>IF(base!O254&lt;&gt;"",VLOOKUP(O254,de_para!$A$1:$B$31,2,0)*base!P254,0)</f>
        <v/>
      </c>
      <c r="R254" s="38" t="n"/>
      <c r="S254" s="29" t="n"/>
      <c r="T254" s="67">
        <f>IF(base!R254&lt;&gt;"",VLOOKUP(R254,de_para!$A$1:$B$31,2,0)*base!S254,0)</f>
        <v/>
      </c>
      <c r="U254" s="68">
        <f>H254+K254+N254+Q254+T254</f>
        <v/>
      </c>
    </row>
    <row r="255">
      <c r="A255" s="29" t="n"/>
      <c r="B255" s="29" t="n"/>
      <c r="C255" s="29" t="n"/>
      <c r="D255" s="29" t="n"/>
      <c r="E255" s="29" t="n"/>
      <c r="F255" s="29" t="n"/>
      <c r="G255" s="29" t="n"/>
      <c r="H255" s="67">
        <f>IF(base!F255&lt;&gt;"",VLOOKUP(F255,de_para!$A$1:$B$31,2,0)*base!G255,0)</f>
        <v/>
      </c>
      <c r="I255" s="38" t="n"/>
      <c r="J255" s="29" t="n"/>
      <c r="K255" s="67">
        <f>IF(base!I255&lt;&gt;"",VLOOKUP(I255,de_para!$A$1:$B$31,2,0)*base!J255,0)</f>
        <v/>
      </c>
      <c r="L255" s="38" t="n"/>
      <c r="M255" s="29" t="n"/>
      <c r="N255" s="67">
        <f>IF(base!L255&lt;&gt;"",VLOOKUP(L255,de_para!$A$1:$B$31,2,0)*base!M255,0)</f>
        <v/>
      </c>
      <c r="O255" s="38" t="n"/>
      <c r="P255" s="29" t="n"/>
      <c r="Q255" s="67">
        <f>IF(base!O255&lt;&gt;"",VLOOKUP(O255,de_para!$A$1:$B$31,2,0)*base!P255,0)</f>
        <v/>
      </c>
      <c r="R255" s="38" t="n"/>
      <c r="S255" s="29" t="n"/>
      <c r="T255" s="67">
        <f>IF(base!R255&lt;&gt;"",VLOOKUP(R255,de_para!$A$1:$B$31,2,0)*base!S255,0)</f>
        <v/>
      </c>
      <c r="U255" s="68">
        <f>H255+K255+N255+Q255+T255</f>
        <v/>
      </c>
    </row>
    <row r="256">
      <c r="A256" s="29" t="n"/>
      <c r="B256" s="29" t="n"/>
      <c r="C256" s="29" t="n"/>
      <c r="D256" s="29" t="n"/>
      <c r="E256" s="29" t="n"/>
      <c r="F256" s="29" t="n"/>
      <c r="G256" s="29" t="n"/>
      <c r="H256" s="67">
        <f>IF(base!F256&lt;&gt;"",VLOOKUP(F256,de_para!$A$1:$B$31,2,0)*base!G256,0)</f>
        <v/>
      </c>
      <c r="I256" s="38" t="n"/>
      <c r="J256" s="29" t="n"/>
      <c r="K256" s="67">
        <f>IF(base!I256&lt;&gt;"",VLOOKUP(I256,de_para!$A$1:$B$31,2,0)*base!J256,0)</f>
        <v/>
      </c>
      <c r="L256" s="38" t="n"/>
      <c r="M256" s="29" t="n"/>
      <c r="N256" s="67">
        <f>IF(base!L256&lt;&gt;"",VLOOKUP(L256,de_para!$A$1:$B$31,2,0)*base!M256,0)</f>
        <v/>
      </c>
      <c r="O256" s="38" t="n"/>
      <c r="P256" s="29" t="n"/>
      <c r="Q256" s="67">
        <f>IF(base!O256&lt;&gt;"",VLOOKUP(O256,de_para!$A$1:$B$31,2,0)*base!P256,0)</f>
        <v/>
      </c>
      <c r="R256" s="38" t="n"/>
      <c r="S256" s="29" t="n"/>
      <c r="T256" s="67">
        <f>IF(base!R256&lt;&gt;"",VLOOKUP(R256,de_para!$A$1:$B$31,2,0)*base!S256,0)</f>
        <v/>
      </c>
      <c r="U256" s="68">
        <f>H256+K256+N256+Q256+T256</f>
        <v/>
      </c>
    </row>
    <row r="257">
      <c r="A257" s="29" t="n"/>
      <c r="B257" s="29" t="n"/>
      <c r="C257" s="29" t="n"/>
      <c r="D257" s="29" t="n"/>
      <c r="E257" s="29" t="n"/>
      <c r="F257" s="29" t="n"/>
      <c r="G257" s="29" t="n"/>
      <c r="H257" s="67">
        <f>IF(base!F257&lt;&gt;"",VLOOKUP(F257,de_para!$A$1:$B$31,2,0)*base!G257,0)</f>
        <v/>
      </c>
      <c r="I257" s="38" t="n"/>
      <c r="J257" s="29" t="n"/>
      <c r="K257" s="67">
        <f>IF(base!I257&lt;&gt;"",VLOOKUP(I257,de_para!$A$1:$B$31,2,0)*base!J257,0)</f>
        <v/>
      </c>
      <c r="L257" s="38" t="n"/>
      <c r="M257" s="29" t="n"/>
      <c r="N257" s="67">
        <f>IF(base!L257&lt;&gt;"",VLOOKUP(L257,de_para!$A$1:$B$31,2,0)*base!M257,0)</f>
        <v/>
      </c>
      <c r="O257" s="38" t="n"/>
      <c r="P257" s="29" t="n"/>
      <c r="Q257" s="67">
        <f>IF(base!O257&lt;&gt;"",VLOOKUP(O257,de_para!$A$1:$B$31,2,0)*base!P257,0)</f>
        <v/>
      </c>
      <c r="R257" s="38" t="n"/>
      <c r="S257" s="29" t="n"/>
      <c r="T257" s="67">
        <f>IF(base!R257&lt;&gt;"",VLOOKUP(R257,de_para!$A$1:$B$31,2,0)*base!S257,0)</f>
        <v/>
      </c>
      <c r="U257" s="68">
        <f>H257+K257+N257+Q257+T257</f>
        <v/>
      </c>
    </row>
    <row r="258">
      <c r="A258" s="29" t="n"/>
      <c r="B258" s="29" t="n"/>
      <c r="C258" s="29" t="n"/>
      <c r="D258" s="29" t="n"/>
      <c r="E258" s="29" t="n"/>
      <c r="F258" s="29" t="n"/>
      <c r="G258" s="29" t="n"/>
      <c r="H258" s="67">
        <f>IF(base!F258&lt;&gt;"",VLOOKUP(F258,de_para!$A$1:$B$31,2,0)*base!G258,0)</f>
        <v/>
      </c>
      <c r="I258" s="38" t="n"/>
      <c r="J258" s="29" t="n"/>
      <c r="K258" s="67">
        <f>IF(base!I258&lt;&gt;"",VLOOKUP(I258,de_para!$A$1:$B$31,2,0)*base!J258,0)</f>
        <v/>
      </c>
      <c r="L258" s="38" t="n"/>
      <c r="M258" s="29" t="n"/>
      <c r="N258" s="67">
        <f>IF(base!L258&lt;&gt;"",VLOOKUP(L258,de_para!$A$1:$B$31,2,0)*base!M258,0)</f>
        <v/>
      </c>
      <c r="O258" s="38" t="n"/>
      <c r="P258" s="29" t="n"/>
      <c r="Q258" s="67">
        <f>IF(base!O258&lt;&gt;"",VLOOKUP(O258,de_para!$A$1:$B$31,2,0)*base!P258,0)</f>
        <v/>
      </c>
      <c r="R258" s="38" t="n"/>
      <c r="S258" s="29" t="n"/>
      <c r="T258" s="67">
        <f>IF(base!R258&lt;&gt;"",VLOOKUP(R258,de_para!$A$1:$B$31,2,0)*base!S258,0)</f>
        <v/>
      </c>
      <c r="U258" s="68">
        <f>H258+K258+N258+Q258+T258</f>
        <v/>
      </c>
    </row>
    <row r="259">
      <c r="A259" s="29" t="n"/>
      <c r="B259" s="29" t="n"/>
      <c r="C259" s="29" t="n"/>
      <c r="D259" s="29" t="n"/>
      <c r="E259" s="29" t="n"/>
      <c r="F259" s="29" t="n"/>
      <c r="G259" s="29" t="n"/>
      <c r="H259" s="67">
        <f>IF(base!F259&lt;&gt;"",VLOOKUP(F259,de_para!$A$1:$B$31,2,0)*base!G259,0)</f>
        <v/>
      </c>
      <c r="I259" s="38" t="n"/>
      <c r="J259" s="29" t="n"/>
      <c r="K259" s="67">
        <f>IF(base!I259&lt;&gt;"",VLOOKUP(I259,de_para!$A$1:$B$31,2,0)*base!J259,0)</f>
        <v/>
      </c>
      <c r="L259" s="38" t="n"/>
      <c r="M259" s="29" t="n"/>
      <c r="N259" s="67">
        <f>IF(base!L259&lt;&gt;"",VLOOKUP(L259,de_para!$A$1:$B$31,2,0)*base!M259,0)</f>
        <v/>
      </c>
      <c r="O259" s="38" t="n"/>
      <c r="P259" s="29" t="n"/>
      <c r="Q259" s="67">
        <f>IF(base!O259&lt;&gt;"",VLOOKUP(O259,de_para!$A$1:$B$31,2,0)*base!P259,0)</f>
        <v/>
      </c>
      <c r="R259" s="38" t="n"/>
      <c r="S259" s="29" t="n"/>
      <c r="T259" s="67">
        <f>IF(base!R259&lt;&gt;"",VLOOKUP(R259,de_para!$A$1:$B$31,2,0)*base!S259,0)</f>
        <v/>
      </c>
      <c r="U259" s="68">
        <f>H259+K259+N259+Q259+T259</f>
        <v/>
      </c>
    </row>
    <row r="260">
      <c r="A260" s="29" t="n"/>
      <c r="B260" s="29" t="n"/>
      <c r="C260" s="29" t="n"/>
      <c r="D260" s="29" t="n"/>
      <c r="E260" s="29" t="n"/>
      <c r="F260" s="29" t="n"/>
      <c r="G260" s="29" t="n"/>
      <c r="H260" s="67">
        <f>IF(base!F260&lt;&gt;"",VLOOKUP(F260,de_para!$A$1:$B$31,2,0)*base!G260,0)</f>
        <v/>
      </c>
      <c r="I260" s="38" t="n"/>
      <c r="J260" s="29" t="n"/>
      <c r="K260" s="67">
        <f>IF(base!I260&lt;&gt;"",VLOOKUP(I260,de_para!$A$1:$B$31,2,0)*base!J260,0)</f>
        <v/>
      </c>
      <c r="L260" s="38" t="n"/>
      <c r="M260" s="29" t="n"/>
      <c r="N260" s="67">
        <f>IF(base!L260&lt;&gt;"",VLOOKUP(L260,de_para!$A$1:$B$31,2,0)*base!M260,0)</f>
        <v/>
      </c>
      <c r="O260" s="38" t="n"/>
      <c r="P260" s="29" t="n"/>
      <c r="Q260" s="67">
        <f>IF(base!O260&lt;&gt;"",VLOOKUP(O260,de_para!$A$1:$B$31,2,0)*base!P260,0)</f>
        <v/>
      </c>
      <c r="R260" s="38" t="n"/>
      <c r="S260" s="29" t="n"/>
      <c r="T260" s="67">
        <f>IF(base!R260&lt;&gt;"",VLOOKUP(R260,de_para!$A$1:$B$31,2,0)*base!S260,0)</f>
        <v/>
      </c>
      <c r="U260" s="68">
        <f>H260+K260+N260+Q260+T260</f>
        <v/>
      </c>
    </row>
    <row r="261">
      <c r="A261" s="29" t="n"/>
      <c r="B261" s="29" t="n"/>
      <c r="C261" s="29" t="n"/>
      <c r="D261" s="29" t="n"/>
      <c r="E261" s="29" t="n"/>
      <c r="F261" s="29" t="n"/>
      <c r="G261" s="29" t="n"/>
      <c r="H261" s="67">
        <f>IF(base!F261&lt;&gt;"",VLOOKUP(F261,de_para!$A$1:$B$31,2,0)*base!G261,0)</f>
        <v/>
      </c>
      <c r="I261" s="38" t="n"/>
      <c r="J261" s="29" t="n"/>
      <c r="K261" s="67">
        <f>IF(base!I261&lt;&gt;"",VLOOKUP(I261,de_para!$A$1:$B$31,2,0)*base!J261,0)</f>
        <v/>
      </c>
      <c r="L261" s="38" t="n"/>
      <c r="M261" s="29" t="n"/>
      <c r="N261" s="67">
        <f>IF(base!L261&lt;&gt;"",VLOOKUP(L261,de_para!$A$1:$B$31,2,0)*base!M261,0)</f>
        <v/>
      </c>
      <c r="O261" s="38" t="n"/>
      <c r="P261" s="29" t="n"/>
      <c r="Q261" s="67">
        <f>IF(base!O261&lt;&gt;"",VLOOKUP(O261,de_para!$A$1:$B$31,2,0)*base!P261,0)</f>
        <v/>
      </c>
      <c r="R261" s="38" t="n"/>
      <c r="S261" s="29" t="n"/>
      <c r="T261" s="67">
        <f>IF(base!R261&lt;&gt;"",VLOOKUP(R261,de_para!$A$1:$B$31,2,0)*base!S261,0)</f>
        <v/>
      </c>
      <c r="U261" s="68">
        <f>H261+K261+N261+Q261+T261</f>
        <v/>
      </c>
    </row>
    <row r="262">
      <c r="A262" s="29" t="n"/>
      <c r="B262" s="29" t="n"/>
      <c r="C262" s="29" t="n"/>
      <c r="D262" s="29" t="n"/>
      <c r="E262" s="29" t="n"/>
      <c r="F262" s="29" t="n"/>
      <c r="G262" s="29" t="n"/>
      <c r="H262" s="67">
        <f>IF(base!F262&lt;&gt;"",VLOOKUP(F262,de_para!$A$1:$B$31,2,0)*base!G262,0)</f>
        <v/>
      </c>
      <c r="I262" s="38" t="n"/>
      <c r="J262" s="29" t="n"/>
      <c r="K262" s="67">
        <f>IF(base!I262&lt;&gt;"",VLOOKUP(I262,de_para!$A$1:$B$31,2,0)*base!J262,0)</f>
        <v/>
      </c>
      <c r="L262" s="38" t="n"/>
      <c r="M262" s="29" t="n"/>
      <c r="N262" s="67">
        <f>IF(base!L262&lt;&gt;"",VLOOKUP(L262,de_para!$A$1:$B$31,2,0)*base!M262,0)</f>
        <v/>
      </c>
      <c r="O262" s="38" t="n"/>
      <c r="P262" s="29" t="n"/>
      <c r="Q262" s="67">
        <f>IF(base!O262&lt;&gt;"",VLOOKUP(O262,de_para!$A$1:$B$31,2,0)*base!P262,0)</f>
        <v/>
      </c>
      <c r="R262" s="38" t="n"/>
      <c r="S262" s="29" t="n"/>
      <c r="T262" s="67">
        <f>IF(base!R262&lt;&gt;"",VLOOKUP(R262,de_para!$A$1:$B$31,2,0)*base!S262,0)</f>
        <v/>
      </c>
      <c r="U262" s="68">
        <f>H262+K262+N262+Q262+T262</f>
        <v/>
      </c>
    </row>
    <row r="263">
      <c r="A263" s="29" t="n"/>
      <c r="B263" s="29" t="n"/>
      <c r="C263" s="29" t="n"/>
      <c r="D263" s="29" t="n"/>
      <c r="E263" s="29" t="n"/>
      <c r="F263" s="29" t="n"/>
      <c r="G263" s="29" t="n"/>
      <c r="H263" s="67">
        <f>IF(base!F263&lt;&gt;"",VLOOKUP(F263,de_para!$A$1:$B$31,2,0)*base!G263,0)</f>
        <v/>
      </c>
      <c r="I263" s="38" t="n"/>
      <c r="J263" s="29" t="n"/>
      <c r="K263" s="67">
        <f>IF(base!I263&lt;&gt;"",VLOOKUP(I263,de_para!$A$1:$B$31,2,0)*base!J263,0)</f>
        <v/>
      </c>
      <c r="L263" s="38" t="n"/>
      <c r="M263" s="29" t="n"/>
      <c r="N263" s="67">
        <f>IF(base!L263&lt;&gt;"",VLOOKUP(L263,de_para!$A$1:$B$31,2,0)*base!M263,0)</f>
        <v/>
      </c>
      <c r="O263" s="38" t="n"/>
      <c r="P263" s="29" t="n"/>
      <c r="Q263" s="67">
        <f>IF(base!O263&lt;&gt;"",VLOOKUP(O263,de_para!$A$1:$B$31,2,0)*base!P263,0)</f>
        <v/>
      </c>
      <c r="R263" s="38" t="n"/>
      <c r="S263" s="29" t="n"/>
      <c r="T263" s="67">
        <f>IF(base!R263&lt;&gt;"",VLOOKUP(R263,de_para!$A$1:$B$31,2,0)*base!S263,0)</f>
        <v/>
      </c>
      <c r="U263" s="68">
        <f>H263+K263+N263+Q263+T263</f>
        <v/>
      </c>
    </row>
    <row r="264">
      <c r="A264" s="29" t="n"/>
      <c r="B264" s="29" t="n"/>
      <c r="C264" s="29" t="n"/>
      <c r="D264" s="29" t="n"/>
      <c r="E264" s="29" t="n"/>
      <c r="F264" s="29" t="n"/>
      <c r="G264" s="29" t="n"/>
      <c r="H264" s="67">
        <f>IF(base!F264&lt;&gt;"",VLOOKUP(F264,de_para!$A$1:$B$31,2,0)*base!G264,0)</f>
        <v/>
      </c>
      <c r="I264" s="38" t="n"/>
      <c r="J264" s="29" t="n"/>
      <c r="K264" s="67">
        <f>IF(base!I264&lt;&gt;"",VLOOKUP(I264,de_para!$A$1:$B$31,2,0)*base!J264,0)</f>
        <v/>
      </c>
      <c r="L264" s="38" t="n"/>
      <c r="M264" s="29" t="n"/>
      <c r="N264" s="67">
        <f>IF(base!L264&lt;&gt;"",VLOOKUP(L264,de_para!$A$1:$B$31,2,0)*base!M264,0)</f>
        <v/>
      </c>
      <c r="O264" s="38" t="n"/>
      <c r="P264" s="29" t="n"/>
      <c r="Q264" s="67">
        <f>IF(base!O264&lt;&gt;"",VLOOKUP(O264,de_para!$A$1:$B$31,2,0)*base!P264,0)</f>
        <v/>
      </c>
      <c r="R264" s="38" t="n"/>
      <c r="S264" s="29" t="n"/>
      <c r="T264" s="67">
        <f>IF(base!R264&lt;&gt;"",VLOOKUP(R264,de_para!$A$1:$B$31,2,0)*base!S264,0)</f>
        <v/>
      </c>
      <c r="U264" s="68">
        <f>H264+K264+N264+Q264+T264</f>
        <v/>
      </c>
    </row>
    <row r="265">
      <c r="A265" s="29" t="n"/>
      <c r="B265" s="29" t="n"/>
      <c r="C265" s="29" t="n"/>
      <c r="D265" s="29" t="n"/>
      <c r="E265" s="29" t="n"/>
      <c r="F265" s="29" t="n"/>
      <c r="G265" s="29" t="n"/>
      <c r="H265" s="67">
        <f>IF(base!F265&lt;&gt;"",VLOOKUP(F265,de_para!$A$1:$B$31,2,0)*base!G265,0)</f>
        <v/>
      </c>
      <c r="I265" s="38" t="n"/>
      <c r="J265" s="29" t="n"/>
      <c r="K265" s="67">
        <f>IF(base!I265&lt;&gt;"",VLOOKUP(I265,de_para!$A$1:$B$31,2,0)*base!J265,0)</f>
        <v/>
      </c>
      <c r="L265" s="38" t="n"/>
      <c r="M265" s="29" t="n"/>
      <c r="N265" s="67">
        <f>IF(base!L265&lt;&gt;"",VLOOKUP(L265,de_para!$A$1:$B$31,2,0)*base!M265,0)</f>
        <v/>
      </c>
      <c r="O265" s="38" t="n"/>
      <c r="P265" s="29" t="n"/>
      <c r="Q265" s="67">
        <f>IF(base!O265&lt;&gt;"",VLOOKUP(O265,de_para!$A$1:$B$31,2,0)*base!P265,0)</f>
        <v/>
      </c>
      <c r="R265" s="38" t="n"/>
      <c r="S265" s="29" t="n"/>
      <c r="T265" s="67">
        <f>IF(base!R265&lt;&gt;"",VLOOKUP(R265,de_para!$A$1:$B$31,2,0)*base!S265,0)</f>
        <v/>
      </c>
      <c r="U265" s="68">
        <f>H265+K265+N265+Q265+T265</f>
        <v/>
      </c>
    </row>
    <row r="266">
      <c r="A266" s="29" t="n"/>
      <c r="B266" s="29" t="n"/>
      <c r="C266" s="29" t="n"/>
      <c r="D266" s="29" t="n"/>
      <c r="E266" s="29" t="n"/>
      <c r="F266" s="29" t="n"/>
      <c r="G266" s="29" t="n"/>
      <c r="H266" s="67">
        <f>IF(base!F266&lt;&gt;"",VLOOKUP(F266,de_para!$A$1:$B$31,2,0)*base!G266,0)</f>
        <v/>
      </c>
      <c r="I266" s="38" t="n"/>
      <c r="J266" s="29" t="n"/>
      <c r="K266" s="67">
        <f>IF(base!I266&lt;&gt;"",VLOOKUP(I266,de_para!$A$1:$B$31,2,0)*base!J266,0)</f>
        <v/>
      </c>
      <c r="L266" s="38" t="n"/>
      <c r="M266" s="29" t="n"/>
      <c r="N266" s="67">
        <f>IF(base!L266&lt;&gt;"",VLOOKUP(L266,de_para!$A$1:$B$31,2,0)*base!M266,0)</f>
        <v/>
      </c>
      <c r="O266" s="38" t="n"/>
      <c r="P266" s="29" t="n"/>
      <c r="Q266" s="67">
        <f>IF(base!O266&lt;&gt;"",VLOOKUP(O266,de_para!$A$1:$B$31,2,0)*base!P266,0)</f>
        <v/>
      </c>
      <c r="R266" s="38" t="n"/>
      <c r="S266" s="29" t="n"/>
      <c r="T266" s="67">
        <f>IF(base!R266&lt;&gt;"",VLOOKUP(R266,de_para!$A$1:$B$31,2,0)*base!S266,0)</f>
        <v/>
      </c>
      <c r="U266" s="68">
        <f>H266+K266+N266+Q266+T266</f>
        <v/>
      </c>
    </row>
    <row r="267">
      <c r="A267" s="29" t="n"/>
      <c r="B267" s="29" t="n"/>
      <c r="C267" s="29" t="n"/>
      <c r="D267" s="29" t="n"/>
      <c r="E267" s="29" t="n"/>
      <c r="F267" s="29" t="n"/>
      <c r="G267" s="29" t="n"/>
      <c r="H267" s="67">
        <f>IF(base!F267&lt;&gt;"",VLOOKUP(F267,de_para!$A$1:$B$31,2,0)*base!G267,0)</f>
        <v/>
      </c>
      <c r="I267" s="38" t="n"/>
      <c r="J267" s="29" t="n"/>
      <c r="K267" s="67">
        <f>IF(base!I267&lt;&gt;"",VLOOKUP(I267,de_para!$A$1:$B$31,2,0)*base!J267,0)</f>
        <v/>
      </c>
      <c r="L267" s="38" t="n"/>
      <c r="M267" s="29" t="n"/>
      <c r="N267" s="67">
        <f>IF(base!L267&lt;&gt;"",VLOOKUP(L267,de_para!$A$1:$B$31,2,0)*base!M267,0)</f>
        <v/>
      </c>
      <c r="O267" s="38" t="n"/>
      <c r="P267" s="29" t="n"/>
      <c r="Q267" s="67">
        <f>IF(base!O267&lt;&gt;"",VLOOKUP(O267,de_para!$A$1:$B$31,2,0)*base!P267,0)</f>
        <v/>
      </c>
      <c r="R267" s="38" t="n"/>
      <c r="S267" s="29" t="n"/>
      <c r="T267" s="67">
        <f>IF(base!R267&lt;&gt;"",VLOOKUP(R267,de_para!$A$1:$B$31,2,0)*base!S267,0)</f>
        <v/>
      </c>
      <c r="U267" s="68">
        <f>H267+K267+N267+Q267+T267</f>
        <v/>
      </c>
    </row>
    <row r="268">
      <c r="A268" s="29" t="n"/>
      <c r="B268" s="29" t="n"/>
      <c r="C268" s="29" t="n"/>
      <c r="D268" s="29" t="n"/>
      <c r="E268" s="29" t="n"/>
      <c r="F268" s="29" t="n"/>
      <c r="G268" s="29" t="n"/>
      <c r="H268" s="67">
        <f>IF(base!F268&lt;&gt;"",VLOOKUP(F268,de_para!$A$1:$B$31,2,0)*base!G268,0)</f>
        <v/>
      </c>
      <c r="I268" s="38" t="n"/>
      <c r="J268" s="29" t="n"/>
      <c r="K268" s="67">
        <f>IF(base!I268&lt;&gt;"",VLOOKUP(I268,de_para!$A$1:$B$31,2,0)*base!J268,0)</f>
        <v/>
      </c>
      <c r="L268" s="38" t="n"/>
      <c r="M268" s="29" t="n"/>
      <c r="N268" s="67">
        <f>IF(base!L268&lt;&gt;"",VLOOKUP(L268,de_para!$A$1:$B$31,2,0)*base!M268,0)</f>
        <v/>
      </c>
      <c r="O268" s="38" t="n"/>
      <c r="P268" s="29" t="n"/>
      <c r="Q268" s="67">
        <f>IF(base!O268&lt;&gt;"",VLOOKUP(O268,de_para!$A$1:$B$31,2,0)*base!P268,0)</f>
        <v/>
      </c>
      <c r="R268" s="38" t="n"/>
      <c r="S268" s="29" t="n"/>
      <c r="T268" s="67">
        <f>IF(base!R268&lt;&gt;"",VLOOKUP(R268,de_para!$A$1:$B$31,2,0)*base!S268,0)</f>
        <v/>
      </c>
      <c r="U268" s="68">
        <f>H268+K268+N268+Q268+T268</f>
        <v/>
      </c>
    </row>
    <row r="269">
      <c r="A269" s="29" t="n"/>
      <c r="B269" s="29" t="n"/>
      <c r="C269" s="29" t="n"/>
      <c r="D269" s="29" t="n"/>
      <c r="E269" s="29" t="n"/>
      <c r="F269" s="29" t="n"/>
      <c r="G269" s="29" t="n"/>
      <c r="H269" s="67">
        <f>IF(base!F269&lt;&gt;"",VLOOKUP(F269,de_para!$A$1:$B$31,2,0)*base!G269,0)</f>
        <v/>
      </c>
      <c r="I269" s="38" t="n"/>
      <c r="J269" s="29" t="n"/>
      <c r="K269" s="67">
        <f>IF(base!I269&lt;&gt;"",VLOOKUP(I269,de_para!$A$1:$B$31,2,0)*base!J269,0)</f>
        <v/>
      </c>
      <c r="L269" s="38" t="n"/>
      <c r="M269" s="29" t="n"/>
      <c r="N269" s="67">
        <f>IF(base!L269&lt;&gt;"",VLOOKUP(L269,de_para!$A$1:$B$31,2,0)*base!M269,0)</f>
        <v/>
      </c>
      <c r="O269" s="38" t="n"/>
      <c r="P269" s="29" t="n"/>
      <c r="Q269" s="67">
        <f>IF(base!O269&lt;&gt;"",VLOOKUP(O269,de_para!$A$1:$B$31,2,0)*base!P269,0)</f>
        <v/>
      </c>
      <c r="R269" s="38" t="n"/>
      <c r="S269" s="29" t="n"/>
      <c r="T269" s="67">
        <f>IF(base!R269&lt;&gt;"",VLOOKUP(R269,de_para!$A$1:$B$31,2,0)*base!S269,0)</f>
        <v/>
      </c>
      <c r="U269" s="68">
        <f>H269+K269+N269+Q269+T269</f>
        <v/>
      </c>
    </row>
    <row r="270">
      <c r="A270" s="29" t="n"/>
      <c r="B270" s="29" t="n"/>
      <c r="C270" s="29" t="n"/>
      <c r="D270" s="29" t="n"/>
      <c r="E270" s="29" t="n"/>
      <c r="F270" s="29" t="n"/>
      <c r="G270" s="29" t="n"/>
      <c r="H270" s="67">
        <f>IF(base!F270&lt;&gt;"",VLOOKUP(F270,de_para!$A$1:$B$31,2,0)*base!G270,0)</f>
        <v/>
      </c>
      <c r="I270" s="38" t="n"/>
      <c r="J270" s="29" t="n"/>
      <c r="K270" s="67">
        <f>IF(base!I270&lt;&gt;"",VLOOKUP(I270,de_para!$A$1:$B$31,2,0)*base!J270,0)</f>
        <v/>
      </c>
      <c r="L270" s="38" t="n"/>
      <c r="M270" s="29" t="n"/>
      <c r="N270" s="67">
        <f>IF(base!L270&lt;&gt;"",VLOOKUP(L270,de_para!$A$1:$B$31,2,0)*base!M270,0)</f>
        <v/>
      </c>
      <c r="O270" s="38" t="n"/>
      <c r="P270" s="29" t="n"/>
      <c r="Q270" s="67">
        <f>IF(base!O270&lt;&gt;"",VLOOKUP(O270,de_para!$A$1:$B$31,2,0)*base!P270,0)</f>
        <v/>
      </c>
      <c r="R270" s="38" t="n"/>
      <c r="S270" s="29" t="n"/>
      <c r="T270" s="67">
        <f>IF(base!R270&lt;&gt;"",VLOOKUP(R270,de_para!$A$1:$B$31,2,0)*base!S270,0)</f>
        <v/>
      </c>
      <c r="U270" s="68">
        <f>H270+K270+N270+Q270+T270</f>
        <v/>
      </c>
    </row>
    <row r="271">
      <c r="A271" s="29" t="n"/>
      <c r="B271" s="29" t="n"/>
      <c r="C271" s="29" t="n"/>
      <c r="D271" s="29" t="n"/>
      <c r="E271" s="29" t="n"/>
      <c r="F271" s="29" t="n"/>
      <c r="G271" s="29" t="n"/>
      <c r="H271" s="67">
        <f>IF(base!F271&lt;&gt;"",VLOOKUP(F271,de_para!$A$1:$B$31,2,0)*base!G271,0)</f>
        <v/>
      </c>
      <c r="I271" s="38" t="n"/>
      <c r="J271" s="29" t="n"/>
      <c r="K271" s="67">
        <f>IF(base!I271&lt;&gt;"",VLOOKUP(I271,de_para!$A$1:$B$31,2,0)*base!J271,0)</f>
        <v/>
      </c>
      <c r="L271" s="38" t="n"/>
      <c r="M271" s="29" t="n"/>
      <c r="N271" s="67">
        <f>IF(base!L271&lt;&gt;"",VLOOKUP(L271,de_para!$A$1:$B$31,2,0)*base!M271,0)</f>
        <v/>
      </c>
      <c r="O271" s="38" t="n"/>
      <c r="P271" s="29" t="n"/>
      <c r="Q271" s="67">
        <f>IF(base!O271&lt;&gt;"",VLOOKUP(O271,de_para!$A$1:$B$31,2,0)*base!P271,0)</f>
        <v/>
      </c>
      <c r="R271" s="38" t="n"/>
      <c r="S271" s="29" t="n"/>
      <c r="T271" s="67">
        <f>IF(base!R271&lt;&gt;"",VLOOKUP(R271,de_para!$A$1:$B$31,2,0)*base!S271,0)</f>
        <v/>
      </c>
      <c r="U271" s="68">
        <f>H271+K271+N271+Q271+T271</f>
        <v/>
      </c>
    </row>
    <row r="272">
      <c r="A272" s="29" t="n"/>
      <c r="B272" s="29" t="n"/>
      <c r="C272" s="29" t="n"/>
      <c r="D272" s="29" t="n"/>
      <c r="E272" s="29" t="n"/>
      <c r="F272" s="29" t="n"/>
      <c r="G272" s="29" t="n"/>
      <c r="H272" s="67">
        <f>IF(base!F272&lt;&gt;"",VLOOKUP(F272,de_para!$A$1:$B$31,2,0)*base!G272,0)</f>
        <v/>
      </c>
      <c r="I272" s="38" t="n"/>
      <c r="J272" s="29" t="n"/>
      <c r="K272" s="67">
        <f>IF(base!I272&lt;&gt;"",VLOOKUP(I272,de_para!$A$1:$B$31,2,0)*base!J272,0)</f>
        <v/>
      </c>
      <c r="L272" s="38" t="n"/>
      <c r="M272" s="29" t="n"/>
      <c r="N272" s="67">
        <f>IF(base!L272&lt;&gt;"",VLOOKUP(L272,de_para!$A$1:$B$31,2,0)*base!M272,0)</f>
        <v/>
      </c>
      <c r="O272" s="38" t="n"/>
      <c r="P272" s="29" t="n"/>
      <c r="Q272" s="67">
        <f>IF(base!O272&lt;&gt;"",VLOOKUP(O272,de_para!$A$1:$B$31,2,0)*base!P272,0)</f>
        <v/>
      </c>
      <c r="R272" s="38" t="n"/>
      <c r="S272" s="29" t="n"/>
      <c r="T272" s="67">
        <f>IF(base!R272&lt;&gt;"",VLOOKUP(R272,de_para!$A$1:$B$31,2,0)*base!S272,0)</f>
        <v/>
      </c>
      <c r="U272" s="68">
        <f>H272+K272+N272+Q272+T272</f>
        <v/>
      </c>
    </row>
    <row r="273">
      <c r="A273" s="29" t="n"/>
      <c r="B273" s="29" t="n"/>
      <c r="C273" s="29" t="n"/>
      <c r="D273" s="29" t="n"/>
      <c r="E273" s="29" t="n"/>
      <c r="F273" s="29" t="n"/>
      <c r="G273" s="29" t="n"/>
      <c r="H273" s="67">
        <f>IF(base!F273&lt;&gt;"",VLOOKUP(F273,de_para!$A$1:$B$31,2,0)*base!G273,0)</f>
        <v/>
      </c>
      <c r="I273" s="38" t="n"/>
      <c r="J273" s="29" t="n"/>
      <c r="K273" s="67">
        <f>IF(base!I273&lt;&gt;"",VLOOKUP(I273,de_para!$A$1:$B$31,2,0)*base!J273,0)</f>
        <v/>
      </c>
      <c r="L273" s="38" t="n"/>
      <c r="M273" s="29" t="n"/>
      <c r="N273" s="67">
        <f>IF(base!L273&lt;&gt;"",VLOOKUP(L273,de_para!$A$1:$B$31,2,0)*base!M273,0)</f>
        <v/>
      </c>
      <c r="O273" s="38" t="n"/>
      <c r="P273" s="29" t="n"/>
      <c r="Q273" s="67">
        <f>IF(base!O273&lt;&gt;"",VLOOKUP(O273,de_para!$A$1:$B$31,2,0)*base!P273,0)</f>
        <v/>
      </c>
      <c r="R273" s="38" t="n"/>
      <c r="S273" s="29" t="n"/>
      <c r="T273" s="67">
        <f>IF(base!R273&lt;&gt;"",VLOOKUP(R273,de_para!$A$1:$B$31,2,0)*base!S273,0)</f>
        <v/>
      </c>
      <c r="U273" s="68">
        <f>H273+K273+N273+Q273+T273</f>
        <v/>
      </c>
    </row>
    <row r="274">
      <c r="A274" s="29" t="n"/>
      <c r="B274" s="29" t="n"/>
      <c r="C274" s="29" t="n"/>
      <c r="D274" s="29" t="n"/>
      <c r="E274" s="29" t="n"/>
      <c r="F274" s="29" t="n"/>
      <c r="G274" s="29" t="n"/>
      <c r="H274" s="67">
        <f>IF(base!F274&lt;&gt;"",VLOOKUP(F274,de_para!$A$1:$B$31,2,0)*base!G274,0)</f>
        <v/>
      </c>
      <c r="I274" s="38" t="n"/>
      <c r="J274" s="29" t="n"/>
      <c r="K274" s="67">
        <f>IF(base!I274&lt;&gt;"",VLOOKUP(I274,de_para!$A$1:$B$31,2,0)*base!J274,0)</f>
        <v/>
      </c>
      <c r="L274" s="38" t="n"/>
      <c r="M274" s="29" t="n"/>
      <c r="N274" s="67">
        <f>IF(base!L274&lt;&gt;"",VLOOKUP(L274,de_para!$A$1:$B$31,2,0)*base!M274,0)</f>
        <v/>
      </c>
      <c r="O274" s="38" t="n"/>
      <c r="P274" s="29" t="n"/>
      <c r="Q274" s="67">
        <f>IF(base!O274&lt;&gt;"",VLOOKUP(O274,de_para!$A$1:$B$31,2,0)*base!P274,0)</f>
        <v/>
      </c>
      <c r="R274" s="38" t="n"/>
      <c r="S274" s="29" t="n"/>
      <c r="T274" s="67">
        <f>IF(base!R274&lt;&gt;"",VLOOKUP(R274,de_para!$A$1:$B$31,2,0)*base!S274,0)</f>
        <v/>
      </c>
      <c r="U274" s="68">
        <f>H274+K274+N274+Q274+T274</f>
        <v/>
      </c>
    </row>
    <row r="275">
      <c r="A275" s="29" t="n"/>
      <c r="B275" s="29" t="n"/>
      <c r="C275" s="29" t="n"/>
      <c r="D275" s="29" t="n"/>
      <c r="E275" s="29" t="n"/>
      <c r="F275" s="29" t="n"/>
      <c r="G275" s="29" t="n"/>
      <c r="H275" s="67">
        <f>IF(base!F275&lt;&gt;"",VLOOKUP(F275,de_para!$A$1:$B$31,2,0)*base!G275,0)</f>
        <v/>
      </c>
      <c r="I275" s="38" t="n"/>
      <c r="J275" s="29" t="n"/>
      <c r="K275" s="67">
        <f>IF(base!I275&lt;&gt;"",VLOOKUP(I275,de_para!$A$1:$B$31,2,0)*base!J275,0)</f>
        <v/>
      </c>
      <c r="L275" s="38" t="n"/>
      <c r="M275" s="29" t="n"/>
      <c r="N275" s="67">
        <f>IF(base!L275&lt;&gt;"",VLOOKUP(L275,de_para!$A$1:$B$31,2,0)*base!M275,0)</f>
        <v/>
      </c>
      <c r="O275" s="38" t="n"/>
      <c r="P275" s="29" t="n"/>
      <c r="Q275" s="67">
        <f>IF(base!O275&lt;&gt;"",VLOOKUP(O275,de_para!$A$1:$B$31,2,0)*base!P275,0)</f>
        <v/>
      </c>
      <c r="R275" s="38" t="n"/>
      <c r="S275" s="29" t="n"/>
      <c r="T275" s="67">
        <f>IF(base!R275&lt;&gt;"",VLOOKUP(R275,de_para!$A$1:$B$31,2,0)*base!S275,0)</f>
        <v/>
      </c>
      <c r="U275" s="68">
        <f>H275+K275+N275+Q275+T275</f>
        <v/>
      </c>
    </row>
    <row r="276">
      <c r="A276" s="29" t="n"/>
      <c r="B276" s="29" t="n"/>
      <c r="C276" s="29" t="n"/>
      <c r="D276" s="29" t="n"/>
      <c r="E276" s="29" t="n"/>
      <c r="F276" s="29" t="n"/>
      <c r="G276" s="29" t="n"/>
      <c r="H276" s="67">
        <f>IF(base!F276&lt;&gt;"",VLOOKUP(F276,de_para!$A$1:$B$31,2,0)*base!G276,0)</f>
        <v/>
      </c>
      <c r="I276" s="38" t="n"/>
      <c r="J276" s="29" t="n"/>
      <c r="K276" s="67">
        <f>IF(base!I276&lt;&gt;"",VLOOKUP(I276,de_para!$A$1:$B$31,2,0)*base!J276,0)</f>
        <v/>
      </c>
      <c r="L276" s="38" t="n"/>
      <c r="M276" s="29" t="n"/>
      <c r="N276" s="67">
        <f>IF(base!L276&lt;&gt;"",VLOOKUP(L276,de_para!$A$1:$B$31,2,0)*base!M276,0)</f>
        <v/>
      </c>
      <c r="O276" s="38" t="n"/>
      <c r="P276" s="29" t="n"/>
      <c r="Q276" s="67">
        <f>IF(base!O276&lt;&gt;"",VLOOKUP(O276,de_para!$A$1:$B$31,2,0)*base!P276,0)</f>
        <v/>
      </c>
      <c r="R276" s="38" t="n"/>
      <c r="S276" s="29" t="n"/>
      <c r="T276" s="67">
        <f>IF(base!R276&lt;&gt;"",VLOOKUP(R276,de_para!$A$1:$B$31,2,0)*base!S276,0)</f>
        <v/>
      </c>
      <c r="U276" s="68">
        <f>H276+K276+N276+Q276+T276</f>
        <v/>
      </c>
    </row>
    <row r="277">
      <c r="A277" s="29" t="n"/>
      <c r="B277" s="29" t="n"/>
      <c r="C277" s="29" t="n"/>
      <c r="D277" s="29" t="n"/>
      <c r="E277" s="29" t="n"/>
      <c r="F277" s="29" t="n"/>
      <c r="G277" s="29" t="n"/>
      <c r="H277" s="67">
        <f>IF(base!F277&lt;&gt;"",VLOOKUP(F277,de_para!$A$1:$B$31,2,0)*base!G277,0)</f>
        <v/>
      </c>
      <c r="I277" s="38" t="n"/>
      <c r="J277" s="29" t="n"/>
      <c r="K277" s="67">
        <f>IF(base!I277&lt;&gt;"",VLOOKUP(I277,de_para!$A$1:$B$31,2,0)*base!J277,0)</f>
        <v/>
      </c>
      <c r="L277" s="38" t="n"/>
      <c r="M277" s="29" t="n"/>
      <c r="N277" s="67">
        <f>IF(base!L277&lt;&gt;"",VLOOKUP(L277,de_para!$A$1:$B$31,2,0)*base!M277,0)</f>
        <v/>
      </c>
      <c r="O277" s="38" t="n"/>
      <c r="P277" s="29" t="n"/>
      <c r="Q277" s="67">
        <f>IF(base!O277&lt;&gt;"",VLOOKUP(O277,de_para!$A$1:$B$31,2,0)*base!P277,0)</f>
        <v/>
      </c>
      <c r="R277" s="38" t="n"/>
      <c r="S277" s="29" t="n"/>
      <c r="T277" s="67">
        <f>IF(base!R277&lt;&gt;"",VLOOKUP(R277,de_para!$A$1:$B$31,2,0)*base!S277,0)</f>
        <v/>
      </c>
      <c r="U277" s="68">
        <f>H277+K277+N277+Q277+T277</f>
        <v/>
      </c>
    </row>
    <row r="278">
      <c r="A278" s="29" t="n"/>
      <c r="B278" s="29" t="n"/>
      <c r="C278" s="29" t="n"/>
      <c r="D278" s="29" t="n"/>
      <c r="E278" s="29" t="n"/>
      <c r="F278" s="29" t="n"/>
      <c r="G278" s="29" t="n"/>
      <c r="H278" s="67">
        <f>IF(base!F278&lt;&gt;"",VLOOKUP(F278,de_para!$A$1:$B$31,2,0)*base!G278,0)</f>
        <v/>
      </c>
      <c r="I278" s="38" t="n"/>
      <c r="J278" s="29" t="n"/>
      <c r="K278" s="67">
        <f>IF(base!I278&lt;&gt;"",VLOOKUP(I278,de_para!$A$1:$B$31,2,0)*base!J278,0)</f>
        <v/>
      </c>
      <c r="L278" s="38" t="n"/>
      <c r="M278" s="29" t="n"/>
      <c r="N278" s="67">
        <f>IF(base!L278&lt;&gt;"",VLOOKUP(L278,de_para!$A$1:$B$31,2,0)*base!M278,0)</f>
        <v/>
      </c>
      <c r="O278" s="38" t="n"/>
      <c r="P278" s="29" t="n"/>
      <c r="Q278" s="67">
        <f>IF(base!O278&lt;&gt;"",VLOOKUP(O278,de_para!$A$1:$B$31,2,0)*base!P278,0)</f>
        <v/>
      </c>
      <c r="R278" s="38" t="n"/>
      <c r="S278" s="29" t="n"/>
      <c r="T278" s="67">
        <f>IF(base!R278&lt;&gt;"",VLOOKUP(R278,de_para!$A$1:$B$31,2,0)*base!S278,0)</f>
        <v/>
      </c>
      <c r="U278" s="68">
        <f>H278+K278+N278+Q278+T278</f>
        <v/>
      </c>
    </row>
    <row r="279">
      <c r="A279" s="29" t="n"/>
      <c r="B279" s="29" t="n"/>
      <c r="C279" s="29" t="n"/>
      <c r="D279" s="29" t="n"/>
      <c r="E279" s="29" t="n"/>
      <c r="F279" s="29" t="n"/>
      <c r="G279" s="29" t="n"/>
      <c r="H279" s="67">
        <f>IF(base!F279&lt;&gt;"",VLOOKUP(F279,de_para!$A$1:$B$31,2,0)*base!G279,0)</f>
        <v/>
      </c>
      <c r="I279" s="38" t="n"/>
      <c r="J279" s="29" t="n"/>
      <c r="K279" s="67">
        <f>IF(base!I279&lt;&gt;"",VLOOKUP(I279,de_para!$A$1:$B$31,2,0)*base!J279,0)</f>
        <v/>
      </c>
      <c r="L279" s="38" t="n"/>
      <c r="M279" s="29" t="n"/>
      <c r="N279" s="67">
        <f>IF(base!L279&lt;&gt;"",VLOOKUP(L279,de_para!$A$1:$B$31,2,0)*base!M279,0)</f>
        <v/>
      </c>
      <c r="O279" s="38" t="n"/>
      <c r="P279" s="29" t="n"/>
      <c r="Q279" s="67">
        <f>IF(base!O279&lt;&gt;"",VLOOKUP(O279,de_para!$A$1:$B$31,2,0)*base!P279,0)</f>
        <v/>
      </c>
      <c r="R279" s="38" t="n"/>
      <c r="S279" s="29" t="n"/>
      <c r="T279" s="67">
        <f>IF(base!R279&lt;&gt;"",VLOOKUP(R279,de_para!$A$1:$B$31,2,0)*base!S279,0)</f>
        <v/>
      </c>
      <c r="U279" s="68">
        <f>H279+K279+N279+Q279+T279</f>
        <v/>
      </c>
    </row>
    <row r="280">
      <c r="A280" s="29" t="n"/>
      <c r="B280" s="29" t="n"/>
      <c r="C280" s="29" t="n"/>
      <c r="D280" s="29" t="n"/>
      <c r="E280" s="29" t="n"/>
      <c r="F280" s="29" t="n"/>
      <c r="G280" s="29" t="n"/>
      <c r="H280" s="67">
        <f>IF(base!F280&lt;&gt;"",VLOOKUP(F280,de_para!$A$1:$B$31,2,0)*base!G280,0)</f>
        <v/>
      </c>
      <c r="I280" s="38" t="n"/>
      <c r="J280" s="29" t="n"/>
      <c r="K280" s="67">
        <f>IF(base!I280&lt;&gt;"",VLOOKUP(I280,de_para!$A$1:$B$31,2,0)*base!J280,0)</f>
        <v/>
      </c>
      <c r="L280" s="38" t="n"/>
      <c r="M280" s="29" t="n"/>
      <c r="N280" s="67">
        <f>IF(base!L280&lt;&gt;"",VLOOKUP(L280,de_para!$A$1:$B$31,2,0)*base!M280,0)</f>
        <v/>
      </c>
      <c r="O280" s="38" t="n"/>
      <c r="P280" s="29" t="n"/>
      <c r="Q280" s="67">
        <f>IF(base!O280&lt;&gt;"",VLOOKUP(O280,de_para!$A$1:$B$31,2,0)*base!P280,0)</f>
        <v/>
      </c>
      <c r="R280" s="38" t="n"/>
      <c r="S280" s="29" t="n"/>
      <c r="T280" s="67">
        <f>IF(base!R280&lt;&gt;"",VLOOKUP(R280,de_para!$A$1:$B$31,2,0)*base!S280,0)</f>
        <v/>
      </c>
      <c r="U280" s="68">
        <f>H280+K280+N280+Q280+T280</f>
        <v/>
      </c>
    </row>
    <row r="281">
      <c r="A281" s="29" t="n"/>
      <c r="B281" s="29" t="n"/>
      <c r="C281" s="29" t="n"/>
      <c r="D281" s="29" t="n"/>
      <c r="E281" s="29" t="n"/>
      <c r="F281" s="29" t="n"/>
      <c r="G281" s="29" t="n"/>
      <c r="H281" s="67">
        <f>IF(base!F281&lt;&gt;"",VLOOKUP(F281,de_para!$A$1:$B$31,2,0)*base!G281,0)</f>
        <v/>
      </c>
      <c r="I281" s="38" t="n"/>
      <c r="J281" s="29" t="n"/>
      <c r="K281" s="67">
        <f>IF(base!I281&lt;&gt;"",VLOOKUP(I281,de_para!$A$1:$B$31,2,0)*base!J281,0)</f>
        <v/>
      </c>
      <c r="L281" s="38" t="n"/>
      <c r="M281" s="29" t="n"/>
      <c r="N281" s="67">
        <f>IF(base!L281&lt;&gt;"",VLOOKUP(L281,de_para!$A$1:$B$31,2,0)*base!M281,0)</f>
        <v/>
      </c>
      <c r="O281" s="38" t="n"/>
      <c r="P281" s="29" t="n"/>
      <c r="Q281" s="67">
        <f>IF(base!O281&lt;&gt;"",VLOOKUP(O281,de_para!$A$1:$B$31,2,0)*base!P281,0)</f>
        <v/>
      </c>
      <c r="R281" s="38" t="n"/>
      <c r="S281" s="29" t="n"/>
      <c r="T281" s="67">
        <f>IF(base!R281&lt;&gt;"",VLOOKUP(R281,de_para!$A$1:$B$31,2,0)*base!S281,0)</f>
        <v/>
      </c>
      <c r="U281" s="68">
        <f>H281+K281+N281+Q281+T281</f>
        <v/>
      </c>
    </row>
    <row r="282">
      <c r="A282" s="29" t="n"/>
      <c r="B282" s="29" t="n"/>
      <c r="C282" s="29" t="n"/>
      <c r="D282" s="29" t="n"/>
      <c r="E282" s="29" t="n"/>
      <c r="F282" s="29" t="n"/>
      <c r="G282" s="29" t="n"/>
      <c r="H282" s="67">
        <f>IF(base!F282&lt;&gt;"",VLOOKUP(F282,de_para!$A$1:$B$31,2,0)*base!G282,0)</f>
        <v/>
      </c>
      <c r="I282" s="38" t="n"/>
      <c r="J282" s="29" t="n"/>
      <c r="K282" s="67">
        <f>IF(base!I282&lt;&gt;"",VLOOKUP(I282,de_para!$A$1:$B$31,2,0)*base!J282,0)</f>
        <v/>
      </c>
      <c r="L282" s="38" t="n"/>
      <c r="M282" s="29" t="n"/>
      <c r="N282" s="67">
        <f>IF(base!L282&lt;&gt;"",VLOOKUP(L282,de_para!$A$1:$B$31,2,0)*base!M282,0)</f>
        <v/>
      </c>
      <c r="O282" s="38" t="n"/>
      <c r="P282" s="29" t="n"/>
      <c r="Q282" s="67">
        <f>IF(base!O282&lt;&gt;"",VLOOKUP(O282,de_para!$A$1:$B$31,2,0)*base!P282,0)</f>
        <v/>
      </c>
      <c r="R282" s="38" t="n"/>
      <c r="S282" s="29" t="n"/>
      <c r="T282" s="67">
        <f>IF(base!R282&lt;&gt;"",VLOOKUP(R282,de_para!$A$1:$B$31,2,0)*base!S282,0)</f>
        <v/>
      </c>
      <c r="U282" s="68">
        <f>H282+K282+N282+Q282+T282</f>
        <v/>
      </c>
    </row>
    <row r="283">
      <c r="A283" s="29" t="n"/>
      <c r="B283" s="29" t="n"/>
      <c r="C283" s="29" t="n"/>
      <c r="D283" s="29" t="n"/>
      <c r="E283" s="29" t="n"/>
      <c r="F283" s="29" t="n"/>
      <c r="G283" s="29" t="n"/>
      <c r="H283" s="67">
        <f>IF(base!F283&lt;&gt;"",VLOOKUP(F283,de_para!$A$1:$B$31,2,0)*base!G283,0)</f>
        <v/>
      </c>
      <c r="I283" s="38" t="n"/>
      <c r="J283" s="29" t="n"/>
      <c r="K283" s="67">
        <f>IF(base!I283&lt;&gt;"",VLOOKUP(I283,de_para!$A$1:$B$31,2,0)*base!J283,0)</f>
        <v/>
      </c>
      <c r="L283" s="38" t="n"/>
      <c r="M283" s="29" t="n"/>
      <c r="N283" s="67">
        <f>IF(base!L283&lt;&gt;"",VLOOKUP(L283,de_para!$A$1:$B$31,2,0)*base!M283,0)</f>
        <v/>
      </c>
      <c r="O283" s="38" t="n"/>
      <c r="P283" s="29" t="n"/>
      <c r="Q283" s="67">
        <f>IF(base!O283&lt;&gt;"",VLOOKUP(O283,de_para!$A$1:$B$31,2,0)*base!P283,0)</f>
        <v/>
      </c>
      <c r="R283" s="38" t="n"/>
      <c r="S283" s="29" t="n"/>
      <c r="T283" s="67">
        <f>IF(base!R283&lt;&gt;"",VLOOKUP(R283,de_para!$A$1:$B$31,2,0)*base!S283,0)</f>
        <v/>
      </c>
      <c r="U283" s="68">
        <f>H283+K283+N283+Q283+T283</f>
        <v/>
      </c>
    </row>
    <row r="284">
      <c r="A284" s="29" t="n"/>
      <c r="B284" s="29" t="n"/>
      <c r="C284" s="29" t="n"/>
      <c r="D284" s="29" t="n"/>
      <c r="E284" s="29" t="n"/>
      <c r="F284" s="29" t="n"/>
      <c r="G284" s="29" t="n"/>
      <c r="H284" s="67">
        <f>IF(base!F284&lt;&gt;"",VLOOKUP(F284,de_para!$A$1:$B$31,2,0)*base!G284,0)</f>
        <v/>
      </c>
      <c r="I284" s="38" t="n"/>
      <c r="J284" s="29" t="n"/>
      <c r="K284" s="67">
        <f>IF(base!I284&lt;&gt;"",VLOOKUP(I284,de_para!$A$1:$B$31,2,0)*base!J284,0)</f>
        <v/>
      </c>
      <c r="L284" s="38" t="n"/>
      <c r="M284" s="29" t="n"/>
      <c r="N284" s="67">
        <f>IF(base!L284&lt;&gt;"",VLOOKUP(L284,de_para!$A$1:$B$31,2,0)*base!M284,0)</f>
        <v/>
      </c>
      <c r="O284" s="38" t="n"/>
      <c r="P284" s="29" t="n"/>
      <c r="Q284" s="67">
        <f>IF(base!O284&lt;&gt;"",VLOOKUP(O284,de_para!$A$1:$B$31,2,0)*base!P284,0)</f>
        <v/>
      </c>
      <c r="R284" s="38" t="n"/>
      <c r="S284" s="29" t="n"/>
      <c r="T284" s="67">
        <f>IF(base!R284&lt;&gt;"",VLOOKUP(R284,de_para!$A$1:$B$31,2,0)*base!S284,0)</f>
        <v/>
      </c>
      <c r="U284" s="68">
        <f>H284+K284+N284+Q284+T284</f>
        <v/>
      </c>
    </row>
    <row r="285">
      <c r="A285" s="29" t="n"/>
      <c r="B285" s="29" t="n"/>
      <c r="C285" s="29" t="n"/>
      <c r="D285" s="29" t="n"/>
      <c r="E285" s="29" t="n"/>
      <c r="F285" s="29" t="n"/>
      <c r="G285" s="29" t="n"/>
      <c r="H285" s="67">
        <f>IF(base!F285&lt;&gt;"",VLOOKUP(F285,de_para!$A$1:$B$31,2,0)*base!G285,0)</f>
        <v/>
      </c>
      <c r="I285" s="38" t="n"/>
      <c r="J285" s="29" t="n"/>
      <c r="K285" s="67">
        <f>IF(base!I285&lt;&gt;"",VLOOKUP(I285,de_para!$A$1:$B$31,2,0)*base!J285,0)</f>
        <v/>
      </c>
      <c r="L285" s="38" t="n"/>
      <c r="M285" s="29" t="n"/>
      <c r="N285" s="67">
        <f>IF(base!L285&lt;&gt;"",VLOOKUP(L285,de_para!$A$1:$B$31,2,0)*base!M285,0)</f>
        <v/>
      </c>
      <c r="O285" s="38" t="n"/>
      <c r="P285" s="29" t="n"/>
      <c r="Q285" s="67">
        <f>IF(base!O285&lt;&gt;"",VLOOKUP(O285,de_para!$A$1:$B$31,2,0)*base!P285,0)</f>
        <v/>
      </c>
      <c r="R285" s="38" t="n"/>
      <c r="S285" s="29" t="n"/>
      <c r="T285" s="67">
        <f>IF(base!R285&lt;&gt;"",VLOOKUP(R285,de_para!$A$1:$B$31,2,0)*base!S285,0)</f>
        <v/>
      </c>
      <c r="U285" s="68">
        <f>H285+K285+N285+Q285+T285</f>
        <v/>
      </c>
    </row>
    <row r="286">
      <c r="A286" s="29" t="n"/>
      <c r="B286" s="29" t="n"/>
      <c r="C286" s="29" t="n"/>
      <c r="D286" s="29" t="n"/>
      <c r="E286" s="29" t="n"/>
      <c r="F286" s="29" t="n"/>
      <c r="G286" s="29" t="n"/>
      <c r="H286" s="67">
        <f>IF(base!F286&lt;&gt;"",VLOOKUP(F286,de_para!$A$1:$B$31,2,0)*base!G286,0)</f>
        <v/>
      </c>
      <c r="I286" s="38" t="n"/>
      <c r="J286" s="29" t="n"/>
      <c r="K286" s="67">
        <f>IF(base!I286&lt;&gt;"",VLOOKUP(I286,de_para!$A$1:$B$31,2,0)*base!J286,0)</f>
        <v/>
      </c>
      <c r="L286" s="38" t="n"/>
      <c r="M286" s="29" t="n"/>
      <c r="N286" s="67">
        <f>IF(base!L286&lt;&gt;"",VLOOKUP(L286,de_para!$A$1:$B$31,2,0)*base!M286,0)</f>
        <v/>
      </c>
      <c r="O286" s="38" t="n"/>
      <c r="P286" s="29" t="n"/>
      <c r="Q286" s="67">
        <f>IF(base!O286&lt;&gt;"",VLOOKUP(O286,de_para!$A$1:$B$31,2,0)*base!P286,0)</f>
        <v/>
      </c>
      <c r="R286" s="38" t="n"/>
      <c r="S286" s="29" t="n"/>
      <c r="T286" s="67">
        <f>IF(base!R286&lt;&gt;"",VLOOKUP(R286,de_para!$A$1:$B$31,2,0)*base!S286,0)</f>
        <v/>
      </c>
      <c r="U286" s="68">
        <f>H286+K286+N286+Q286+T286</f>
        <v/>
      </c>
    </row>
    <row r="287">
      <c r="A287" s="29" t="n"/>
      <c r="B287" s="29" t="n"/>
      <c r="C287" s="29" t="n"/>
      <c r="D287" s="29" t="n"/>
      <c r="E287" s="29" t="n"/>
      <c r="F287" s="29" t="n"/>
      <c r="G287" s="29" t="n"/>
      <c r="H287" s="67">
        <f>IF(base!F287&lt;&gt;"",VLOOKUP(F287,de_para!$A$1:$B$31,2,0)*base!G287,0)</f>
        <v/>
      </c>
      <c r="I287" s="38" t="n"/>
      <c r="J287" s="29" t="n"/>
      <c r="K287" s="67">
        <f>IF(base!I287&lt;&gt;"",VLOOKUP(I287,de_para!$A$1:$B$31,2,0)*base!J287,0)</f>
        <v/>
      </c>
      <c r="L287" s="38" t="n"/>
      <c r="M287" s="29" t="n"/>
      <c r="N287" s="67">
        <f>IF(base!L287&lt;&gt;"",VLOOKUP(L287,de_para!$A$1:$B$31,2,0)*base!M287,0)</f>
        <v/>
      </c>
      <c r="O287" s="38" t="n"/>
      <c r="P287" s="29" t="n"/>
      <c r="Q287" s="67">
        <f>IF(base!O287&lt;&gt;"",VLOOKUP(O287,de_para!$A$1:$B$31,2,0)*base!P287,0)</f>
        <v/>
      </c>
      <c r="R287" s="38" t="n"/>
      <c r="S287" s="29" t="n"/>
      <c r="T287" s="67">
        <f>IF(base!R287&lt;&gt;"",VLOOKUP(R287,de_para!$A$1:$B$31,2,0)*base!S287,0)</f>
        <v/>
      </c>
      <c r="U287" s="68">
        <f>H287+K287+N287+Q287+T287</f>
        <v/>
      </c>
    </row>
    <row r="288">
      <c r="A288" s="29" t="n"/>
      <c r="B288" s="29" t="n"/>
      <c r="C288" s="29" t="n"/>
      <c r="D288" s="29" t="n"/>
      <c r="E288" s="29" t="n"/>
      <c r="F288" s="29" t="n"/>
      <c r="G288" s="29" t="n"/>
      <c r="H288" s="67">
        <f>IF(base!F288&lt;&gt;"",VLOOKUP(F288,de_para!$A$1:$B$31,2,0)*base!G288,0)</f>
        <v/>
      </c>
      <c r="I288" s="38" t="n"/>
      <c r="J288" s="29" t="n"/>
      <c r="K288" s="67">
        <f>IF(base!I288&lt;&gt;"",VLOOKUP(I288,de_para!$A$1:$B$31,2,0)*base!J288,0)</f>
        <v/>
      </c>
      <c r="L288" s="38" t="n"/>
      <c r="M288" s="29" t="n"/>
      <c r="N288" s="67">
        <f>IF(base!L288&lt;&gt;"",VLOOKUP(L288,de_para!$A$1:$B$31,2,0)*base!M288,0)</f>
        <v/>
      </c>
      <c r="O288" s="38" t="n"/>
      <c r="P288" s="29" t="n"/>
      <c r="Q288" s="67">
        <f>IF(base!O288&lt;&gt;"",VLOOKUP(O288,de_para!$A$1:$B$31,2,0)*base!P288,0)</f>
        <v/>
      </c>
      <c r="R288" s="38" t="n"/>
      <c r="S288" s="29" t="n"/>
      <c r="T288" s="67">
        <f>IF(base!R288&lt;&gt;"",VLOOKUP(R288,de_para!$A$1:$B$31,2,0)*base!S288,0)</f>
        <v/>
      </c>
      <c r="U288" s="68">
        <f>H288+K288+N288+Q288+T288</f>
        <v/>
      </c>
    </row>
    <row r="289">
      <c r="A289" s="29" t="n"/>
      <c r="B289" s="29" t="n"/>
      <c r="C289" s="29" t="n"/>
      <c r="D289" s="29" t="n"/>
      <c r="E289" s="29" t="n"/>
      <c r="F289" s="29" t="n"/>
      <c r="G289" s="29" t="n"/>
      <c r="H289" s="67">
        <f>IF(base!F289&lt;&gt;"",VLOOKUP(F289,de_para!$A$1:$B$31,2,0)*base!G289,0)</f>
        <v/>
      </c>
      <c r="I289" s="38" t="n"/>
      <c r="J289" s="29" t="n"/>
      <c r="K289" s="67">
        <f>IF(base!I289&lt;&gt;"",VLOOKUP(I289,de_para!$A$1:$B$31,2,0)*base!J289,0)</f>
        <v/>
      </c>
      <c r="L289" s="38" t="n"/>
      <c r="M289" s="29" t="n"/>
      <c r="N289" s="67">
        <f>IF(base!L289&lt;&gt;"",VLOOKUP(L289,de_para!$A$1:$B$31,2,0)*base!M289,0)</f>
        <v/>
      </c>
      <c r="O289" s="38" t="n"/>
      <c r="P289" s="29" t="n"/>
      <c r="Q289" s="67">
        <f>IF(base!O289&lt;&gt;"",VLOOKUP(O289,de_para!$A$1:$B$31,2,0)*base!P289,0)</f>
        <v/>
      </c>
      <c r="R289" s="38" t="n"/>
      <c r="S289" s="29" t="n"/>
      <c r="T289" s="67">
        <f>IF(base!R289&lt;&gt;"",VLOOKUP(R289,de_para!$A$1:$B$31,2,0)*base!S289,0)</f>
        <v/>
      </c>
      <c r="U289" s="68">
        <f>H289+K289+N289+Q289+T289</f>
        <v/>
      </c>
    </row>
    <row r="290">
      <c r="A290" s="29" t="n"/>
      <c r="B290" s="29" t="n"/>
      <c r="C290" s="29" t="n"/>
      <c r="D290" s="29" t="n"/>
      <c r="E290" s="29" t="n"/>
      <c r="F290" s="29" t="n"/>
      <c r="G290" s="29" t="n"/>
      <c r="H290" s="67">
        <f>IF(base!F290&lt;&gt;"",VLOOKUP(F290,de_para!$A$1:$B$31,2,0)*base!G290,0)</f>
        <v/>
      </c>
      <c r="I290" s="38" t="n"/>
      <c r="J290" s="29" t="n"/>
      <c r="K290" s="67">
        <f>IF(base!I290&lt;&gt;"",VLOOKUP(I290,de_para!$A$1:$B$31,2,0)*base!J290,0)</f>
        <v/>
      </c>
      <c r="L290" s="38" t="n"/>
      <c r="M290" s="29" t="n"/>
      <c r="N290" s="67">
        <f>IF(base!L290&lt;&gt;"",VLOOKUP(L290,de_para!$A$1:$B$31,2,0)*base!M290,0)</f>
        <v/>
      </c>
      <c r="O290" s="38" t="n"/>
      <c r="P290" s="29" t="n"/>
      <c r="Q290" s="67">
        <f>IF(base!O290&lt;&gt;"",VLOOKUP(O290,de_para!$A$1:$B$31,2,0)*base!P290,0)</f>
        <v/>
      </c>
      <c r="R290" s="38" t="n"/>
      <c r="S290" s="29" t="n"/>
      <c r="T290" s="67">
        <f>IF(base!R290&lt;&gt;"",VLOOKUP(R290,de_para!$A$1:$B$31,2,0)*base!S290,0)</f>
        <v/>
      </c>
      <c r="U290" s="68">
        <f>H290+K290+N290+Q290+T290</f>
        <v/>
      </c>
    </row>
    <row r="291">
      <c r="A291" s="29" t="n"/>
      <c r="B291" s="29" t="n"/>
      <c r="C291" s="29" t="n"/>
      <c r="D291" s="29" t="n"/>
      <c r="E291" s="29" t="n"/>
      <c r="F291" s="29" t="n"/>
      <c r="G291" s="29" t="n"/>
      <c r="H291" s="67">
        <f>IF(base!F291&lt;&gt;"",VLOOKUP(F291,de_para!$A$1:$B$31,2,0)*base!G291,0)</f>
        <v/>
      </c>
      <c r="I291" s="38" t="n"/>
      <c r="J291" s="29" t="n"/>
      <c r="K291" s="67">
        <f>IF(base!I291&lt;&gt;"",VLOOKUP(I291,de_para!$A$1:$B$31,2,0)*base!J291,0)</f>
        <v/>
      </c>
      <c r="L291" s="38" t="n"/>
      <c r="M291" s="29" t="n"/>
      <c r="N291" s="67">
        <f>IF(base!L291&lt;&gt;"",VLOOKUP(L291,de_para!$A$1:$B$31,2,0)*base!M291,0)</f>
        <v/>
      </c>
      <c r="O291" s="38" t="n"/>
      <c r="P291" s="29" t="n"/>
      <c r="Q291" s="67">
        <f>IF(base!O291&lt;&gt;"",VLOOKUP(O291,de_para!$A$1:$B$31,2,0)*base!P291,0)</f>
        <v/>
      </c>
      <c r="R291" s="38" t="n"/>
      <c r="S291" s="29" t="n"/>
      <c r="T291" s="67">
        <f>IF(base!R291&lt;&gt;"",VLOOKUP(R291,de_para!$A$1:$B$31,2,0)*base!S291,0)</f>
        <v/>
      </c>
      <c r="U291" s="68">
        <f>H291+K291+N291+Q291+T291</f>
        <v/>
      </c>
    </row>
    <row r="292">
      <c r="A292" s="29" t="n"/>
      <c r="B292" s="29" t="n"/>
      <c r="C292" s="29" t="n"/>
      <c r="D292" s="29" t="n"/>
      <c r="E292" s="29" t="n"/>
      <c r="F292" s="29" t="n"/>
      <c r="G292" s="29" t="n"/>
      <c r="H292" s="67">
        <f>IF(base!F292&lt;&gt;"",VLOOKUP(F292,de_para!$A$1:$B$31,2,0)*base!G292,0)</f>
        <v/>
      </c>
      <c r="I292" s="38" t="n"/>
      <c r="J292" s="29" t="n"/>
      <c r="K292" s="67">
        <f>IF(base!I292&lt;&gt;"",VLOOKUP(I292,de_para!$A$1:$B$31,2,0)*base!J292,0)</f>
        <v/>
      </c>
      <c r="L292" s="38" t="n"/>
      <c r="M292" s="29" t="n"/>
      <c r="N292" s="67">
        <f>IF(base!L292&lt;&gt;"",VLOOKUP(L292,de_para!$A$1:$B$31,2,0)*base!M292,0)</f>
        <v/>
      </c>
      <c r="O292" s="38" t="n"/>
      <c r="P292" s="29" t="n"/>
      <c r="Q292" s="67">
        <f>IF(base!O292&lt;&gt;"",VLOOKUP(O292,de_para!$A$1:$B$31,2,0)*base!P292,0)</f>
        <v/>
      </c>
      <c r="R292" s="38" t="n"/>
      <c r="S292" s="29" t="n"/>
      <c r="T292" s="67">
        <f>IF(base!R292&lt;&gt;"",VLOOKUP(R292,de_para!$A$1:$B$31,2,0)*base!S292,0)</f>
        <v/>
      </c>
      <c r="U292" s="68">
        <f>H292+K292+N292+Q292+T292</f>
        <v/>
      </c>
    </row>
    <row r="293">
      <c r="A293" s="29" t="n"/>
      <c r="B293" s="29" t="n"/>
      <c r="C293" s="29" t="n"/>
      <c r="D293" s="29" t="n"/>
      <c r="E293" s="29" t="n"/>
      <c r="F293" s="29" t="n"/>
      <c r="G293" s="29" t="n"/>
      <c r="H293" s="67">
        <f>IF(base!F293&lt;&gt;"",VLOOKUP(F293,de_para!$A$1:$B$31,2,0)*base!G293,0)</f>
        <v/>
      </c>
      <c r="I293" s="38" t="n"/>
      <c r="J293" s="29" t="n"/>
      <c r="K293" s="67">
        <f>IF(base!I293&lt;&gt;"",VLOOKUP(I293,de_para!$A$1:$B$31,2,0)*base!J293,0)</f>
        <v/>
      </c>
      <c r="L293" s="38" t="n"/>
      <c r="M293" s="29" t="n"/>
      <c r="N293" s="67">
        <f>IF(base!L293&lt;&gt;"",VLOOKUP(L293,de_para!$A$1:$B$31,2,0)*base!M293,0)</f>
        <v/>
      </c>
      <c r="O293" s="38" t="n"/>
      <c r="P293" s="29" t="n"/>
      <c r="Q293" s="67">
        <f>IF(base!O293&lt;&gt;"",VLOOKUP(O293,de_para!$A$1:$B$31,2,0)*base!P293,0)</f>
        <v/>
      </c>
      <c r="R293" s="38" t="n"/>
      <c r="S293" s="29" t="n"/>
      <c r="T293" s="67">
        <f>IF(base!R293&lt;&gt;"",VLOOKUP(R293,de_para!$A$1:$B$31,2,0)*base!S293,0)</f>
        <v/>
      </c>
      <c r="U293" s="68">
        <f>H293+K293+N293+Q293+T293</f>
        <v/>
      </c>
    </row>
    <row r="294">
      <c r="A294" s="29" t="n"/>
      <c r="B294" s="29" t="n"/>
      <c r="C294" s="29" t="n"/>
      <c r="D294" s="29" t="n"/>
      <c r="E294" s="29" t="n"/>
      <c r="F294" s="29" t="n"/>
      <c r="G294" s="29" t="n"/>
      <c r="H294" s="67">
        <f>IF(base!F294&lt;&gt;"",VLOOKUP(F294,de_para!$A$1:$B$31,2,0)*base!G294,0)</f>
        <v/>
      </c>
      <c r="I294" s="38" t="n"/>
      <c r="J294" s="29" t="n"/>
      <c r="K294" s="67">
        <f>IF(base!I294&lt;&gt;"",VLOOKUP(I294,de_para!$A$1:$B$31,2,0)*base!J294,0)</f>
        <v/>
      </c>
      <c r="L294" s="38" t="n"/>
      <c r="M294" s="29" t="n"/>
      <c r="N294" s="67">
        <f>IF(base!L294&lt;&gt;"",VLOOKUP(L294,de_para!$A$1:$B$31,2,0)*base!M294,0)</f>
        <v/>
      </c>
      <c r="O294" s="38" t="n"/>
      <c r="P294" s="29" t="n"/>
      <c r="Q294" s="67">
        <f>IF(base!O294&lt;&gt;"",VLOOKUP(O294,de_para!$A$1:$B$31,2,0)*base!P294,0)</f>
        <v/>
      </c>
      <c r="R294" s="38" t="n"/>
      <c r="S294" s="29" t="n"/>
      <c r="T294" s="67">
        <f>IF(base!R294&lt;&gt;"",VLOOKUP(R294,de_para!$A$1:$B$31,2,0)*base!S294,0)</f>
        <v/>
      </c>
      <c r="U294" s="68">
        <f>H294+K294+N294+Q294+T294</f>
        <v/>
      </c>
    </row>
    <row r="295">
      <c r="A295" s="29" t="n"/>
      <c r="B295" s="29" t="n"/>
      <c r="C295" s="29" t="n"/>
      <c r="D295" s="29" t="n"/>
      <c r="E295" s="29" t="n"/>
      <c r="F295" s="29" t="n"/>
      <c r="G295" s="29" t="n"/>
      <c r="H295" s="67">
        <f>IF(base!F295&lt;&gt;"",VLOOKUP(F295,de_para!$A$1:$B$31,2,0)*base!G295,0)</f>
        <v/>
      </c>
      <c r="I295" s="38" t="n"/>
      <c r="J295" s="29" t="n"/>
      <c r="K295" s="67">
        <f>IF(base!I295&lt;&gt;"",VLOOKUP(I295,de_para!$A$1:$B$31,2,0)*base!J295,0)</f>
        <v/>
      </c>
      <c r="L295" s="38" t="n"/>
      <c r="M295" s="29" t="n"/>
      <c r="N295" s="67">
        <f>IF(base!L295&lt;&gt;"",VLOOKUP(L295,de_para!$A$1:$B$31,2,0)*base!M295,0)</f>
        <v/>
      </c>
      <c r="O295" s="38" t="n"/>
      <c r="P295" s="29" t="n"/>
      <c r="Q295" s="67">
        <f>IF(base!O295&lt;&gt;"",VLOOKUP(O295,de_para!$A$1:$B$31,2,0)*base!P295,0)</f>
        <v/>
      </c>
      <c r="R295" s="38" t="n"/>
      <c r="S295" s="29" t="n"/>
      <c r="T295" s="67">
        <f>IF(base!R295&lt;&gt;"",VLOOKUP(R295,de_para!$A$1:$B$31,2,0)*base!S295,0)</f>
        <v/>
      </c>
      <c r="U295" s="68">
        <f>H295+K295+N295+Q295+T295</f>
        <v/>
      </c>
    </row>
    <row r="296">
      <c r="A296" s="29" t="n"/>
      <c r="B296" s="29" t="n"/>
      <c r="C296" s="29" t="n"/>
      <c r="D296" s="29" t="n"/>
      <c r="E296" s="29" t="n"/>
      <c r="F296" s="29" t="n"/>
      <c r="G296" s="29" t="n"/>
      <c r="H296" s="67">
        <f>IF(base!F296&lt;&gt;"",VLOOKUP(F296,de_para!$A$1:$B$31,2,0)*base!G296,0)</f>
        <v/>
      </c>
      <c r="I296" s="38" t="n"/>
      <c r="J296" s="29" t="n"/>
      <c r="K296" s="67">
        <f>IF(base!I296&lt;&gt;"",VLOOKUP(I296,de_para!$A$1:$B$31,2,0)*base!J296,0)</f>
        <v/>
      </c>
      <c r="L296" s="38" t="n"/>
      <c r="M296" s="29" t="n"/>
      <c r="N296" s="67">
        <f>IF(base!L296&lt;&gt;"",VLOOKUP(L296,de_para!$A$1:$B$31,2,0)*base!M296,0)</f>
        <v/>
      </c>
      <c r="O296" s="38" t="n"/>
      <c r="P296" s="29" t="n"/>
      <c r="Q296" s="67">
        <f>IF(base!O296&lt;&gt;"",VLOOKUP(O296,de_para!$A$1:$B$31,2,0)*base!P296,0)</f>
        <v/>
      </c>
      <c r="R296" s="38" t="n"/>
      <c r="S296" s="29" t="n"/>
      <c r="T296" s="67">
        <f>IF(base!R296&lt;&gt;"",VLOOKUP(R296,de_para!$A$1:$B$31,2,0)*base!S296,0)</f>
        <v/>
      </c>
      <c r="U296" s="68">
        <f>H296+K296+N296+Q296+T296</f>
        <v/>
      </c>
    </row>
    <row r="297">
      <c r="A297" s="29" t="n"/>
      <c r="B297" s="29" t="n"/>
      <c r="C297" s="29" t="n"/>
      <c r="D297" s="29" t="n"/>
      <c r="E297" s="29" t="n"/>
      <c r="F297" s="29" t="n"/>
      <c r="G297" s="29" t="n"/>
      <c r="H297" s="67">
        <f>IF(base!F297&lt;&gt;"",VLOOKUP(F297,de_para!$A$1:$B$31,2,0)*base!G297,0)</f>
        <v/>
      </c>
      <c r="I297" s="38" t="n"/>
      <c r="J297" s="29" t="n"/>
      <c r="K297" s="67">
        <f>IF(base!I297&lt;&gt;"",VLOOKUP(I297,de_para!$A$1:$B$31,2,0)*base!J297,0)</f>
        <v/>
      </c>
      <c r="L297" s="38" t="n"/>
      <c r="M297" s="29" t="n"/>
      <c r="N297" s="67">
        <f>IF(base!L297&lt;&gt;"",VLOOKUP(L297,de_para!$A$1:$B$31,2,0)*base!M297,0)</f>
        <v/>
      </c>
      <c r="O297" s="38" t="n"/>
      <c r="P297" s="29" t="n"/>
      <c r="Q297" s="67">
        <f>IF(base!O297&lt;&gt;"",VLOOKUP(O297,de_para!$A$1:$B$31,2,0)*base!P297,0)</f>
        <v/>
      </c>
      <c r="R297" s="38" t="n"/>
      <c r="S297" s="29" t="n"/>
      <c r="T297" s="67">
        <f>IF(base!R297&lt;&gt;"",VLOOKUP(R297,de_para!$A$1:$B$31,2,0)*base!S297,0)</f>
        <v/>
      </c>
      <c r="U297" s="68">
        <f>H297+K297+N297+Q297+T297</f>
        <v/>
      </c>
    </row>
    <row r="298">
      <c r="A298" s="29" t="n"/>
      <c r="B298" s="29" t="n"/>
      <c r="C298" s="29" t="n"/>
      <c r="D298" s="29" t="n"/>
      <c r="E298" s="29" t="n"/>
      <c r="F298" s="29" t="n"/>
      <c r="G298" s="29" t="n"/>
      <c r="H298" s="67">
        <f>IF(base!F298&lt;&gt;"",VLOOKUP(F298,de_para!$A$1:$B$31,2,0)*base!G298,0)</f>
        <v/>
      </c>
      <c r="I298" s="38" t="n"/>
      <c r="J298" s="29" t="n"/>
      <c r="K298" s="67">
        <f>IF(base!I298&lt;&gt;"",VLOOKUP(I298,de_para!$A$1:$B$31,2,0)*base!J298,0)</f>
        <v/>
      </c>
      <c r="L298" s="38" t="n"/>
      <c r="M298" s="29" t="n"/>
      <c r="N298" s="67">
        <f>IF(base!L298&lt;&gt;"",VLOOKUP(L298,de_para!$A$1:$B$31,2,0)*base!M298,0)</f>
        <v/>
      </c>
      <c r="O298" s="38" t="n"/>
      <c r="P298" s="29" t="n"/>
      <c r="Q298" s="67">
        <f>IF(base!O298&lt;&gt;"",VLOOKUP(O298,de_para!$A$1:$B$31,2,0)*base!P298,0)</f>
        <v/>
      </c>
      <c r="R298" s="38" t="n"/>
      <c r="S298" s="29" t="n"/>
      <c r="T298" s="67">
        <f>IF(base!R298&lt;&gt;"",VLOOKUP(R298,de_para!$A$1:$B$31,2,0)*base!S298,0)</f>
        <v/>
      </c>
      <c r="U298" s="68">
        <f>H298+K298+N298+Q298+T298</f>
        <v/>
      </c>
    </row>
    <row r="299">
      <c r="A299" s="29" t="n"/>
      <c r="B299" s="29" t="n"/>
      <c r="C299" s="29" t="n"/>
      <c r="D299" s="29" t="n"/>
      <c r="E299" s="29" t="n"/>
      <c r="F299" s="29" t="n"/>
      <c r="G299" s="29" t="n"/>
      <c r="H299" s="67">
        <f>IF(base!F299&lt;&gt;"",VLOOKUP(F299,de_para!$A$1:$B$31,2,0)*base!G299,0)</f>
        <v/>
      </c>
      <c r="I299" s="38" t="n"/>
      <c r="J299" s="29" t="n"/>
      <c r="K299" s="67">
        <f>IF(base!I299&lt;&gt;"",VLOOKUP(I299,de_para!$A$1:$B$31,2,0)*base!J299,0)</f>
        <v/>
      </c>
      <c r="L299" s="38" t="n"/>
      <c r="M299" s="29" t="n"/>
      <c r="N299" s="67">
        <f>IF(base!L299&lt;&gt;"",VLOOKUP(L299,de_para!$A$1:$B$31,2,0)*base!M299,0)</f>
        <v/>
      </c>
      <c r="O299" s="38" t="n"/>
      <c r="P299" s="29" t="n"/>
      <c r="Q299" s="67">
        <f>IF(base!O299&lt;&gt;"",VLOOKUP(O299,de_para!$A$1:$B$31,2,0)*base!P299,0)</f>
        <v/>
      </c>
      <c r="R299" s="38" t="n"/>
      <c r="S299" s="29" t="n"/>
      <c r="T299" s="67">
        <f>IF(base!R299&lt;&gt;"",VLOOKUP(R299,de_para!$A$1:$B$31,2,0)*base!S299,0)</f>
        <v/>
      </c>
      <c r="U299" s="68">
        <f>H299+K299+N299+Q299+T299</f>
        <v/>
      </c>
    </row>
    <row r="300">
      <c r="A300" s="29" t="n"/>
      <c r="B300" s="29" t="n"/>
      <c r="C300" s="29" t="n"/>
      <c r="D300" s="29" t="n"/>
      <c r="E300" s="29" t="n"/>
      <c r="F300" s="29" t="n"/>
      <c r="G300" s="29" t="n"/>
      <c r="H300" s="67">
        <f>IF(base!F300&lt;&gt;"",VLOOKUP(F300,de_para!$A$1:$B$31,2,0)*base!G300,0)</f>
        <v/>
      </c>
      <c r="I300" s="38" t="n"/>
      <c r="J300" s="29" t="n"/>
      <c r="K300" s="67">
        <f>IF(base!I300&lt;&gt;"",VLOOKUP(I300,de_para!$A$1:$B$31,2,0)*base!J300,0)</f>
        <v/>
      </c>
      <c r="L300" s="38" t="n"/>
      <c r="M300" s="29" t="n"/>
      <c r="N300" s="67">
        <f>IF(base!L300&lt;&gt;"",VLOOKUP(L300,de_para!$A$1:$B$31,2,0)*base!M300,0)</f>
        <v/>
      </c>
      <c r="O300" s="38" t="n"/>
      <c r="P300" s="29" t="n"/>
      <c r="Q300" s="67">
        <f>IF(base!O300&lt;&gt;"",VLOOKUP(O300,de_para!$A$1:$B$31,2,0)*base!P300,0)</f>
        <v/>
      </c>
      <c r="R300" s="38" t="n"/>
      <c r="S300" s="29" t="n"/>
      <c r="T300" s="67">
        <f>IF(base!R300&lt;&gt;"",VLOOKUP(R300,de_para!$A$1:$B$31,2,0)*base!S300,0)</f>
        <v/>
      </c>
      <c r="U300" s="68">
        <f>H300+K300+N300+Q300+T300</f>
        <v/>
      </c>
    </row>
    <row r="301">
      <c r="A301" s="29" t="n"/>
      <c r="B301" s="29" t="n"/>
      <c r="C301" s="29" t="n"/>
      <c r="D301" s="29" t="n"/>
      <c r="E301" s="29" t="n"/>
      <c r="F301" s="29" t="n"/>
      <c r="G301" s="29" t="n"/>
      <c r="H301" s="67">
        <f>IF(base!F301&lt;&gt;"",VLOOKUP(F301,de_para!$A$1:$B$31,2,0)*base!G301,0)</f>
        <v/>
      </c>
      <c r="I301" s="38" t="n"/>
      <c r="J301" s="29" t="n"/>
      <c r="K301" s="67">
        <f>IF(base!I301&lt;&gt;"",VLOOKUP(I301,de_para!$A$1:$B$31,2,0)*base!J301,0)</f>
        <v/>
      </c>
      <c r="L301" s="38" t="n"/>
      <c r="M301" s="29" t="n"/>
      <c r="N301" s="67">
        <f>IF(base!L301&lt;&gt;"",VLOOKUP(L301,de_para!$A$1:$B$31,2,0)*base!M301,0)</f>
        <v/>
      </c>
      <c r="O301" s="38" t="n"/>
      <c r="P301" s="29" t="n"/>
      <c r="Q301" s="67">
        <f>IF(base!O301&lt;&gt;"",VLOOKUP(O301,de_para!$A$1:$B$31,2,0)*base!P301,0)</f>
        <v/>
      </c>
      <c r="R301" s="38" t="n"/>
      <c r="S301" s="29" t="n"/>
      <c r="T301" s="67">
        <f>IF(base!R301&lt;&gt;"",VLOOKUP(R301,de_para!$A$1:$B$31,2,0)*base!S301,0)</f>
        <v/>
      </c>
      <c r="U301" s="68">
        <f>H301+K301+N301+Q301+T301</f>
        <v/>
      </c>
    </row>
    <row r="302">
      <c r="A302" s="29" t="n"/>
      <c r="B302" s="29" t="n"/>
      <c r="C302" s="29" t="n"/>
      <c r="D302" s="29" t="n"/>
      <c r="E302" s="29" t="n"/>
      <c r="F302" s="29" t="n"/>
      <c r="G302" s="29" t="n"/>
      <c r="H302" s="67">
        <f>IF(base!F302&lt;&gt;"",VLOOKUP(F302,de_para!$A$1:$B$31,2,0)*base!G302,0)</f>
        <v/>
      </c>
      <c r="I302" s="38" t="n"/>
      <c r="J302" s="29" t="n"/>
      <c r="K302" s="67">
        <f>IF(base!I302&lt;&gt;"",VLOOKUP(I302,de_para!$A$1:$B$31,2,0)*base!J302,0)</f>
        <v/>
      </c>
      <c r="L302" s="38" t="n"/>
      <c r="M302" s="29" t="n"/>
      <c r="N302" s="67">
        <f>IF(base!L302&lt;&gt;"",VLOOKUP(L302,de_para!$A$1:$B$31,2,0)*base!M302,0)</f>
        <v/>
      </c>
      <c r="O302" s="38" t="n"/>
      <c r="P302" s="29" t="n"/>
      <c r="Q302" s="67">
        <f>IF(base!O302&lt;&gt;"",VLOOKUP(O302,de_para!$A$1:$B$31,2,0)*base!P302,0)</f>
        <v/>
      </c>
      <c r="R302" s="38" t="n"/>
      <c r="S302" s="29" t="n"/>
      <c r="T302" s="67">
        <f>IF(base!R302&lt;&gt;"",VLOOKUP(R302,de_para!$A$1:$B$31,2,0)*base!S302,0)</f>
        <v/>
      </c>
      <c r="U302" s="68">
        <f>H302+K302+N302+Q302+T302</f>
        <v/>
      </c>
    </row>
    <row r="303">
      <c r="A303" s="29" t="n"/>
      <c r="B303" s="29" t="n"/>
      <c r="C303" s="29" t="n"/>
      <c r="D303" s="29" t="n"/>
      <c r="E303" s="29" t="n"/>
      <c r="F303" s="29" t="n"/>
      <c r="G303" s="29" t="n"/>
      <c r="H303" s="67">
        <f>IF(base!F303&lt;&gt;"",VLOOKUP(F303,de_para!$A$1:$B$31,2,0)*base!G303,0)</f>
        <v/>
      </c>
      <c r="I303" s="38" t="n"/>
      <c r="J303" s="29" t="n"/>
      <c r="K303" s="67">
        <f>IF(base!I303&lt;&gt;"",VLOOKUP(I303,de_para!$A$1:$B$31,2,0)*base!J303,0)</f>
        <v/>
      </c>
      <c r="L303" s="38" t="n"/>
      <c r="M303" s="29" t="n"/>
      <c r="N303" s="67">
        <f>IF(base!L303&lt;&gt;"",VLOOKUP(L303,de_para!$A$1:$B$31,2,0)*base!M303,0)</f>
        <v/>
      </c>
      <c r="O303" s="38" t="n"/>
      <c r="P303" s="29" t="n"/>
      <c r="Q303" s="67">
        <f>IF(base!O303&lt;&gt;"",VLOOKUP(O303,de_para!$A$1:$B$31,2,0)*base!P303,0)</f>
        <v/>
      </c>
      <c r="R303" s="38" t="n"/>
      <c r="S303" s="29" t="n"/>
      <c r="T303" s="67">
        <f>IF(base!R303&lt;&gt;"",VLOOKUP(R303,de_para!$A$1:$B$31,2,0)*base!S303,0)</f>
        <v/>
      </c>
      <c r="U303" s="68">
        <f>H303+K303+N303+Q303+T303</f>
        <v/>
      </c>
    </row>
    <row r="304">
      <c r="A304" s="29" t="n"/>
      <c r="B304" s="29" t="n"/>
      <c r="C304" s="29" t="n"/>
      <c r="D304" s="29" t="n"/>
      <c r="E304" s="29" t="n"/>
      <c r="F304" s="29" t="n"/>
      <c r="G304" s="29" t="n"/>
      <c r="H304" s="67">
        <f>IF(base!F304&lt;&gt;"",VLOOKUP(F304,de_para!$A$1:$B$31,2,0)*base!G304,0)</f>
        <v/>
      </c>
      <c r="I304" s="38" t="n"/>
      <c r="J304" s="29" t="n"/>
      <c r="K304" s="67">
        <f>IF(base!I304&lt;&gt;"",VLOOKUP(I304,de_para!$A$1:$B$31,2,0)*base!J304,0)</f>
        <v/>
      </c>
      <c r="L304" s="38" t="n"/>
      <c r="M304" s="29" t="n"/>
      <c r="N304" s="67">
        <f>IF(base!L304&lt;&gt;"",VLOOKUP(L304,de_para!$A$1:$B$31,2,0)*base!M304,0)</f>
        <v/>
      </c>
      <c r="O304" s="38" t="n"/>
      <c r="P304" s="29" t="n"/>
      <c r="Q304" s="67">
        <f>IF(base!O304&lt;&gt;"",VLOOKUP(O304,de_para!$A$1:$B$31,2,0)*base!P304,0)</f>
        <v/>
      </c>
      <c r="R304" s="38" t="n"/>
      <c r="S304" s="29" t="n"/>
      <c r="T304" s="67">
        <f>IF(base!R304&lt;&gt;"",VLOOKUP(R304,de_para!$A$1:$B$31,2,0)*base!S304,0)</f>
        <v/>
      </c>
      <c r="U304" s="68">
        <f>H304+K304+N304+Q304+T304</f>
        <v/>
      </c>
    </row>
    <row r="305">
      <c r="A305" s="29" t="n"/>
      <c r="B305" s="29" t="n"/>
      <c r="C305" s="29" t="n"/>
      <c r="D305" s="29" t="n"/>
      <c r="E305" s="29" t="n"/>
      <c r="F305" s="29" t="n"/>
      <c r="G305" s="29" t="n"/>
      <c r="H305" s="67">
        <f>IF(base!F305&lt;&gt;"",VLOOKUP(F305,de_para!$A$1:$B$31,2,0)*base!G305,0)</f>
        <v/>
      </c>
      <c r="I305" s="38" t="n"/>
      <c r="J305" s="29" t="n"/>
      <c r="K305" s="67">
        <f>IF(base!I305&lt;&gt;"",VLOOKUP(I305,de_para!$A$1:$B$31,2,0)*base!J305,0)</f>
        <v/>
      </c>
      <c r="L305" s="38" t="n"/>
      <c r="M305" s="29" t="n"/>
      <c r="N305" s="67">
        <f>IF(base!L305&lt;&gt;"",VLOOKUP(L305,de_para!$A$1:$B$31,2,0)*base!M305,0)</f>
        <v/>
      </c>
      <c r="O305" s="38" t="n"/>
      <c r="P305" s="29" t="n"/>
      <c r="Q305" s="67">
        <f>IF(base!O305&lt;&gt;"",VLOOKUP(O305,de_para!$A$1:$B$31,2,0)*base!P305,0)</f>
        <v/>
      </c>
      <c r="R305" s="38" t="n"/>
      <c r="S305" s="29" t="n"/>
      <c r="T305" s="67">
        <f>IF(base!R305&lt;&gt;"",VLOOKUP(R305,de_para!$A$1:$B$31,2,0)*base!S305,0)</f>
        <v/>
      </c>
      <c r="U305" s="68">
        <f>H305+K305+N305+Q305+T305</f>
        <v/>
      </c>
    </row>
    <row r="306">
      <c r="A306" s="29" t="n"/>
      <c r="B306" s="29" t="n"/>
      <c r="C306" s="29" t="n"/>
      <c r="D306" s="29" t="n"/>
      <c r="E306" s="29" t="n"/>
      <c r="F306" s="29" t="n"/>
      <c r="G306" s="29" t="n"/>
      <c r="H306" s="67">
        <f>IF(base!F306&lt;&gt;"",VLOOKUP(F306,de_para!$A$1:$B$31,2,0)*base!G306,0)</f>
        <v/>
      </c>
      <c r="I306" s="38" t="n"/>
      <c r="J306" s="29" t="n"/>
      <c r="K306" s="67">
        <f>IF(base!I306&lt;&gt;"",VLOOKUP(I306,de_para!$A$1:$B$31,2,0)*base!J306,0)</f>
        <v/>
      </c>
      <c r="L306" s="38" t="n"/>
      <c r="M306" s="29" t="n"/>
      <c r="N306" s="67">
        <f>IF(base!L306&lt;&gt;"",VLOOKUP(L306,de_para!$A$1:$B$31,2,0)*base!M306,0)</f>
        <v/>
      </c>
      <c r="O306" s="38" t="n"/>
      <c r="P306" s="29" t="n"/>
      <c r="Q306" s="67">
        <f>IF(base!O306&lt;&gt;"",VLOOKUP(O306,de_para!$A$1:$B$31,2,0)*base!P306,0)</f>
        <v/>
      </c>
      <c r="R306" s="38" t="n"/>
      <c r="S306" s="29" t="n"/>
      <c r="T306" s="67">
        <f>IF(base!R306&lt;&gt;"",VLOOKUP(R306,de_para!$A$1:$B$31,2,0)*base!S306,0)</f>
        <v/>
      </c>
      <c r="U306" s="68">
        <f>H306+K306+N306+Q306+T306</f>
        <v/>
      </c>
    </row>
    <row r="307">
      <c r="A307" s="29" t="n"/>
      <c r="B307" s="29" t="n"/>
      <c r="C307" s="29" t="n"/>
      <c r="D307" s="29" t="n"/>
      <c r="E307" s="29" t="n"/>
      <c r="F307" s="29" t="n"/>
      <c r="G307" s="29" t="n"/>
      <c r="H307" s="67">
        <f>IF(base!F307&lt;&gt;"",VLOOKUP(F307,de_para!$A$1:$B$31,2,0)*base!G307,0)</f>
        <v/>
      </c>
      <c r="I307" s="38" t="n"/>
      <c r="J307" s="29" t="n"/>
      <c r="K307" s="67">
        <f>IF(base!I307&lt;&gt;"",VLOOKUP(I307,de_para!$A$1:$B$31,2,0)*base!J307,0)</f>
        <v/>
      </c>
      <c r="L307" s="38" t="n"/>
      <c r="M307" s="29" t="n"/>
      <c r="N307" s="67">
        <f>IF(base!L307&lt;&gt;"",VLOOKUP(L307,de_para!$A$1:$B$31,2,0)*base!M307,0)</f>
        <v/>
      </c>
      <c r="O307" s="38" t="n"/>
      <c r="P307" s="29" t="n"/>
      <c r="Q307" s="67">
        <f>IF(base!O307&lt;&gt;"",VLOOKUP(O307,de_para!$A$1:$B$31,2,0)*base!P307,0)</f>
        <v/>
      </c>
      <c r="R307" s="38" t="n"/>
      <c r="S307" s="29" t="n"/>
      <c r="T307" s="67">
        <f>IF(base!R307&lt;&gt;"",VLOOKUP(R307,de_para!$A$1:$B$31,2,0)*base!S307,0)</f>
        <v/>
      </c>
      <c r="U307" s="68">
        <f>H307+K307+N307+Q307+T307</f>
        <v/>
      </c>
    </row>
    <row r="308">
      <c r="A308" s="29" t="n"/>
      <c r="B308" s="29" t="n"/>
      <c r="C308" s="29" t="n"/>
      <c r="D308" s="29" t="n"/>
      <c r="E308" s="29" t="n"/>
      <c r="F308" s="29" t="n"/>
      <c r="G308" s="29" t="n"/>
      <c r="H308" s="67">
        <f>IF(base!F308&lt;&gt;"",VLOOKUP(F308,de_para!$A$1:$B$31,2,0)*base!G308,0)</f>
        <v/>
      </c>
      <c r="I308" s="38" t="n"/>
      <c r="J308" s="29" t="n"/>
      <c r="K308" s="67">
        <f>IF(base!I308&lt;&gt;"",VLOOKUP(I308,de_para!$A$1:$B$31,2,0)*base!J308,0)</f>
        <v/>
      </c>
      <c r="L308" s="38" t="n"/>
      <c r="M308" s="29" t="n"/>
      <c r="N308" s="67">
        <f>IF(base!L308&lt;&gt;"",VLOOKUP(L308,de_para!$A$1:$B$31,2,0)*base!M308,0)</f>
        <v/>
      </c>
      <c r="O308" s="38" t="n"/>
      <c r="P308" s="29" t="n"/>
      <c r="Q308" s="67">
        <f>IF(base!O308&lt;&gt;"",VLOOKUP(O308,de_para!$A$1:$B$31,2,0)*base!P308,0)</f>
        <v/>
      </c>
      <c r="R308" s="38" t="n"/>
      <c r="S308" s="29" t="n"/>
      <c r="T308" s="67">
        <f>IF(base!R308&lt;&gt;"",VLOOKUP(R308,de_para!$A$1:$B$31,2,0)*base!S308,0)</f>
        <v/>
      </c>
      <c r="U308" s="68">
        <f>H308+K308+N308+Q308+T308</f>
        <v/>
      </c>
    </row>
    <row r="309">
      <c r="A309" s="29" t="n"/>
      <c r="B309" s="29" t="n"/>
      <c r="C309" s="29" t="n"/>
      <c r="D309" s="29" t="n"/>
      <c r="E309" s="29" t="n"/>
      <c r="F309" s="29" t="n"/>
      <c r="G309" s="29" t="n"/>
      <c r="H309" s="67">
        <f>IF(base!F309&lt;&gt;"",VLOOKUP(F309,de_para!$A$1:$B$31,2,0)*base!G309,0)</f>
        <v/>
      </c>
      <c r="I309" s="38" t="n"/>
      <c r="J309" s="29" t="n"/>
      <c r="K309" s="67">
        <f>IF(base!I309&lt;&gt;"",VLOOKUP(I309,de_para!$A$1:$B$31,2,0)*base!J309,0)</f>
        <v/>
      </c>
      <c r="L309" s="38" t="n"/>
      <c r="M309" s="29" t="n"/>
      <c r="N309" s="67">
        <f>IF(base!L309&lt;&gt;"",VLOOKUP(L309,de_para!$A$1:$B$31,2,0)*base!M309,0)</f>
        <v/>
      </c>
      <c r="O309" s="38" t="n"/>
      <c r="P309" s="29" t="n"/>
      <c r="Q309" s="67">
        <f>IF(base!O309&lt;&gt;"",VLOOKUP(O309,de_para!$A$1:$B$31,2,0)*base!P309,0)</f>
        <v/>
      </c>
      <c r="R309" s="38" t="n"/>
      <c r="S309" s="29" t="n"/>
      <c r="T309" s="67">
        <f>IF(base!R309&lt;&gt;"",VLOOKUP(R309,de_para!$A$1:$B$31,2,0)*base!S309,0)</f>
        <v/>
      </c>
      <c r="U309" s="68">
        <f>H309+K309+N309+Q309+T309</f>
        <v/>
      </c>
    </row>
    <row r="310">
      <c r="A310" s="29" t="n"/>
      <c r="B310" s="29" t="n"/>
      <c r="C310" s="29" t="n"/>
      <c r="D310" s="29" t="n"/>
      <c r="E310" s="29" t="n"/>
      <c r="F310" s="29" t="n"/>
      <c r="G310" s="29" t="n"/>
      <c r="H310" s="67">
        <f>IF(base!F310&lt;&gt;"",VLOOKUP(F310,de_para!$A$1:$B$31,2,0)*base!G310,0)</f>
        <v/>
      </c>
      <c r="I310" s="38" t="n"/>
      <c r="J310" s="29" t="n"/>
      <c r="K310" s="67">
        <f>IF(base!I310&lt;&gt;"",VLOOKUP(I310,de_para!$A$1:$B$31,2,0)*base!J310,0)</f>
        <v/>
      </c>
      <c r="L310" s="38" t="n"/>
      <c r="M310" s="29" t="n"/>
      <c r="N310" s="67">
        <f>IF(base!L310&lt;&gt;"",VLOOKUP(L310,de_para!$A$1:$B$31,2,0)*base!M310,0)</f>
        <v/>
      </c>
      <c r="O310" s="38" t="n"/>
      <c r="P310" s="29" t="n"/>
      <c r="Q310" s="67">
        <f>IF(base!O310&lt;&gt;"",VLOOKUP(O310,de_para!$A$1:$B$31,2,0)*base!P310,0)</f>
        <v/>
      </c>
      <c r="R310" s="38" t="n"/>
      <c r="S310" s="29" t="n"/>
      <c r="T310" s="67">
        <f>IF(base!R310&lt;&gt;"",VLOOKUP(R310,de_para!$A$1:$B$31,2,0)*base!S310,0)</f>
        <v/>
      </c>
      <c r="U310" s="68">
        <f>H310+K310+N310+Q310+T310</f>
        <v/>
      </c>
    </row>
    <row r="311">
      <c r="A311" s="29" t="n"/>
      <c r="B311" s="29" t="n"/>
      <c r="C311" s="29" t="n"/>
      <c r="D311" s="29" t="n"/>
      <c r="E311" s="29" t="n"/>
      <c r="F311" s="29" t="n"/>
      <c r="G311" s="29" t="n"/>
      <c r="H311" s="67">
        <f>IF(base!F311&lt;&gt;"",VLOOKUP(F311,de_para!$A$1:$B$31,2,0)*base!G311,0)</f>
        <v/>
      </c>
      <c r="I311" s="38" t="n"/>
      <c r="J311" s="29" t="n"/>
      <c r="K311" s="67">
        <f>IF(base!I311&lt;&gt;"",VLOOKUP(I311,de_para!$A$1:$B$31,2,0)*base!J311,0)</f>
        <v/>
      </c>
      <c r="L311" s="38" t="n"/>
      <c r="M311" s="29" t="n"/>
      <c r="N311" s="67">
        <f>IF(base!L311&lt;&gt;"",VLOOKUP(L311,de_para!$A$1:$B$31,2,0)*base!M311,0)</f>
        <v/>
      </c>
      <c r="O311" s="38" t="n"/>
      <c r="P311" s="29" t="n"/>
      <c r="Q311" s="67">
        <f>IF(base!O311&lt;&gt;"",VLOOKUP(O311,de_para!$A$1:$B$31,2,0)*base!P311,0)</f>
        <v/>
      </c>
      <c r="R311" s="38" t="n"/>
      <c r="S311" s="29" t="n"/>
      <c r="T311" s="67">
        <f>IF(base!R311&lt;&gt;"",VLOOKUP(R311,de_para!$A$1:$B$31,2,0)*base!S311,0)</f>
        <v/>
      </c>
      <c r="U311" s="68">
        <f>H311+K311+N311+Q311+T311</f>
        <v/>
      </c>
    </row>
    <row r="312">
      <c r="A312" s="29" t="n"/>
      <c r="B312" s="29" t="n"/>
      <c r="C312" s="29" t="n"/>
      <c r="D312" s="29" t="n"/>
      <c r="E312" s="29" t="n"/>
      <c r="F312" s="29" t="n"/>
      <c r="G312" s="29" t="n"/>
      <c r="H312" s="67">
        <f>IF(base!F312&lt;&gt;"",VLOOKUP(F312,de_para!$A$1:$B$31,2,0)*base!G312,0)</f>
        <v/>
      </c>
      <c r="I312" s="38" t="n"/>
      <c r="J312" s="29" t="n"/>
      <c r="K312" s="67">
        <f>IF(base!I312&lt;&gt;"",VLOOKUP(I312,de_para!$A$1:$B$31,2,0)*base!J312,0)</f>
        <v/>
      </c>
      <c r="L312" s="38" t="n"/>
      <c r="M312" s="29" t="n"/>
      <c r="N312" s="67">
        <f>IF(base!L312&lt;&gt;"",VLOOKUP(L312,de_para!$A$1:$B$31,2,0)*base!M312,0)</f>
        <v/>
      </c>
      <c r="O312" s="38" t="n"/>
      <c r="P312" s="29" t="n"/>
      <c r="Q312" s="67">
        <f>IF(base!O312&lt;&gt;"",VLOOKUP(O312,de_para!$A$1:$B$31,2,0)*base!P312,0)</f>
        <v/>
      </c>
      <c r="R312" s="38" t="n"/>
      <c r="S312" s="29" t="n"/>
      <c r="T312" s="67">
        <f>IF(base!R312&lt;&gt;"",VLOOKUP(R312,de_para!$A$1:$B$31,2,0)*base!S312,0)</f>
        <v/>
      </c>
      <c r="U312" s="68">
        <f>H312+K312+N312+Q312+T312</f>
        <v/>
      </c>
    </row>
    <row r="313">
      <c r="A313" s="29" t="n"/>
      <c r="B313" s="29" t="n"/>
      <c r="C313" s="29" t="n"/>
      <c r="D313" s="29" t="n"/>
      <c r="E313" s="29" t="n"/>
      <c r="F313" s="29" t="n"/>
      <c r="G313" s="29" t="n"/>
      <c r="H313" s="67">
        <f>IF(base!F313&lt;&gt;"",VLOOKUP(F313,de_para!$A$1:$B$31,2,0)*base!G313,0)</f>
        <v/>
      </c>
      <c r="I313" s="38" t="n"/>
      <c r="J313" s="29" t="n"/>
      <c r="K313" s="67">
        <f>IF(base!I313&lt;&gt;"",VLOOKUP(I313,de_para!$A$1:$B$31,2,0)*base!J313,0)</f>
        <v/>
      </c>
      <c r="L313" s="38" t="n"/>
      <c r="M313" s="29" t="n"/>
      <c r="N313" s="67">
        <f>IF(base!L313&lt;&gt;"",VLOOKUP(L313,de_para!$A$1:$B$31,2,0)*base!M313,0)</f>
        <v/>
      </c>
      <c r="O313" s="38" t="n"/>
      <c r="P313" s="29" t="n"/>
      <c r="Q313" s="67">
        <f>IF(base!O313&lt;&gt;"",VLOOKUP(O313,de_para!$A$1:$B$31,2,0)*base!P313,0)</f>
        <v/>
      </c>
      <c r="R313" s="38" t="n"/>
      <c r="S313" s="29" t="n"/>
      <c r="T313" s="67">
        <f>IF(base!R313&lt;&gt;"",VLOOKUP(R313,de_para!$A$1:$B$31,2,0)*base!S313,0)</f>
        <v/>
      </c>
      <c r="U313" s="68">
        <f>H313+K313+N313+Q313+T313</f>
        <v/>
      </c>
    </row>
    <row r="314">
      <c r="A314" s="29" t="n"/>
      <c r="B314" s="29" t="n"/>
      <c r="C314" s="29" t="n"/>
      <c r="D314" s="29" t="n"/>
      <c r="E314" s="29" t="n"/>
      <c r="F314" s="29" t="n"/>
      <c r="G314" s="29" t="n"/>
      <c r="H314" s="67">
        <f>IF(base!F314&lt;&gt;"",VLOOKUP(F314,de_para!$A$1:$B$31,2,0)*base!G314,0)</f>
        <v/>
      </c>
      <c r="I314" s="38" t="n"/>
      <c r="J314" s="29" t="n"/>
      <c r="K314" s="67">
        <f>IF(base!I314&lt;&gt;"",VLOOKUP(I314,de_para!$A$1:$B$31,2,0)*base!J314,0)</f>
        <v/>
      </c>
      <c r="L314" s="38" t="n"/>
      <c r="M314" s="29" t="n"/>
      <c r="N314" s="67">
        <f>IF(base!L314&lt;&gt;"",VLOOKUP(L314,de_para!$A$1:$B$31,2,0)*base!M314,0)</f>
        <v/>
      </c>
      <c r="O314" s="38" t="n"/>
      <c r="P314" s="29" t="n"/>
      <c r="Q314" s="67">
        <f>IF(base!O314&lt;&gt;"",VLOOKUP(O314,de_para!$A$1:$B$31,2,0)*base!P314,0)</f>
        <v/>
      </c>
      <c r="R314" s="38" t="n"/>
      <c r="S314" s="29" t="n"/>
      <c r="T314" s="67">
        <f>IF(base!R314&lt;&gt;"",VLOOKUP(R314,de_para!$A$1:$B$31,2,0)*base!S314,0)</f>
        <v/>
      </c>
      <c r="U314" s="68">
        <f>H314+K314+N314+Q314+T314</f>
        <v/>
      </c>
    </row>
    <row r="315">
      <c r="A315" s="29" t="n"/>
      <c r="B315" s="29" t="n"/>
      <c r="C315" s="29" t="n"/>
      <c r="D315" s="29" t="n"/>
      <c r="E315" s="29" t="n"/>
      <c r="F315" s="29" t="n"/>
      <c r="G315" s="29" t="n"/>
      <c r="H315" s="67">
        <f>IF(base!F315&lt;&gt;"",VLOOKUP(F315,de_para!$A$1:$B$31,2,0)*base!G315,0)</f>
        <v/>
      </c>
      <c r="I315" s="38" t="n"/>
      <c r="J315" s="29" t="n"/>
      <c r="K315" s="67">
        <f>IF(base!I315&lt;&gt;"",VLOOKUP(I315,de_para!$A$1:$B$31,2,0)*base!J315,0)</f>
        <v/>
      </c>
      <c r="L315" s="38" t="n"/>
      <c r="M315" s="29" t="n"/>
      <c r="N315" s="67">
        <f>IF(base!L315&lt;&gt;"",VLOOKUP(L315,de_para!$A$1:$B$31,2,0)*base!M315,0)</f>
        <v/>
      </c>
      <c r="O315" s="38" t="n"/>
      <c r="P315" s="29" t="n"/>
      <c r="Q315" s="67">
        <f>IF(base!O315&lt;&gt;"",VLOOKUP(O315,de_para!$A$1:$B$31,2,0)*base!P315,0)</f>
        <v/>
      </c>
      <c r="R315" s="38" t="n"/>
      <c r="S315" s="29" t="n"/>
      <c r="T315" s="67">
        <f>IF(base!R315&lt;&gt;"",VLOOKUP(R315,de_para!$A$1:$B$31,2,0)*base!S315,0)</f>
        <v/>
      </c>
      <c r="U315" s="68">
        <f>H315+K315+N315+Q315+T315</f>
        <v/>
      </c>
    </row>
    <row r="316">
      <c r="A316" s="29" t="n"/>
      <c r="B316" s="29" t="n"/>
      <c r="C316" s="29" t="n"/>
      <c r="D316" s="29" t="n"/>
      <c r="E316" s="29" t="n"/>
      <c r="F316" s="29" t="n"/>
      <c r="G316" s="29" t="n"/>
      <c r="H316" s="67">
        <f>IF(base!F316&lt;&gt;"",VLOOKUP(F316,de_para!$A$1:$B$31,2,0)*base!G316,0)</f>
        <v/>
      </c>
      <c r="I316" s="38" t="n"/>
      <c r="J316" s="29" t="n"/>
      <c r="K316" s="67">
        <f>IF(base!I316&lt;&gt;"",VLOOKUP(I316,de_para!$A$1:$B$31,2,0)*base!J316,0)</f>
        <v/>
      </c>
      <c r="L316" s="38" t="n"/>
      <c r="M316" s="29" t="n"/>
      <c r="N316" s="67">
        <f>IF(base!L316&lt;&gt;"",VLOOKUP(L316,de_para!$A$1:$B$31,2,0)*base!M316,0)</f>
        <v/>
      </c>
      <c r="O316" s="38" t="n"/>
      <c r="P316" s="29" t="n"/>
      <c r="Q316" s="67">
        <f>IF(base!O316&lt;&gt;"",VLOOKUP(O316,de_para!$A$1:$B$31,2,0)*base!P316,0)</f>
        <v/>
      </c>
      <c r="R316" s="38" t="n"/>
      <c r="S316" s="29" t="n"/>
      <c r="T316" s="67">
        <f>IF(base!R316&lt;&gt;"",VLOOKUP(R316,de_para!$A$1:$B$31,2,0)*base!S316,0)</f>
        <v/>
      </c>
      <c r="U316" s="68">
        <f>H316+K316+N316+Q316+T316</f>
        <v/>
      </c>
    </row>
    <row r="317">
      <c r="A317" s="29" t="n"/>
      <c r="B317" s="29" t="n"/>
      <c r="C317" s="29" t="n"/>
      <c r="D317" s="29" t="n"/>
      <c r="E317" s="29" t="n"/>
      <c r="F317" s="29" t="n"/>
      <c r="G317" s="29" t="n"/>
      <c r="H317" s="67">
        <f>IF(base!F317&lt;&gt;"",VLOOKUP(F317,de_para!$A$1:$B$31,2,0)*base!G317,0)</f>
        <v/>
      </c>
      <c r="I317" s="38" t="n"/>
      <c r="J317" s="29" t="n"/>
      <c r="K317" s="67">
        <f>IF(base!I317&lt;&gt;"",VLOOKUP(I317,de_para!$A$1:$B$31,2,0)*base!J317,0)</f>
        <v/>
      </c>
      <c r="L317" s="38" t="n"/>
      <c r="M317" s="29" t="n"/>
      <c r="N317" s="67">
        <f>IF(base!L317&lt;&gt;"",VLOOKUP(L317,de_para!$A$1:$B$31,2,0)*base!M317,0)</f>
        <v/>
      </c>
      <c r="O317" s="38" t="n"/>
      <c r="P317" s="29" t="n"/>
      <c r="Q317" s="67">
        <f>IF(base!O317&lt;&gt;"",VLOOKUP(O317,de_para!$A$1:$B$31,2,0)*base!P317,0)</f>
        <v/>
      </c>
      <c r="R317" s="38" t="n"/>
      <c r="S317" s="29" t="n"/>
      <c r="T317" s="67">
        <f>IF(base!R317&lt;&gt;"",VLOOKUP(R317,de_para!$A$1:$B$31,2,0)*base!S317,0)</f>
        <v/>
      </c>
      <c r="U317" s="68">
        <f>H317+K317+N317+Q317+T317</f>
        <v/>
      </c>
    </row>
    <row r="318">
      <c r="A318" s="29" t="n"/>
      <c r="B318" s="29" t="n"/>
      <c r="C318" s="29" t="n"/>
      <c r="D318" s="29" t="n"/>
      <c r="E318" s="29" t="n"/>
      <c r="F318" s="29" t="n"/>
      <c r="G318" s="29" t="n"/>
      <c r="H318" s="67">
        <f>IF(base!F318&lt;&gt;"",VLOOKUP(F318,de_para!$A$1:$B$31,2,0)*base!G318,0)</f>
        <v/>
      </c>
      <c r="I318" s="38" t="n"/>
      <c r="J318" s="29" t="n"/>
      <c r="K318" s="67">
        <f>IF(base!I318&lt;&gt;"",VLOOKUP(I318,de_para!$A$1:$B$31,2,0)*base!J318,0)</f>
        <v/>
      </c>
      <c r="L318" s="38" t="n"/>
      <c r="M318" s="29" t="n"/>
      <c r="N318" s="67">
        <f>IF(base!L318&lt;&gt;"",VLOOKUP(L318,de_para!$A$1:$B$31,2,0)*base!M318,0)</f>
        <v/>
      </c>
      <c r="O318" s="38" t="n"/>
      <c r="P318" s="29" t="n"/>
      <c r="Q318" s="67">
        <f>IF(base!O318&lt;&gt;"",VLOOKUP(O318,de_para!$A$1:$B$31,2,0)*base!P318,0)</f>
        <v/>
      </c>
      <c r="R318" s="38" t="n"/>
      <c r="S318" s="29" t="n"/>
      <c r="T318" s="67">
        <f>IF(base!R318&lt;&gt;"",VLOOKUP(R318,de_para!$A$1:$B$31,2,0)*base!S318,0)</f>
        <v/>
      </c>
      <c r="U318" s="68">
        <f>H318+K318+N318+Q318+T318</f>
        <v/>
      </c>
    </row>
    <row r="319">
      <c r="A319" s="29" t="n"/>
      <c r="B319" s="29" t="n"/>
      <c r="C319" s="29" t="n"/>
      <c r="D319" s="29" t="n"/>
      <c r="E319" s="29" t="n"/>
      <c r="F319" s="29" t="n"/>
      <c r="G319" s="29" t="n"/>
      <c r="H319" s="67">
        <f>IF(base!F319&lt;&gt;"",VLOOKUP(F319,de_para!$A$1:$B$31,2,0)*base!G319,0)</f>
        <v/>
      </c>
      <c r="I319" s="38" t="n"/>
      <c r="J319" s="29" t="n"/>
      <c r="K319" s="67">
        <f>IF(base!I319&lt;&gt;"",VLOOKUP(I319,de_para!$A$1:$B$31,2,0)*base!J319,0)</f>
        <v/>
      </c>
      <c r="L319" s="38" t="n"/>
      <c r="M319" s="29" t="n"/>
      <c r="N319" s="67">
        <f>IF(base!L319&lt;&gt;"",VLOOKUP(L319,de_para!$A$1:$B$31,2,0)*base!M319,0)</f>
        <v/>
      </c>
      <c r="O319" s="38" t="n"/>
      <c r="P319" s="29" t="n"/>
      <c r="Q319" s="67">
        <f>IF(base!O319&lt;&gt;"",VLOOKUP(O319,de_para!$A$1:$B$31,2,0)*base!P319,0)</f>
        <v/>
      </c>
      <c r="R319" s="38" t="n"/>
      <c r="S319" s="29" t="n"/>
      <c r="T319" s="67">
        <f>IF(base!R319&lt;&gt;"",VLOOKUP(R319,de_para!$A$1:$B$31,2,0)*base!S319,0)</f>
        <v/>
      </c>
      <c r="U319" s="68">
        <f>H319+K319+N319+Q319+T319</f>
        <v/>
      </c>
    </row>
    <row r="320">
      <c r="A320" s="29" t="n"/>
      <c r="B320" s="29" t="n"/>
      <c r="C320" s="29" t="n"/>
      <c r="D320" s="29" t="n"/>
      <c r="E320" s="29" t="n"/>
      <c r="F320" s="29" t="n"/>
      <c r="G320" s="29" t="n"/>
      <c r="H320" s="67">
        <f>IF(base!F320&lt;&gt;"",VLOOKUP(F320,de_para!$A$1:$B$31,2,0)*base!G320,0)</f>
        <v/>
      </c>
      <c r="I320" s="38" t="n"/>
      <c r="J320" s="29" t="n"/>
      <c r="K320" s="67">
        <f>IF(base!I320&lt;&gt;"",VLOOKUP(I320,de_para!$A$1:$B$31,2,0)*base!J320,0)</f>
        <v/>
      </c>
      <c r="L320" s="38" t="n"/>
      <c r="M320" s="29" t="n"/>
      <c r="N320" s="67">
        <f>IF(base!L320&lt;&gt;"",VLOOKUP(L320,de_para!$A$1:$B$31,2,0)*base!M320,0)</f>
        <v/>
      </c>
      <c r="O320" s="38" t="n"/>
      <c r="P320" s="29" t="n"/>
      <c r="Q320" s="67">
        <f>IF(base!O320&lt;&gt;"",VLOOKUP(O320,de_para!$A$1:$B$31,2,0)*base!P320,0)</f>
        <v/>
      </c>
      <c r="R320" s="38" t="n"/>
      <c r="S320" s="29" t="n"/>
      <c r="T320" s="67">
        <f>IF(base!R320&lt;&gt;"",VLOOKUP(R320,de_para!$A$1:$B$31,2,0)*base!S320,0)</f>
        <v/>
      </c>
      <c r="U320" s="68">
        <f>H320+K320+N320+Q320+T320</f>
        <v/>
      </c>
    </row>
    <row r="321">
      <c r="A321" s="29" t="n"/>
      <c r="B321" s="29" t="n"/>
      <c r="C321" s="29" t="n"/>
      <c r="D321" s="29" t="n"/>
      <c r="E321" s="29" t="n"/>
      <c r="F321" s="29" t="n"/>
      <c r="G321" s="29" t="n"/>
      <c r="H321" s="67">
        <f>IF(base!F321&lt;&gt;"",VLOOKUP(F321,de_para!$A$1:$B$31,2,0)*base!G321,0)</f>
        <v/>
      </c>
      <c r="I321" s="38" t="n"/>
      <c r="J321" s="29" t="n"/>
      <c r="K321" s="67">
        <f>IF(base!I321&lt;&gt;"",VLOOKUP(I321,de_para!$A$1:$B$31,2,0)*base!J321,0)</f>
        <v/>
      </c>
      <c r="L321" s="38" t="n"/>
      <c r="M321" s="29" t="n"/>
      <c r="N321" s="67">
        <f>IF(base!L321&lt;&gt;"",VLOOKUP(L321,de_para!$A$1:$B$31,2,0)*base!M321,0)</f>
        <v/>
      </c>
      <c r="O321" s="38" t="n"/>
      <c r="P321" s="29" t="n"/>
      <c r="Q321" s="67">
        <f>IF(base!O321&lt;&gt;"",VLOOKUP(O321,de_para!$A$1:$B$31,2,0)*base!P321,0)</f>
        <v/>
      </c>
      <c r="R321" s="38" t="n"/>
      <c r="S321" s="29" t="n"/>
      <c r="T321" s="67">
        <f>IF(base!R321&lt;&gt;"",VLOOKUP(R321,de_para!$A$1:$B$31,2,0)*base!S321,0)</f>
        <v/>
      </c>
      <c r="U321" s="68">
        <f>H321+K321+N321+Q321+T321</f>
        <v/>
      </c>
    </row>
    <row r="322">
      <c r="A322" s="29" t="n"/>
      <c r="B322" s="29" t="n"/>
      <c r="C322" s="29" t="n"/>
      <c r="D322" s="29" t="n"/>
      <c r="E322" s="29" t="n"/>
      <c r="F322" s="29" t="n"/>
      <c r="G322" s="29" t="n"/>
      <c r="H322" s="67">
        <f>IF(base!F322&lt;&gt;"",VLOOKUP(F322,de_para!$A$1:$B$31,2,0)*base!G322,0)</f>
        <v/>
      </c>
      <c r="I322" s="38" t="n"/>
      <c r="J322" s="29" t="n"/>
      <c r="K322" s="67">
        <f>IF(base!I322&lt;&gt;"",VLOOKUP(I322,de_para!$A$1:$B$31,2,0)*base!J322,0)</f>
        <v/>
      </c>
      <c r="L322" s="38" t="n"/>
      <c r="M322" s="29" t="n"/>
      <c r="N322" s="67">
        <f>IF(base!L322&lt;&gt;"",VLOOKUP(L322,de_para!$A$1:$B$31,2,0)*base!M322,0)</f>
        <v/>
      </c>
      <c r="O322" s="38" t="n"/>
      <c r="P322" s="29" t="n"/>
      <c r="Q322" s="67">
        <f>IF(base!O322&lt;&gt;"",VLOOKUP(O322,de_para!$A$1:$B$31,2,0)*base!P322,0)</f>
        <v/>
      </c>
      <c r="R322" s="38" t="n"/>
      <c r="S322" s="29" t="n"/>
      <c r="T322" s="67">
        <f>IF(base!R322&lt;&gt;"",VLOOKUP(R322,de_para!$A$1:$B$31,2,0)*base!S322,0)</f>
        <v/>
      </c>
      <c r="U322" s="68">
        <f>H322+K322+N322+Q322+T322</f>
        <v/>
      </c>
    </row>
    <row r="323">
      <c r="A323" s="29" t="n"/>
      <c r="B323" s="29" t="n"/>
      <c r="C323" s="29" t="n"/>
      <c r="D323" s="29" t="n"/>
      <c r="E323" s="29" t="n"/>
      <c r="F323" s="29" t="n"/>
      <c r="G323" s="29" t="n"/>
      <c r="H323" s="67">
        <f>IF(base!F323&lt;&gt;"",VLOOKUP(F323,de_para!$A$1:$B$31,2,0)*base!G323,0)</f>
        <v/>
      </c>
      <c r="I323" s="38" t="n"/>
      <c r="J323" s="29" t="n"/>
      <c r="K323" s="67">
        <f>IF(base!I323&lt;&gt;"",VLOOKUP(I323,de_para!$A$1:$B$31,2,0)*base!J323,0)</f>
        <v/>
      </c>
      <c r="L323" s="38" t="n"/>
      <c r="M323" s="29" t="n"/>
      <c r="N323" s="67">
        <f>IF(base!L323&lt;&gt;"",VLOOKUP(L323,de_para!$A$1:$B$31,2,0)*base!M323,0)</f>
        <v/>
      </c>
      <c r="O323" s="38" t="n"/>
      <c r="P323" s="29" t="n"/>
      <c r="Q323" s="67">
        <f>IF(base!O323&lt;&gt;"",VLOOKUP(O323,de_para!$A$1:$B$31,2,0)*base!P323,0)</f>
        <v/>
      </c>
      <c r="R323" s="38" t="n"/>
      <c r="S323" s="29" t="n"/>
      <c r="T323" s="67">
        <f>IF(base!R323&lt;&gt;"",VLOOKUP(R323,de_para!$A$1:$B$31,2,0)*base!S323,0)</f>
        <v/>
      </c>
      <c r="U323" s="68">
        <f>H323+K323+N323+Q323+T323</f>
        <v/>
      </c>
    </row>
    <row r="324">
      <c r="A324" s="29" t="n"/>
      <c r="B324" s="29" t="n"/>
      <c r="C324" s="29" t="n"/>
      <c r="D324" s="29" t="n"/>
      <c r="E324" s="29" t="n"/>
      <c r="F324" s="29" t="n"/>
      <c r="G324" s="29" t="n"/>
      <c r="H324" s="67">
        <f>IF(base!F324&lt;&gt;"",VLOOKUP(F324,de_para!$A$1:$B$31,2,0)*base!G324,0)</f>
        <v/>
      </c>
      <c r="I324" s="38" t="n"/>
      <c r="J324" s="29" t="n"/>
      <c r="K324" s="67">
        <f>IF(base!I324&lt;&gt;"",VLOOKUP(I324,de_para!$A$1:$B$31,2,0)*base!J324,0)</f>
        <v/>
      </c>
      <c r="L324" s="38" t="n"/>
      <c r="M324" s="29" t="n"/>
      <c r="N324" s="67">
        <f>IF(base!L324&lt;&gt;"",VLOOKUP(L324,de_para!$A$1:$B$31,2,0)*base!M324,0)</f>
        <v/>
      </c>
      <c r="O324" s="38" t="n"/>
      <c r="P324" s="29" t="n"/>
      <c r="Q324" s="67">
        <f>IF(base!O324&lt;&gt;"",VLOOKUP(O324,de_para!$A$1:$B$31,2,0)*base!P324,0)</f>
        <v/>
      </c>
      <c r="R324" s="38" t="n"/>
      <c r="S324" s="29" t="n"/>
      <c r="T324" s="67">
        <f>IF(base!R324&lt;&gt;"",VLOOKUP(R324,de_para!$A$1:$B$31,2,0)*base!S324,0)</f>
        <v/>
      </c>
      <c r="U324" s="68">
        <f>H324+K324+N324+Q324+T324</f>
        <v/>
      </c>
    </row>
    <row r="325">
      <c r="A325" s="29" t="n"/>
      <c r="B325" s="29" t="n"/>
      <c r="C325" s="29" t="n"/>
      <c r="D325" s="29" t="n"/>
      <c r="E325" s="29" t="n"/>
      <c r="F325" s="29" t="n"/>
      <c r="G325" s="29" t="n"/>
      <c r="H325" s="67">
        <f>IF(base!F325&lt;&gt;"",VLOOKUP(F325,de_para!$A$1:$B$31,2,0)*base!G325,0)</f>
        <v/>
      </c>
      <c r="I325" s="38" t="n"/>
      <c r="J325" s="29" t="n"/>
      <c r="K325" s="67">
        <f>IF(base!I325&lt;&gt;"",VLOOKUP(I325,de_para!$A$1:$B$31,2,0)*base!J325,0)</f>
        <v/>
      </c>
      <c r="L325" s="38" t="n"/>
      <c r="M325" s="29" t="n"/>
      <c r="N325" s="67">
        <f>IF(base!L325&lt;&gt;"",VLOOKUP(L325,de_para!$A$1:$B$31,2,0)*base!M325,0)</f>
        <v/>
      </c>
      <c r="O325" s="38" t="n"/>
      <c r="P325" s="29" t="n"/>
      <c r="Q325" s="67">
        <f>IF(base!O325&lt;&gt;"",VLOOKUP(O325,de_para!$A$1:$B$31,2,0)*base!P325,0)</f>
        <v/>
      </c>
      <c r="R325" s="38" t="n"/>
      <c r="S325" s="29" t="n"/>
      <c r="T325" s="67">
        <f>IF(base!R325&lt;&gt;"",VLOOKUP(R325,de_para!$A$1:$B$31,2,0)*base!S325,0)</f>
        <v/>
      </c>
      <c r="U325" s="68">
        <f>H325+K325+N325+Q325+T325</f>
        <v/>
      </c>
    </row>
    <row r="326">
      <c r="A326" s="29" t="n"/>
      <c r="B326" s="29" t="n"/>
      <c r="C326" s="29" t="n"/>
      <c r="D326" s="29" t="n"/>
      <c r="E326" s="29" t="n"/>
      <c r="F326" s="29" t="n"/>
      <c r="G326" s="29" t="n"/>
      <c r="H326" s="67">
        <f>IF(base!F326&lt;&gt;"",VLOOKUP(F326,de_para!$A$1:$B$31,2,0)*base!G326,0)</f>
        <v/>
      </c>
      <c r="I326" s="38" t="n"/>
      <c r="J326" s="29" t="n"/>
      <c r="K326" s="67">
        <f>IF(base!I326&lt;&gt;"",VLOOKUP(I326,de_para!$A$1:$B$31,2,0)*base!J326,0)</f>
        <v/>
      </c>
      <c r="L326" s="38" t="n"/>
      <c r="M326" s="29" t="n"/>
      <c r="N326" s="67">
        <f>IF(base!L326&lt;&gt;"",VLOOKUP(L326,de_para!$A$1:$B$31,2,0)*base!M326,0)</f>
        <v/>
      </c>
      <c r="O326" s="38" t="n"/>
      <c r="P326" s="29" t="n"/>
      <c r="Q326" s="67">
        <f>IF(base!O326&lt;&gt;"",VLOOKUP(O326,de_para!$A$1:$B$31,2,0)*base!P326,0)</f>
        <v/>
      </c>
      <c r="R326" s="38" t="n"/>
      <c r="S326" s="29" t="n"/>
      <c r="T326" s="67">
        <f>IF(base!R326&lt;&gt;"",VLOOKUP(R326,de_para!$A$1:$B$31,2,0)*base!S326,0)</f>
        <v/>
      </c>
      <c r="U326" s="68">
        <f>H326+K326+N326+Q326+T326</f>
        <v/>
      </c>
    </row>
    <row r="327">
      <c r="A327" s="29" t="n"/>
      <c r="B327" s="29" t="n"/>
      <c r="C327" s="29" t="n"/>
      <c r="D327" s="29" t="n"/>
      <c r="E327" s="29" t="n"/>
      <c r="F327" s="29" t="n"/>
      <c r="G327" s="29" t="n"/>
      <c r="H327" s="67">
        <f>IF(base!F327&lt;&gt;"",VLOOKUP(F327,de_para!$A$1:$B$31,2,0)*base!G327,0)</f>
        <v/>
      </c>
      <c r="I327" s="38" t="n"/>
      <c r="J327" s="29" t="n"/>
      <c r="K327" s="67">
        <f>IF(base!I327&lt;&gt;"",VLOOKUP(I327,de_para!$A$1:$B$31,2,0)*base!J327,0)</f>
        <v/>
      </c>
      <c r="L327" s="38" t="n"/>
      <c r="M327" s="29" t="n"/>
      <c r="N327" s="67">
        <f>IF(base!L327&lt;&gt;"",VLOOKUP(L327,de_para!$A$1:$B$31,2,0)*base!M327,0)</f>
        <v/>
      </c>
      <c r="O327" s="38" t="n"/>
      <c r="P327" s="29" t="n"/>
      <c r="Q327" s="67">
        <f>IF(base!O327&lt;&gt;"",VLOOKUP(O327,de_para!$A$1:$B$31,2,0)*base!P327,0)</f>
        <v/>
      </c>
      <c r="R327" s="38" t="n"/>
      <c r="S327" s="29" t="n"/>
      <c r="T327" s="67">
        <f>IF(base!R327&lt;&gt;"",VLOOKUP(R327,de_para!$A$1:$B$31,2,0)*base!S327,0)</f>
        <v/>
      </c>
      <c r="U327" s="68">
        <f>H327+K327+N327+Q327+T327</f>
        <v/>
      </c>
    </row>
    <row r="328">
      <c r="A328" s="29" t="n"/>
      <c r="B328" s="29" t="n"/>
      <c r="C328" s="29" t="n"/>
      <c r="D328" s="29" t="n"/>
      <c r="E328" s="29" t="n"/>
      <c r="F328" s="29" t="n"/>
      <c r="G328" s="29" t="n"/>
      <c r="H328" s="67">
        <f>IF(base!F328&lt;&gt;"",VLOOKUP(F328,de_para!$A$1:$B$31,2,0)*base!G328,0)</f>
        <v/>
      </c>
      <c r="I328" s="38" t="n"/>
      <c r="J328" s="29" t="n"/>
      <c r="K328" s="67">
        <f>IF(base!I328&lt;&gt;"",VLOOKUP(I328,de_para!$A$1:$B$31,2,0)*base!J328,0)</f>
        <v/>
      </c>
      <c r="L328" s="38" t="n"/>
      <c r="M328" s="29" t="n"/>
      <c r="N328" s="67">
        <f>IF(base!L328&lt;&gt;"",VLOOKUP(L328,de_para!$A$1:$B$31,2,0)*base!M328,0)</f>
        <v/>
      </c>
      <c r="O328" s="38" t="n"/>
      <c r="P328" s="29" t="n"/>
      <c r="Q328" s="67">
        <f>IF(base!O328&lt;&gt;"",VLOOKUP(O328,de_para!$A$1:$B$31,2,0)*base!P328,0)</f>
        <v/>
      </c>
      <c r="R328" s="38" t="n"/>
      <c r="S328" s="29" t="n"/>
      <c r="T328" s="67">
        <f>IF(base!R328&lt;&gt;"",VLOOKUP(R328,de_para!$A$1:$B$31,2,0)*base!S328,0)</f>
        <v/>
      </c>
      <c r="U328" s="68">
        <f>H328+K328+N328+Q328+T328</f>
        <v/>
      </c>
    </row>
    <row r="329">
      <c r="A329" s="29" t="n"/>
      <c r="B329" s="29" t="n"/>
      <c r="C329" s="29" t="n"/>
      <c r="D329" s="29" t="n"/>
      <c r="E329" s="29" t="n"/>
      <c r="F329" s="29" t="n"/>
      <c r="G329" s="29" t="n"/>
      <c r="H329" s="67">
        <f>IF(base!F329&lt;&gt;"",VLOOKUP(F329,de_para!$A$1:$B$31,2,0)*base!G329,0)</f>
        <v/>
      </c>
      <c r="I329" s="38" t="n"/>
      <c r="J329" s="29" t="n"/>
      <c r="K329" s="67">
        <f>IF(base!I329&lt;&gt;"",VLOOKUP(I329,de_para!$A$1:$B$31,2,0)*base!J329,0)</f>
        <v/>
      </c>
      <c r="L329" s="38" t="n"/>
      <c r="M329" s="29" t="n"/>
      <c r="N329" s="67">
        <f>IF(base!L329&lt;&gt;"",VLOOKUP(L329,de_para!$A$1:$B$31,2,0)*base!M329,0)</f>
        <v/>
      </c>
      <c r="O329" s="38" t="n"/>
      <c r="P329" s="29" t="n"/>
      <c r="Q329" s="67">
        <f>IF(base!O329&lt;&gt;"",VLOOKUP(O329,de_para!$A$1:$B$31,2,0)*base!P329,0)</f>
        <v/>
      </c>
      <c r="R329" s="38" t="n"/>
      <c r="S329" s="29" t="n"/>
      <c r="T329" s="67">
        <f>IF(base!R329&lt;&gt;"",VLOOKUP(R329,de_para!$A$1:$B$31,2,0)*base!S329,0)</f>
        <v/>
      </c>
      <c r="U329" s="68">
        <f>H329+K329+N329+Q329+T329</f>
        <v/>
      </c>
    </row>
    <row r="330">
      <c r="A330" s="29" t="n"/>
      <c r="B330" s="29" t="n"/>
      <c r="C330" s="29" t="n"/>
      <c r="D330" s="29" t="n"/>
      <c r="E330" s="29" t="n"/>
      <c r="F330" s="29" t="n"/>
      <c r="G330" s="29" t="n"/>
      <c r="H330" s="67">
        <f>IF(base!F330&lt;&gt;"",VLOOKUP(F330,de_para!$A$1:$B$31,2,0)*base!G330,0)</f>
        <v/>
      </c>
      <c r="I330" s="38" t="n"/>
      <c r="J330" s="29" t="n"/>
      <c r="K330" s="67">
        <f>IF(base!I330&lt;&gt;"",VLOOKUP(I330,de_para!$A$1:$B$31,2,0)*base!J330,0)</f>
        <v/>
      </c>
      <c r="L330" s="38" t="n"/>
      <c r="M330" s="29" t="n"/>
      <c r="N330" s="67">
        <f>IF(base!L330&lt;&gt;"",VLOOKUP(L330,de_para!$A$1:$B$31,2,0)*base!M330,0)</f>
        <v/>
      </c>
      <c r="O330" s="38" t="n"/>
      <c r="P330" s="29" t="n"/>
      <c r="Q330" s="67">
        <f>IF(base!O330&lt;&gt;"",VLOOKUP(O330,de_para!$A$1:$B$31,2,0)*base!P330,0)</f>
        <v/>
      </c>
      <c r="R330" s="38" t="n"/>
      <c r="S330" s="29" t="n"/>
      <c r="T330" s="67">
        <f>IF(base!R330&lt;&gt;"",VLOOKUP(R330,de_para!$A$1:$B$31,2,0)*base!S330,0)</f>
        <v/>
      </c>
      <c r="U330" s="68">
        <f>H330+K330+N330+Q330+T330</f>
        <v/>
      </c>
    </row>
    <row r="331">
      <c r="A331" s="29" t="n"/>
      <c r="B331" s="29" t="n"/>
      <c r="C331" s="29" t="n"/>
      <c r="D331" s="29" t="n"/>
      <c r="E331" s="29" t="n"/>
      <c r="F331" s="29" t="n"/>
      <c r="G331" s="29" t="n"/>
      <c r="H331" s="67">
        <f>IF(base!F331&lt;&gt;"",VLOOKUP(F331,de_para!$A$1:$B$31,2,0)*base!G331,0)</f>
        <v/>
      </c>
      <c r="I331" s="38" t="n"/>
      <c r="J331" s="29" t="n"/>
      <c r="K331" s="67">
        <f>IF(base!I331&lt;&gt;"",VLOOKUP(I331,de_para!$A$1:$B$31,2,0)*base!J331,0)</f>
        <v/>
      </c>
      <c r="L331" s="38" t="n"/>
      <c r="M331" s="29" t="n"/>
      <c r="N331" s="67">
        <f>IF(base!L331&lt;&gt;"",VLOOKUP(L331,de_para!$A$1:$B$31,2,0)*base!M331,0)</f>
        <v/>
      </c>
      <c r="O331" s="38" t="n"/>
      <c r="P331" s="29" t="n"/>
      <c r="Q331" s="67">
        <f>IF(base!O331&lt;&gt;"",VLOOKUP(O331,de_para!$A$1:$B$31,2,0)*base!P331,0)</f>
        <v/>
      </c>
      <c r="R331" s="38" t="n"/>
      <c r="S331" s="29" t="n"/>
      <c r="T331" s="67">
        <f>IF(base!R331&lt;&gt;"",VLOOKUP(R331,de_para!$A$1:$B$31,2,0)*base!S331,0)</f>
        <v/>
      </c>
      <c r="U331" s="68">
        <f>H331+K331+N331+Q331+T331</f>
        <v/>
      </c>
    </row>
    <row r="332">
      <c r="A332" s="29" t="n"/>
      <c r="B332" s="29" t="n"/>
      <c r="C332" s="29" t="n"/>
      <c r="D332" s="29" t="n"/>
      <c r="E332" s="29" t="n"/>
      <c r="F332" s="29" t="n"/>
      <c r="G332" s="29" t="n"/>
      <c r="H332" s="67">
        <f>IF(base!F332&lt;&gt;"",VLOOKUP(F332,de_para!$A$1:$B$31,2,0)*base!G332,0)</f>
        <v/>
      </c>
      <c r="I332" s="38" t="n"/>
      <c r="J332" s="29" t="n"/>
      <c r="K332" s="67">
        <f>IF(base!I332&lt;&gt;"",VLOOKUP(I332,de_para!$A$1:$B$31,2,0)*base!J332,0)</f>
        <v/>
      </c>
      <c r="L332" s="38" t="n"/>
      <c r="M332" s="29" t="n"/>
      <c r="N332" s="67">
        <f>IF(base!L332&lt;&gt;"",VLOOKUP(L332,de_para!$A$1:$B$31,2,0)*base!M332,0)</f>
        <v/>
      </c>
      <c r="O332" s="38" t="n"/>
      <c r="P332" s="29" t="n"/>
      <c r="Q332" s="67">
        <f>IF(base!O332&lt;&gt;"",VLOOKUP(O332,de_para!$A$1:$B$31,2,0)*base!P332,0)</f>
        <v/>
      </c>
      <c r="R332" s="38" t="n"/>
      <c r="S332" s="29" t="n"/>
      <c r="T332" s="67">
        <f>IF(base!R332&lt;&gt;"",VLOOKUP(R332,de_para!$A$1:$B$31,2,0)*base!S332,0)</f>
        <v/>
      </c>
      <c r="U332" s="68">
        <f>H332+K332+N332+Q332+T332</f>
        <v/>
      </c>
    </row>
    <row r="333">
      <c r="A333" s="29" t="n"/>
      <c r="B333" s="29" t="n"/>
      <c r="C333" s="29" t="n"/>
      <c r="D333" s="29" t="n"/>
      <c r="E333" s="29" t="n"/>
      <c r="F333" s="29" t="n"/>
      <c r="G333" s="29" t="n"/>
      <c r="H333" s="67">
        <f>IF(base!F333&lt;&gt;"",VLOOKUP(F333,de_para!$A$1:$B$31,2,0)*base!G333,0)</f>
        <v/>
      </c>
      <c r="I333" s="38" t="n"/>
      <c r="J333" s="29" t="n"/>
      <c r="K333" s="67">
        <f>IF(base!I333&lt;&gt;"",VLOOKUP(I333,de_para!$A$1:$B$31,2,0)*base!J333,0)</f>
        <v/>
      </c>
      <c r="L333" s="38" t="n"/>
      <c r="M333" s="29" t="n"/>
      <c r="N333" s="67">
        <f>IF(base!L333&lt;&gt;"",VLOOKUP(L333,de_para!$A$1:$B$31,2,0)*base!M333,0)</f>
        <v/>
      </c>
      <c r="O333" s="38" t="n"/>
      <c r="P333" s="29" t="n"/>
      <c r="Q333" s="67">
        <f>IF(base!O333&lt;&gt;"",VLOOKUP(O333,de_para!$A$1:$B$31,2,0)*base!P333,0)</f>
        <v/>
      </c>
      <c r="R333" s="38" t="n"/>
      <c r="S333" s="29" t="n"/>
      <c r="T333" s="67">
        <f>IF(base!R333&lt;&gt;"",VLOOKUP(R333,de_para!$A$1:$B$31,2,0)*base!S333,0)</f>
        <v/>
      </c>
      <c r="U333" s="68">
        <f>H333+K333+N333+Q333+T333</f>
        <v/>
      </c>
    </row>
    <row r="334">
      <c r="A334" s="29" t="n"/>
      <c r="B334" s="29" t="n"/>
      <c r="C334" s="29" t="n"/>
      <c r="D334" s="29" t="n"/>
      <c r="E334" s="29" t="n"/>
      <c r="F334" s="29" t="n"/>
      <c r="G334" s="29" t="n"/>
      <c r="H334" s="67">
        <f>IF(base!F334&lt;&gt;"",VLOOKUP(F334,de_para!$A$1:$B$31,2,0)*base!G334,0)</f>
        <v/>
      </c>
      <c r="I334" s="38" t="n"/>
      <c r="J334" s="29" t="n"/>
      <c r="K334" s="67">
        <f>IF(base!I334&lt;&gt;"",VLOOKUP(I334,de_para!$A$1:$B$31,2,0)*base!J334,0)</f>
        <v/>
      </c>
      <c r="L334" s="38" t="n"/>
      <c r="M334" s="29" t="n"/>
      <c r="N334" s="67">
        <f>IF(base!L334&lt;&gt;"",VLOOKUP(L334,de_para!$A$1:$B$31,2,0)*base!M334,0)</f>
        <v/>
      </c>
      <c r="O334" s="38" t="n"/>
      <c r="P334" s="29" t="n"/>
      <c r="Q334" s="67">
        <f>IF(base!O334&lt;&gt;"",VLOOKUP(O334,de_para!$A$1:$B$31,2,0)*base!P334,0)</f>
        <v/>
      </c>
      <c r="R334" s="38" t="n"/>
      <c r="S334" s="29" t="n"/>
      <c r="T334" s="67">
        <f>IF(base!R334&lt;&gt;"",VLOOKUP(R334,de_para!$A$1:$B$31,2,0)*base!S334,0)</f>
        <v/>
      </c>
      <c r="U334" s="68">
        <f>H334+K334+N334+Q334+T334</f>
        <v/>
      </c>
    </row>
    <row r="335">
      <c r="A335" s="29" t="n"/>
      <c r="B335" s="29" t="n"/>
      <c r="C335" s="29" t="n"/>
      <c r="D335" s="29" t="n"/>
      <c r="E335" s="29" t="n"/>
      <c r="F335" s="29" t="n"/>
      <c r="G335" s="29" t="n"/>
      <c r="H335" s="67">
        <f>IF(base!F335&lt;&gt;"",VLOOKUP(F335,de_para!$A$1:$B$31,2,0)*base!G335,0)</f>
        <v/>
      </c>
      <c r="I335" s="38" t="n"/>
      <c r="J335" s="29" t="n"/>
      <c r="K335" s="67">
        <f>IF(base!I335&lt;&gt;"",VLOOKUP(I335,de_para!$A$1:$B$31,2,0)*base!J335,0)</f>
        <v/>
      </c>
      <c r="L335" s="38" t="n"/>
      <c r="M335" s="29" t="n"/>
      <c r="N335" s="67">
        <f>IF(base!L335&lt;&gt;"",VLOOKUP(L335,de_para!$A$1:$B$31,2,0)*base!M335,0)</f>
        <v/>
      </c>
      <c r="O335" s="38" t="n"/>
      <c r="P335" s="29" t="n"/>
      <c r="Q335" s="67">
        <f>IF(base!O335&lt;&gt;"",VLOOKUP(O335,de_para!$A$1:$B$31,2,0)*base!P335,0)</f>
        <v/>
      </c>
      <c r="R335" s="38" t="n"/>
      <c r="S335" s="29" t="n"/>
      <c r="T335" s="67">
        <f>IF(base!R335&lt;&gt;"",VLOOKUP(R335,de_para!$A$1:$B$31,2,0)*base!S335,0)</f>
        <v/>
      </c>
      <c r="U335" s="68">
        <f>H335+K335+N335+Q335+T335</f>
        <v/>
      </c>
    </row>
    <row r="336">
      <c r="A336" s="29" t="n"/>
      <c r="B336" s="29" t="n"/>
      <c r="C336" s="29" t="n"/>
      <c r="D336" s="29" t="n"/>
      <c r="E336" s="29" t="n"/>
      <c r="F336" s="29" t="n"/>
      <c r="G336" s="29" t="n"/>
      <c r="H336" s="67">
        <f>IF(base!F336&lt;&gt;"",VLOOKUP(F336,de_para!$A$1:$B$31,2,0)*base!G336,0)</f>
        <v/>
      </c>
      <c r="I336" s="38" t="n"/>
      <c r="J336" s="29" t="n"/>
      <c r="K336" s="67">
        <f>IF(base!I336&lt;&gt;"",VLOOKUP(I336,de_para!$A$1:$B$31,2,0)*base!J336,0)</f>
        <v/>
      </c>
      <c r="L336" s="38" t="n"/>
      <c r="M336" s="29" t="n"/>
      <c r="N336" s="67">
        <f>IF(base!L336&lt;&gt;"",VLOOKUP(L336,de_para!$A$1:$B$31,2,0)*base!M336,0)</f>
        <v/>
      </c>
      <c r="O336" s="38" t="n"/>
      <c r="P336" s="29" t="n"/>
      <c r="Q336" s="67">
        <f>IF(base!O336&lt;&gt;"",VLOOKUP(O336,de_para!$A$1:$B$31,2,0)*base!P336,0)</f>
        <v/>
      </c>
      <c r="R336" s="38" t="n"/>
      <c r="S336" s="29" t="n"/>
      <c r="T336" s="67">
        <f>IF(base!R336&lt;&gt;"",VLOOKUP(R336,de_para!$A$1:$B$31,2,0)*base!S336,0)</f>
        <v/>
      </c>
      <c r="U336" s="68">
        <f>H336+K336+N336+Q336+T336</f>
        <v/>
      </c>
    </row>
    <row r="337">
      <c r="A337" s="29" t="n"/>
      <c r="B337" s="29" t="n"/>
      <c r="C337" s="29" t="n"/>
      <c r="D337" s="29" t="n"/>
      <c r="E337" s="29" t="n"/>
      <c r="F337" s="29" t="n"/>
      <c r="G337" s="29" t="n"/>
      <c r="H337" s="67">
        <f>IF(base!F337&lt;&gt;"",VLOOKUP(F337,de_para!$A$1:$B$31,2,0)*base!G337,0)</f>
        <v/>
      </c>
      <c r="I337" s="38" t="n"/>
      <c r="J337" s="29" t="n"/>
      <c r="K337" s="67">
        <f>IF(base!I337&lt;&gt;"",VLOOKUP(I337,de_para!$A$1:$B$31,2,0)*base!J337,0)</f>
        <v/>
      </c>
      <c r="L337" s="38" t="n"/>
      <c r="M337" s="29" t="n"/>
      <c r="N337" s="67">
        <f>IF(base!L337&lt;&gt;"",VLOOKUP(L337,de_para!$A$1:$B$31,2,0)*base!M337,0)</f>
        <v/>
      </c>
      <c r="O337" s="38" t="n"/>
      <c r="P337" s="29" t="n"/>
      <c r="Q337" s="67">
        <f>IF(base!O337&lt;&gt;"",VLOOKUP(O337,de_para!$A$1:$B$31,2,0)*base!P337,0)</f>
        <v/>
      </c>
      <c r="R337" s="38" t="n"/>
      <c r="S337" s="29" t="n"/>
      <c r="T337" s="67">
        <f>IF(base!R337&lt;&gt;"",VLOOKUP(R337,de_para!$A$1:$B$31,2,0)*base!S337,0)</f>
        <v/>
      </c>
      <c r="U337" s="68">
        <f>H337+K337+N337+Q337+T337</f>
        <v/>
      </c>
    </row>
    <row r="338">
      <c r="A338" s="29" t="n"/>
      <c r="B338" s="29" t="n"/>
      <c r="C338" s="29" t="n"/>
      <c r="D338" s="29" t="n"/>
      <c r="E338" s="29" t="n"/>
      <c r="F338" s="29" t="n"/>
      <c r="G338" s="29" t="n"/>
      <c r="H338" s="67">
        <f>IF(base!F338&lt;&gt;"",VLOOKUP(F338,de_para!$A$1:$B$31,2,0)*base!G338,0)</f>
        <v/>
      </c>
      <c r="I338" s="38" t="n"/>
      <c r="J338" s="29" t="n"/>
      <c r="K338" s="67">
        <f>IF(base!I338&lt;&gt;"",VLOOKUP(I338,de_para!$A$1:$B$31,2,0)*base!J338,0)</f>
        <v/>
      </c>
      <c r="L338" s="38" t="n"/>
      <c r="M338" s="29" t="n"/>
      <c r="N338" s="67">
        <f>IF(base!L338&lt;&gt;"",VLOOKUP(L338,de_para!$A$1:$B$31,2,0)*base!M338,0)</f>
        <v/>
      </c>
      <c r="O338" s="38" t="n"/>
      <c r="P338" s="29" t="n"/>
      <c r="Q338" s="67">
        <f>IF(base!O338&lt;&gt;"",VLOOKUP(O338,de_para!$A$1:$B$31,2,0)*base!P338,0)</f>
        <v/>
      </c>
      <c r="R338" s="38" t="n"/>
      <c r="S338" s="29" t="n"/>
      <c r="T338" s="67">
        <f>IF(base!R338&lt;&gt;"",VLOOKUP(R338,de_para!$A$1:$B$31,2,0)*base!S338,0)</f>
        <v/>
      </c>
      <c r="U338" s="68">
        <f>H338+K338+N338+Q338+T338</f>
        <v/>
      </c>
    </row>
    <row r="339">
      <c r="A339" s="29" t="n"/>
      <c r="B339" s="29" t="n"/>
      <c r="C339" s="29" t="n"/>
      <c r="D339" s="29" t="n"/>
      <c r="E339" s="29" t="n"/>
      <c r="F339" s="29" t="n"/>
      <c r="G339" s="29" t="n"/>
      <c r="H339" s="67">
        <f>IF(base!F339&lt;&gt;"",VLOOKUP(F339,de_para!$A$1:$B$31,2,0)*base!G339,0)</f>
        <v/>
      </c>
      <c r="I339" s="38" t="n"/>
      <c r="J339" s="29" t="n"/>
      <c r="K339" s="67">
        <f>IF(base!I339&lt;&gt;"",VLOOKUP(I339,de_para!$A$1:$B$31,2,0)*base!J339,0)</f>
        <v/>
      </c>
      <c r="L339" s="38" t="n"/>
      <c r="M339" s="29" t="n"/>
      <c r="N339" s="67">
        <f>IF(base!L339&lt;&gt;"",VLOOKUP(L339,de_para!$A$1:$B$31,2,0)*base!M339,0)</f>
        <v/>
      </c>
      <c r="O339" s="38" t="n"/>
      <c r="P339" s="29" t="n"/>
      <c r="Q339" s="67">
        <f>IF(base!O339&lt;&gt;"",VLOOKUP(O339,de_para!$A$1:$B$31,2,0)*base!P339,0)</f>
        <v/>
      </c>
      <c r="R339" s="38" t="n"/>
      <c r="S339" s="29" t="n"/>
      <c r="T339" s="67">
        <f>IF(base!R339&lt;&gt;"",VLOOKUP(R339,de_para!$A$1:$B$31,2,0)*base!S339,0)</f>
        <v/>
      </c>
      <c r="U339" s="68">
        <f>H339+K339+N339+Q339+T339</f>
        <v/>
      </c>
    </row>
    <row r="340">
      <c r="A340" s="29" t="n"/>
      <c r="B340" s="29" t="n"/>
      <c r="C340" s="29" t="n"/>
      <c r="D340" s="29" t="n"/>
      <c r="E340" s="29" t="n"/>
      <c r="F340" s="29" t="n"/>
      <c r="G340" s="29" t="n"/>
      <c r="H340" s="67">
        <f>IF(base!F340&lt;&gt;"",VLOOKUP(F340,de_para!$A$1:$B$31,2,0)*base!G340,0)</f>
        <v/>
      </c>
      <c r="I340" s="38" t="n"/>
      <c r="J340" s="29" t="n"/>
      <c r="K340" s="67">
        <f>IF(base!I340&lt;&gt;"",VLOOKUP(I340,de_para!$A$1:$B$31,2,0)*base!J340,0)</f>
        <v/>
      </c>
      <c r="L340" s="38" t="n"/>
      <c r="M340" s="29" t="n"/>
      <c r="N340" s="67">
        <f>IF(base!L340&lt;&gt;"",VLOOKUP(L340,de_para!$A$1:$B$31,2,0)*base!M340,0)</f>
        <v/>
      </c>
      <c r="O340" s="38" t="n"/>
      <c r="P340" s="29" t="n"/>
      <c r="Q340" s="67">
        <f>IF(base!O340&lt;&gt;"",VLOOKUP(O340,de_para!$A$1:$B$31,2,0)*base!P340,0)</f>
        <v/>
      </c>
      <c r="R340" s="38" t="n"/>
      <c r="S340" s="29" t="n"/>
      <c r="T340" s="67">
        <f>IF(base!R340&lt;&gt;"",VLOOKUP(R340,de_para!$A$1:$B$31,2,0)*base!S340,0)</f>
        <v/>
      </c>
      <c r="U340" s="68">
        <f>H340+K340+N340+Q340+T340</f>
        <v/>
      </c>
    </row>
    <row r="341">
      <c r="A341" s="29" t="n"/>
      <c r="B341" s="29" t="n"/>
      <c r="C341" s="29" t="n"/>
      <c r="D341" s="29" t="n"/>
      <c r="E341" s="29" t="n"/>
      <c r="F341" s="29" t="n"/>
      <c r="G341" s="29" t="n"/>
      <c r="H341" s="67">
        <f>IF(base!F341&lt;&gt;"",VLOOKUP(F341,de_para!$A$1:$B$31,2,0)*base!G341,0)</f>
        <v/>
      </c>
      <c r="I341" s="38" t="n"/>
      <c r="J341" s="29" t="n"/>
      <c r="K341" s="67">
        <f>IF(base!I341&lt;&gt;"",VLOOKUP(I341,de_para!$A$1:$B$31,2,0)*base!J341,0)</f>
        <v/>
      </c>
      <c r="L341" s="38" t="n"/>
      <c r="M341" s="29" t="n"/>
      <c r="N341" s="67">
        <f>IF(base!L341&lt;&gt;"",VLOOKUP(L341,de_para!$A$1:$B$31,2,0)*base!M341,0)</f>
        <v/>
      </c>
      <c r="O341" s="38" t="n"/>
      <c r="P341" s="29" t="n"/>
      <c r="Q341" s="67">
        <f>IF(base!O341&lt;&gt;"",VLOOKUP(O341,de_para!$A$1:$B$31,2,0)*base!P341,0)</f>
        <v/>
      </c>
      <c r="R341" s="38" t="n"/>
      <c r="S341" s="29" t="n"/>
      <c r="T341" s="67">
        <f>IF(base!R341&lt;&gt;"",VLOOKUP(R341,de_para!$A$1:$B$31,2,0)*base!S341,0)</f>
        <v/>
      </c>
      <c r="U341" s="68">
        <f>H341+K341+N341+Q341+T341</f>
        <v/>
      </c>
    </row>
    <row r="342">
      <c r="A342" s="29" t="n"/>
      <c r="B342" s="29" t="n"/>
      <c r="C342" s="29" t="n"/>
      <c r="D342" s="29" t="n"/>
      <c r="E342" s="29" t="n"/>
      <c r="F342" s="29" t="n"/>
      <c r="G342" s="29" t="n"/>
      <c r="H342" s="67">
        <f>IF(base!F342&lt;&gt;"",VLOOKUP(F342,de_para!$A$1:$B$31,2,0)*base!G342,0)</f>
        <v/>
      </c>
      <c r="I342" s="38" t="n"/>
      <c r="J342" s="29" t="n"/>
      <c r="K342" s="67">
        <f>IF(base!I342&lt;&gt;"",VLOOKUP(I342,de_para!$A$1:$B$31,2,0)*base!J342,0)</f>
        <v/>
      </c>
      <c r="L342" s="38" t="n"/>
      <c r="M342" s="29" t="n"/>
      <c r="N342" s="67">
        <f>IF(base!L342&lt;&gt;"",VLOOKUP(L342,de_para!$A$1:$B$31,2,0)*base!M342,0)</f>
        <v/>
      </c>
      <c r="O342" s="38" t="n"/>
      <c r="P342" s="29" t="n"/>
      <c r="Q342" s="67">
        <f>IF(base!O342&lt;&gt;"",VLOOKUP(O342,de_para!$A$1:$B$31,2,0)*base!P342,0)</f>
        <v/>
      </c>
      <c r="R342" s="38" t="n"/>
      <c r="S342" s="29" t="n"/>
      <c r="T342" s="67">
        <f>IF(base!R342&lt;&gt;"",VLOOKUP(R342,de_para!$A$1:$B$31,2,0)*base!S342,0)</f>
        <v/>
      </c>
      <c r="U342" s="68">
        <f>H342+K342+N342+Q342+T342</f>
        <v/>
      </c>
    </row>
    <row r="343">
      <c r="A343" s="29" t="n"/>
      <c r="B343" s="29" t="n"/>
      <c r="C343" s="29" t="n"/>
      <c r="D343" s="29" t="n"/>
      <c r="E343" s="29" t="n"/>
      <c r="F343" s="29" t="n"/>
      <c r="G343" s="29" t="n"/>
      <c r="H343" s="67">
        <f>IF(base!F343&lt;&gt;"",VLOOKUP(F343,de_para!$A$1:$B$31,2,0)*base!G343,0)</f>
        <v/>
      </c>
      <c r="I343" s="38" t="n"/>
      <c r="J343" s="29" t="n"/>
      <c r="K343" s="67">
        <f>IF(base!I343&lt;&gt;"",VLOOKUP(I343,de_para!$A$1:$B$31,2,0)*base!J343,0)</f>
        <v/>
      </c>
      <c r="L343" s="38" t="n"/>
      <c r="M343" s="29" t="n"/>
      <c r="N343" s="67">
        <f>IF(base!L343&lt;&gt;"",VLOOKUP(L343,de_para!$A$1:$B$31,2,0)*base!M343,0)</f>
        <v/>
      </c>
      <c r="O343" s="38" t="n"/>
      <c r="P343" s="29" t="n"/>
      <c r="Q343" s="67">
        <f>IF(base!O343&lt;&gt;"",VLOOKUP(O343,de_para!$A$1:$B$31,2,0)*base!P343,0)</f>
        <v/>
      </c>
      <c r="R343" s="38" t="n"/>
      <c r="S343" s="29" t="n"/>
      <c r="T343" s="67">
        <f>IF(base!R343&lt;&gt;"",VLOOKUP(R343,de_para!$A$1:$B$31,2,0)*base!S343,0)</f>
        <v/>
      </c>
      <c r="U343" s="68">
        <f>H343+K343+N343+Q343+T343</f>
        <v/>
      </c>
    </row>
    <row r="344">
      <c r="A344" s="29" t="n"/>
      <c r="B344" s="29" t="n"/>
      <c r="C344" s="29" t="n"/>
      <c r="D344" s="29" t="n"/>
      <c r="E344" s="29" t="n"/>
      <c r="F344" s="29" t="n"/>
      <c r="G344" s="29" t="n"/>
      <c r="H344" s="67">
        <f>IF(base!F344&lt;&gt;"",VLOOKUP(F344,de_para!$A$1:$B$31,2,0)*base!G344,0)</f>
        <v/>
      </c>
      <c r="I344" s="38" t="n"/>
      <c r="J344" s="29" t="n"/>
      <c r="K344" s="67">
        <f>IF(base!I344&lt;&gt;"",VLOOKUP(I344,de_para!$A$1:$B$31,2,0)*base!J344,0)</f>
        <v/>
      </c>
      <c r="L344" s="38" t="n"/>
      <c r="M344" s="29" t="n"/>
      <c r="N344" s="67">
        <f>IF(base!L344&lt;&gt;"",VLOOKUP(L344,de_para!$A$1:$B$31,2,0)*base!M344,0)</f>
        <v/>
      </c>
      <c r="O344" s="38" t="n"/>
      <c r="P344" s="29" t="n"/>
      <c r="Q344" s="67">
        <f>IF(base!O344&lt;&gt;"",VLOOKUP(O344,de_para!$A$1:$B$31,2,0)*base!P344,0)</f>
        <v/>
      </c>
      <c r="R344" s="38" t="n"/>
      <c r="S344" s="29" t="n"/>
      <c r="T344" s="67">
        <f>IF(base!R344&lt;&gt;"",VLOOKUP(R344,de_para!$A$1:$B$31,2,0)*base!S344,0)</f>
        <v/>
      </c>
      <c r="U344" s="68">
        <f>H344+K344+N344+Q344+T344</f>
        <v/>
      </c>
    </row>
    <row r="345">
      <c r="A345" s="29" t="n"/>
      <c r="B345" s="29" t="n"/>
      <c r="C345" s="29" t="n"/>
      <c r="D345" s="29" t="n"/>
      <c r="E345" s="29" t="n"/>
      <c r="F345" s="29" t="n"/>
      <c r="G345" s="29" t="n"/>
      <c r="H345" s="67">
        <f>IF(base!F345&lt;&gt;"",VLOOKUP(F345,de_para!$A$1:$B$31,2,0)*base!G345,0)</f>
        <v/>
      </c>
      <c r="I345" s="38" t="n"/>
      <c r="J345" s="29" t="n"/>
      <c r="K345" s="67">
        <f>IF(base!I345&lt;&gt;"",VLOOKUP(I345,de_para!$A$1:$B$31,2,0)*base!J345,0)</f>
        <v/>
      </c>
      <c r="L345" s="38" t="n"/>
      <c r="M345" s="29" t="n"/>
      <c r="N345" s="67">
        <f>IF(base!L345&lt;&gt;"",VLOOKUP(L345,de_para!$A$1:$B$31,2,0)*base!M345,0)</f>
        <v/>
      </c>
      <c r="O345" s="38" t="n"/>
      <c r="P345" s="29" t="n"/>
      <c r="Q345" s="67">
        <f>IF(base!O345&lt;&gt;"",VLOOKUP(O345,de_para!$A$1:$B$31,2,0)*base!P345,0)</f>
        <v/>
      </c>
      <c r="R345" s="38" t="n"/>
      <c r="S345" s="29" t="n"/>
      <c r="T345" s="67">
        <f>IF(base!R345&lt;&gt;"",VLOOKUP(R345,de_para!$A$1:$B$31,2,0)*base!S345,0)</f>
        <v/>
      </c>
      <c r="U345" s="68">
        <f>H345+K345+N345+Q345+T345</f>
        <v/>
      </c>
    </row>
    <row r="346">
      <c r="A346" s="29" t="n"/>
      <c r="B346" s="29" t="n"/>
      <c r="C346" s="29" t="n"/>
      <c r="D346" s="29" t="n"/>
      <c r="E346" s="29" t="n"/>
      <c r="F346" s="29" t="n"/>
      <c r="G346" s="29" t="n"/>
      <c r="H346" s="67">
        <f>IF(base!F346&lt;&gt;"",VLOOKUP(F346,de_para!$A$1:$B$31,2,0)*base!G346,0)</f>
        <v/>
      </c>
      <c r="I346" s="38" t="n"/>
      <c r="J346" s="29" t="n"/>
      <c r="K346" s="67">
        <f>IF(base!I346&lt;&gt;"",VLOOKUP(I346,de_para!$A$1:$B$31,2,0)*base!J346,0)</f>
        <v/>
      </c>
      <c r="L346" s="38" t="n"/>
      <c r="M346" s="29" t="n"/>
      <c r="N346" s="67">
        <f>IF(base!L346&lt;&gt;"",VLOOKUP(L346,de_para!$A$1:$B$31,2,0)*base!M346,0)</f>
        <v/>
      </c>
      <c r="O346" s="38" t="n"/>
      <c r="P346" s="29" t="n"/>
      <c r="Q346" s="67">
        <f>IF(base!O346&lt;&gt;"",VLOOKUP(O346,de_para!$A$1:$B$31,2,0)*base!P346,0)</f>
        <v/>
      </c>
      <c r="R346" s="38" t="n"/>
      <c r="S346" s="29" t="n"/>
      <c r="T346" s="67">
        <f>IF(base!R346&lt;&gt;"",VLOOKUP(R346,de_para!$A$1:$B$31,2,0)*base!S346,0)</f>
        <v/>
      </c>
      <c r="U346" s="68">
        <f>H346+K346+N346+Q346+T346</f>
        <v/>
      </c>
    </row>
    <row r="347">
      <c r="A347" s="29" t="n"/>
      <c r="B347" s="29" t="n"/>
      <c r="C347" s="29" t="n"/>
      <c r="D347" s="29" t="n"/>
      <c r="E347" s="29" t="n"/>
      <c r="F347" s="29" t="n"/>
      <c r="G347" s="29" t="n"/>
      <c r="H347" s="67">
        <f>IF(base!F347&lt;&gt;"",VLOOKUP(F347,de_para!$A$1:$B$31,2,0)*base!G347,0)</f>
        <v/>
      </c>
      <c r="I347" s="38" t="n"/>
      <c r="J347" s="29" t="n"/>
      <c r="K347" s="67">
        <f>IF(base!I347&lt;&gt;"",VLOOKUP(I347,de_para!$A$1:$B$31,2,0)*base!J347,0)</f>
        <v/>
      </c>
      <c r="L347" s="38" t="n"/>
      <c r="M347" s="29" t="n"/>
      <c r="N347" s="67">
        <f>IF(base!L347&lt;&gt;"",VLOOKUP(L347,de_para!$A$1:$B$31,2,0)*base!M347,0)</f>
        <v/>
      </c>
      <c r="O347" s="38" t="n"/>
      <c r="P347" s="29" t="n"/>
      <c r="Q347" s="67">
        <f>IF(base!O347&lt;&gt;"",VLOOKUP(O347,de_para!$A$1:$B$31,2,0)*base!P347,0)</f>
        <v/>
      </c>
      <c r="R347" s="38" t="n"/>
      <c r="S347" s="29" t="n"/>
      <c r="T347" s="67">
        <f>IF(base!R347&lt;&gt;"",VLOOKUP(R347,de_para!$A$1:$B$31,2,0)*base!S347,0)</f>
        <v/>
      </c>
      <c r="U347" s="68">
        <f>H347+K347+N347+Q347+T347</f>
        <v/>
      </c>
    </row>
    <row r="348">
      <c r="A348" s="29" t="n"/>
      <c r="B348" s="29" t="n"/>
      <c r="C348" s="29" t="n"/>
      <c r="D348" s="29" t="n"/>
      <c r="E348" s="29" t="n"/>
      <c r="F348" s="29" t="n"/>
      <c r="G348" s="29" t="n"/>
      <c r="H348" s="67">
        <f>IF(base!F348&lt;&gt;"",VLOOKUP(F348,de_para!$A$1:$B$31,2,0)*base!G348,0)</f>
        <v/>
      </c>
      <c r="I348" s="38" t="n"/>
      <c r="J348" s="29" t="n"/>
      <c r="K348" s="67">
        <f>IF(base!I348&lt;&gt;"",VLOOKUP(I348,de_para!$A$1:$B$31,2,0)*base!J348,0)</f>
        <v/>
      </c>
      <c r="L348" s="38" t="n"/>
      <c r="M348" s="29" t="n"/>
      <c r="N348" s="67">
        <f>IF(base!L348&lt;&gt;"",VLOOKUP(L348,de_para!$A$1:$B$31,2,0)*base!M348,0)</f>
        <v/>
      </c>
      <c r="O348" s="38" t="n"/>
      <c r="P348" s="29" t="n"/>
      <c r="Q348" s="67">
        <f>IF(base!O348&lt;&gt;"",VLOOKUP(O348,de_para!$A$1:$B$31,2,0)*base!P348,0)</f>
        <v/>
      </c>
      <c r="R348" s="38" t="n"/>
      <c r="S348" s="29" t="n"/>
      <c r="T348" s="67">
        <f>IF(base!R348&lt;&gt;"",VLOOKUP(R348,de_para!$A$1:$B$31,2,0)*base!S348,0)</f>
        <v/>
      </c>
      <c r="U348" s="68">
        <f>H348+K348+N348+Q348+T348</f>
        <v/>
      </c>
    </row>
    <row r="349">
      <c r="A349" s="29" t="n"/>
      <c r="B349" s="29" t="n"/>
      <c r="C349" s="29" t="n"/>
      <c r="D349" s="29" t="n"/>
      <c r="E349" s="29" t="n"/>
      <c r="F349" s="29" t="n"/>
      <c r="G349" s="29" t="n"/>
      <c r="H349" s="67">
        <f>IF(base!F349&lt;&gt;"",VLOOKUP(F349,de_para!$A$1:$B$31,2,0)*base!G349,0)</f>
        <v/>
      </c>
      <c r="I349" s="38" t="n"/>
      <c r="J349" s="29" t="n"/>
      <c r="K349" s="67">
        <f>IF(base!I349&lt;&gt;"",VLOOKUP(I349,de_para!$A$1:$B$31,2,0)*base!J349,0)</f>
        <v/>
      </c>
      <c r="L349" s="38" t="n"/>
      <c r="M349" s="29" t="n"/>
      <c r="N349" s="67">
        <f>IF(base!L349&lt;&gt;"",VLOOKUP(L349,de_para!$A$1:$B$31,2,0)*base!M349,0)</f>
        <v/>
      </c>
      <c r="O349" s="38" t="n"/>
      <c r="P349" s="29" t="n"/>
      <c r="Q349" s="67">
        <f>IF(base!O349&lt;&gt;"",VLOOKUP(O349,de_para!$A$1:$B$31,2,0)*base!P349,0)</f>
        <v/>
      </c>
      <c r="R349" s="38" t="n"/>
      <c r="S349" s="29" t="n"/>
      <c r="T349" s="67">
        <f>IF(base!R349&lt;&gt;"",VLOOKUP(R349,de_para!$A$1:$B$31,2,0)*base!S349,0)</f>
        <v/>
      </c>
      <c r="U349" s="68">
        <f>H349+K349+N349+Q349+T349</f>
        <v/>
      </c>
    </row>
    <row r="350">
      <c r="A350" s="29" t="n"/>
      <c r="B350" s="29" t="n"/>
      <c r="C350" s="29" t="n"/>
      <c r="D350" s="29" t="n"/>
      <c r="E350" s="29" t="n"/>
      <c r="F350" s="29" t="n"/>
      <c r="G350" s="29" t="n"/>
      <c r="H350" s="67">
        <f>IF(base!F350&lt;&gt;"",VLOOKUP(F350,de_para!$A$1:$B$31,2,0)*base!G350,0)</f>
        <v/>
      </c>
      <c r="I350" s="38" t="n"/>
      <c r="J350" s="29" t="n"/>
      <c r="K350" s="67">
        <f>IF(base!I350&lt;&gt;"",VLOOKUP(I350,de_para!$A$1:$B$31,2,0)*base!J350,0)</f>
        <v/>
      </c>
      <c r="L350" s="38" t="n"/>
      <c r="M350" s="29" t="n"/>
      <c r="N350" s="67">
        <f>IF(base!L350&lt;&gt;"",VLOOKUP(L350,de_para!$A$1:$B$31,2,0)*base!M350,0)</f>
        <v/>
      </c>
      <c r="O350" s="38" t="n"/>
      <c r="P350" s="29" t="n"/>
      <c r="Q350" s="67">
        <f>IF(base!O350&lt;&gt;"",VLOOKUP(O350,de_para!$A$1:$B$31,2,0)*base!P350,0)</f>
        <v/>
      </c>
      <c r="R350" s="38" t="n"/>
      <c r="S350" s="29" t="n"/>
      <c r="T350" s="67">
        <f>IF(base!R350&lt;&gt;"",VLOOKUP(R350,de_para!$A$1:$B$31,2,0)*base!S350,0)</f>
        <v/>
      </c>
      <c r="U350" s="68">
        <f>H350+K350+N350+Q350+T350</f>
        <v/>
      </c>
    </row>
    <row r="351">
      <c r="A351" s="29" t="n"/>
      <c r="B351" s="29" t="n"/>
      <c r="C351" s="29" t="n"/>
      <c r="D351" s="29" t="n"/>
      <c r="E351" s="29" t="n"/>
      <c r="F351" s="29" t="n"/>
      <c r="G351" s="29" t="n"/>
      <c r="H351" s="67">
        <f>IF(base!F351&lt;&gt;"",VLOOKUP(F351,de_para!$A$1:$B$31,2,0)*base!G351,0)</f>
        <v/>
      </c>
      <c r="I351" s="38" t="n"/>
      <c r="J351" s="29" t="n"/>
      <c r="K351" s="67">
        <f>IF(base!I351&lt;&gt;"",VLOOKUP(I351,de_para!$A$1:$B$31,2,0)*base!J351,0)</f>
        <v/>
      </c>
      <c r="L351" s="38" t="n"/>
      <c r="M351" s="29" t="n"/>
      <c r="N351" s="67">
        <f>IF(base!L351&lt;&gt;"",VLOOKUP(L351,de_para!$A$1:$B$31,2,0)*base!M351,0)</f>
        <v/>
      </c>
      <c r="O351" s="38" t="n"/>
      <c r="P351" s="29" t="n"/>
      <c r="Q351" s="67">
        <f>IF(base!O351&lt;&gt;"",VLOOKUP(O351,de_para!$A$1:$B$31,2,0)*base!P351,0)</f>
        <v/>
      </c>
      <c r="R351" s="38" t="n"/>
      <c r="S351" s="29" t="n"/>
      <c r="T351" s="67">
        <f>IF(base!R351&lt;&gt;"",VLOOKUP(R351,de_para!$A$1:$B$31,2,0)*base!S351,0)</f>
        <v/>
      </c>
      <c r="U351" s="68">
        <f>H351+K351+N351+Q351+T351</f>
        <v/>
      </c>
    </row>
    <row r="352">
      <c r="A352" s="29" t="n"/>
      <c r="B352" s="29" t="n"/>
      <c r="C352" s="29" t="n"/>
      <c r="D352" s="29" t="n"/>
      <c r="E352" s="29" t="n"/>
      <c r="F352" s="29" t="n"/>
      <c r="G352" s="29" t="n"/>
      <c r="H352" s="67">
        <f>IF(base!F352&lt;&gt;"",VLOOKUP(F352,de_para!$A$1:$B$31,2,0)*base!G352,0)</f>
        <v/>
      </c>
      <c r="I352" s="38" t="n"/>
      <c r="J352" s="29" t="n"/>
      <c r="K352" s="67">
        <f>IF(base!I352&lt;&gt;"",VLOOKUP(I352,de_para!$A$1:$B$31,2,0)*base!J352,0)</f>
        <v/>
      </c>
      <c r="L352" s="38" t="n"/>
      <c r="M352" s="29" t="n"/>
      <c r="N352" s="67">
        <f>IF(base!L352&lt;&gt;"",VLOOKUP(L352,de_para!$A$1:$B$31,2,0)*base!M352,0)</f>
        <v/>
      </c>
      <c r="O352" s="38" t="n"/>
      <c r="P352" s="29" t="n"/>
      <c r="Q352" s="67">
        <f>IF(base!O352&lt;&gt;"",VLOOKUP(O352,de_para!$A$1:$B$31,2,0)*base!P352,0)</f>
        <v/>
      </c>
      <c r="R352" s="38" t="n"/>
      <c r="S352" s="29" t="n"/>
      <c r="T352" s="67">
        <f>IF(base!R352&lt;&gt;"",VLOOKUP(R352,de_para!$A$1:$B$31,2,0)*base!S352,0)</f>
        <v/>
      </c>
      <c r="U352" s="68">
        <f>H352+K352+N352+Q352+T352</f>
        <v/>
      </c>
    </row>
    <row r="353">
      <c r="A353" s="29" t="n"/>
      <c r="B353" s="29" t="n"/>
      <c r="C353" s="29" t="n"/>
      <c r="D353" s="29" t="n"/>
      <c r="E353" s="29" t="n"/>
      <c r="F353" s="29" t="n"/>
      <c r="G353" s="29" t="n"/>
      <c r="H353" s="67">
        <f>IF(base!F353&lt;&gt;"",VLOOKUP(F353,de_para!$A$1:$B$31,2,0)*base!G353,0)</f>
        <v/>
      </c>
      <c r="I353" s="38" t="n"/>
      <c r="J353" s="29" t="n"/>
      <c r="K353" s="67">
        <f>IF(base!I353&lt;&gt;"",VLOOKUP(I353,de_para!$A$1:$B$31,2,0)*base!J353,0)</f>
        <v/>
      </c>
      <c r="L353" s="38" t="n"/>
      <c r="M353" s="29" t="n"/>
      <c r="N353" s="67">
        <f>IF(base!L353&lt;&gt;"",VLOOKUP(L353,de_para!$A$1:$B$31,2,0)*base!M353,0)</f>
        <v/>
      </c>
      <c r="O353" s="38" t="n"/>
      <c r="P353" s="29" t="n"/>
      <c r="Q353" s="67">
        <f>IF(base!O353&lt;&gt;"",VLOOKUP(O353,de_para!$A$1:$B$31,2,0)*base!P353,0)</f>
        <v/>
      </c>
      <c r="R353" s="38" t="n"/>
      <c r="S353" s="29" t="n"/>
      <c r="T353" s="67">
        <f>IF(base!R353&lt;&gt;"",VLOOKUP(R353,de_para!$A$1:$B$31,2,0)*base!S353,0)</f>
        <v/>
      </c>
      <c r="U353" s="68">
        <f>H353+K353+N353+Q353+T353</f>
        <v/>
      </c>
    </row>
    <row r="354">
      <c r="A354" s="29" t="n"/>
      <c r="B354" s="29" t="n"/>
      <c r="C354" s="29" t="n"/>
      <c r="D354" s="29" t="n"/>
      <c r="E354" s="29" t="n"/>
      <c r="F354" s="29" t="n"/>
      <c r="G354" s="29" t="n"/>
      <c r="H354" s="67">
        <f>IF(base!F354&lt;&gt;"",VLOOKUP(F354,de_para!$A$1:$B$31,2,0)*base!G354,0)</f>
        <v/>
      </c>
      <c r="I354" s="38" t="n"/>
      <c r="J354" s="29" t="n"/>
      <c r="K354" s="67">
        <f>IF(base!I354&lt;&gt;"",VLOOKUP(I354,de_para!$A$1:$B$31,2,0)*base!J354,0)</f>
        <v/>
      </c>
      <c r="L354" s="38" t="n"/>
      <c r="M354" s="29" t="n"/>
      <c r="N354" s="67">
        <f>IF(base!L354&lt;&gt;"",VLOOKUP(L354,de_para!$A$1:$B$31,2,0)*base!M354,0)</f>
        <v/>
      </c>
      <c r="O354" s="38" t="n"/>
      <c r="P354" s="29" t="n"/>
      <c r="Q354" s="67">
        <f>IF(base!O354&lt;&gt;"",VLOOKUP(O354,de_para!$A$1:$B$31,2,0)*base!P354,0)</f>
        <v/>
      </c>
      <c r="R354" s="38" t="n"/>
      <c r="S354" s="29" t="n"/>
      <c r="T354" s="67">
        <f>IF(base!R354&lt;&gt;"",VLOOKUP(R354,de_para!$A$1:$B$31,2,0)*base!S354,0)</f>
        <v/>
      </c>
      <c r="U354" s="68">
        <f>H354+K354+N354+Q354+T354</f>
        <v/>
      </c>
    </row>
    <row r="355">
      <c r="A355" s="29" t="n"/>
      <c r="B355" s="29" t="n"/>
      <c r="C355" s="29" t="n"/>
      <c r="D355" s="29" t="n"/>
      <c r="E355" s="29" t="n"/>
      <c r="F355" s="29" t="n"/>
      <c r="G355" s="29" t="n"/>
      <c r="H355" s="67">
        <f>IF(base!F355&lt;&gt;"",VLOOKUP(F355,de_para!$A$1:$B$31,2,0)*base!G355,0)</f>
        <v/>
      </c>
      <c r="I355" s="38" t="n"/>
      <c r="J355" s="29" t="n"/>
      <c r="K355" s="67">
        <f>IF(base!I355&lt;&gt;"",VLOOKUP(I355,de_para!$A$1:$B$31,2,0)*base!J355,0)</f>
        <v/>
      </c>
      <c r="L355" s="38" t="n"/>
      <c r="M355" s="29" t="n"/>
      <c r="N355" s="67">
        <f>IF(base!L355&lt;&gt;"",VLOOKUP(L355,de_para!$A$1:$B$31,2,0)*base!M355,0)</f>
        <v/>
      </c>
      <c r="O355" s="38" t="n"/>
      <c r="P355" s="29" t="n"/>
      <c r="Q355" s="67">
        <f>IF(base!O355&lt;&gt;"",VLOOKUP(O355,de_para!$A$1:$B$31,2,0)*base!P355,0)</f>
        <v/>
      </c>
      <c r="R355" s="38" t="n"/>
      <c r="S355" s="29" t="n"/>
      <c r="T355" s="67">
        <f>IF(base!R355&lt;&gt;"",VLOOKUP(R355,de_para!$A$1:$B$31,2,0)*base!S355,0)</f>
        <v/>
      </c>
      <c r="U355" s="68">
        <f>H355+K355+N355+Q355+T355</f>
        <v/>
      </c>
    </row>
    <row r="356">
      <c r="A356" s="29" t="n"/>
      <c r="B356" s="29" t="n"/>
      <c r="C356" s="29" t="n"/>
      <c r="D356" s="29" t="n"/>
      <c r="E356" s="29" t="n"/>
      <c r="F356" s="29" t="n"/>
      <c r="G356" s="29" t="n"/>
      <c r="H356" s="67">
        <f>IF(base!F356&lt;&gt;"",VLOOKUP(F356,de_para!$A$1:$B$31,2,0)*base!G356,0)</f>
        <v/>
      </c>
      <c r="I356" s="38" t="n"/>
      <c r="J356" s="29" t="n"/>
      <c r="K356" s="67">
        <f>IF(base!I356&lt;&gt;"",VLOOKUP(I356,de_para!$A$1:$B$31,2,0)*base!J356,0)</f>
        <v/>
      </c>
      <c r="L356" s="38" t="n"/>
      <c r="M356" s="29" t="n"/>
      <c r="N356" s="67">
        <f>IF(base!L356&lt;&gt;"",VLOOKUP(L356,de_para!$A$1:$B$31,2,0)*base!M356,0)</f>
        <v/>
      </c>
      <c r="O356" s="38" t="n"/>
      <c r="P356" s="29" t="n"/>
      <c r="Q356" s="67">
        <f>IF(base!O356&lt;&gt;"",VLOOKUP(O356,de_para!$A$1:$B$31,2,0)*base!P356,0)</f>
        <v/>
      </c>
      <c r="R356" s="38" t="n"/>
      <c r="S356" s="29" t="n"/>
      <c r="T356" s="67">
        <f>IF(base!R356&lt;&gt;"",VLOOKUP(R356,de_para!$A$1:$B$31,2,0)*base!S356,0)</f>
        <v/>
      </c>
      <c r="U356" s="68">
        <f>H356+K356+N356+Q356+T356</f>
        <v/>
      </c>
    </row>
    <row r="357">
      <c r="A357" s="29" t="n"/>
      <c r="B357" s="29" t="n"/>
      <c r="C357" s="29" t="n"/>
      <c r="D357" s="29" t="n"/>
      <c r="E357" s="29" t="n"/>
      <c r="F357" s="29" t="n"/>
      <c r="G357" s="29" t="n"/>
      <c r="H357" s="67">
        <f>IF(base!F357&lt;&gt;"",VLOOKUP(F357,de_para!$A$1:$B$31,2,0)*base!G357,0)</f>
        <v/>
      </c>
      <c r="I357" s="38" t="n"/>
      <c r="J357" s="29" t="n"/>
      <c r="K357" s="67">
        <f>IF(base!I357&lt;&gt;"",VLOOKUP(I357,de_para!$A$1:$B$31,2,0)*base!J357,0)</f>
        <v/>
      </c>
      <c r="L357" s="38" t="n"/>
      <c r="M357" s="29" t="n"/>
      <c r="N357" s="67">
        <f>IF(base!L357&lt;&gt;"",VLOOKUP(L357,de_para!$A$1:$B$31,2,0)*base!M357,0)</f>
        <v/>
      </c>
      <c r="O357" s="38" t="n"/>
      <c r="P357" s="29" t="n"/>
      <c r="Q357" s="67">
        <f>IF(base!O357&lt;&gt;"",VLOOKUP(O357,de_para!$A$1:$B$31,2,0)*base!P357,0)</f>
        <v/>
      </c>
      <c r="R357" s="38" t="n"/>
      <c r="S357" s="29" t="n"/>
      <c r="T357" s="67">
        <f>IF(base!R357&lt;&gt;"",VLOOKUP(R357,de_para!$A$1:$B$31,2,0)*base!S357,0)</f>
        <v/>
      </c>
      <c r="U357" s="68">
        <f>H357+K357+N357+Q357+T357</f>
        <v/>
      </c>
    </row>
    <row r="358">
      <c r="A358" s="29" t="n"/>
      <c r="B358" s="29" t="n"/>
      <c r="C358" s="29" t="n"/>
      <c r="D358" s="29" t="n"/>
      <c r="E358" s="29" t="n"/>
      <c r="F358" s="29" t="n"/>
      <c r="G358" s="29" t="n"/>
      <c r="H358" s="67">
        <f>IF(base!F358&lt;&gt;"",VLOOKUP(F358,de_para!$A$1:$B$31,2,0)*base!G358,0)</f>
        <v/>
      </c>
      <c r="I358" s="38" t="n"/>
      <c r="J358" s="29" t="n"/>
      <c r="K358" s="67">
        <f>IF(base!I358&lt;&gt;"",VLOOKUP(I358,de_para!$A$1:$B$31,2,0)*base!J358,0)</f>
        <v/>
      </c>
      <c r="L358" s="38" t="n"/>
      <c r="M358" s="29" t="n"/>
      <c r="N358" s="67">
        <f>IF(base!L358&lt;&gt;"",VLOOKUP(L358,de_para!$A$1:$B$31,2,0)*base!M358,0)</f>
        <v/>
      </c>
      <c r="O358" s="38" t="n"/>
      <c r="P358" s="29" t="n"/>
      <c r="Q358" s="67">
        <f>IF(base!O358&lt;&gt;"",VLOOKUP(O358,de_para!$A$1:$B$31,2,0)*base!P358,0)</f>
        <v/>
      </c>
      <c r="R358" s="38" t="n"/>
      <c r="S358" s="29" t="n"/>
      <c r="T358" s="67">
        <f>IF(base!R358&lt;&gt;"",VLOOKUP(R358,de_para!$A$1:$B$31,2,0)*base!S358,0)</f>
        <v/>
      </c>
      <c r="U358" s="68">
        <f>H358+K358+N358+Q358+T358</f>
        <v/>
      </c>
    </row>
    <row r="359">
      <c r="A359" s="29" t="n"/>
      <c r="B359" s="29" t="n"/>
      <c r="C359" s="29" t="n"/>
      <c r="D359" s="29" t="n"/>
      <c r="E359" s="29" t="n"/>
      <c r="F359" s="29" t="n"/>
      <c r="G359" s="29" t="n"/>
      <c r="H359" s="67">
        <f>IF(base!F359&lt;&gt;"",VLOOKUP(F359,de_para!$A$1:$B$31,2,0)*base!G359,0)</f>
        <v/>
      </c>
      <c r="I359" s="38" t="n"/>
      <c r="J359" s="29" t="n"/>
      <c r="K359" s="67">
        <f>IF(base!I359&lt;&gt;"",VLOOKUP(I359,de_para!$A$1:$B$31,2,0)*base!J359,0)</f>
        <v/>
      </c>
      <c r="L359" s="38" t="n"/>
      <c r="M359" s="29" t="n"/>
      <c r="N359" s="67">
        <f>IF(base!L359&lt;&gt;"",VLOOKUP(L359,de_para!$A$1:$B$31,2,0)*base!M359,0)</f>
        <v/>
      </c>
      <c r="O359" s="38" t="n"/>
      <c r="P359" s="29" t="n"/>
      <c r="Q359" s="67">
        <f>IF(base!O359&lt;&gt;"",VLOOKUP(O359,de_para!$A$1:$B$31,2,0)*base!P359,0)</f>
        <v/>
      </c>
      <c r="R359" s="38" t="n"/>
      <c r="S359" s="29" t="n"/>
      <c r="T359" s="67">
        <f>IF(base!R359&lt;&gt;"",VLOOKUP(R359,de_para!$A$1:$B$31,2,0)*base!S359,0)</f>
        <v/>
      </c>
      <c r="U359" s="68">
        <f>H359+K359+N359+Q359+T359</f>
        <v/>
      </c>
    </row>
    <row r="360">
      <c r="A360" s="29" t="n"/>
      <c r="B360" s="29" t="n"/>
      <c r="C360" s="29" t="n"/>
      <c r="D360" s="29" t="n"/>
      <c r="E360" s="29" t="n"/>
      <c r="F360" s="29" t="n"/>
      <c r="G360" s="29" t="n"/>
      <c r="H360" s="67">
        <f>IF(base!F360&lt;&gt;"",VLOOKUP(F360,de_para!$A$1:$B$31,2,0)*base!G360,0)</f>
        <v/>
      </c>
      <c r="I360" s="38" t="n"/>
      <c r="J360" s="29" t="n"/>
      <c r="K360" s="67">
        <f>IF(base!I360&lt;&gt;"",VLOOKUP(I360,de_para!$A$1:$B$31,2,0)*base!J360,0)</f>
        <v/>
      </c>
      <c r="L360" s="38" t="n"/>
      <c r="M360" s="29" t="n"/>
      <c r="N360" s="67">
        <f>IF(base!L360&lt;&gt;"",VLOOKUP(L360,de_para!$A$1:$B$31,2,0)*base!M360,0)</f>
        <v/>
      </c>
      <c r="O360" s="38" t="n"/>
      <c r="P360" s="29" t="n"/>
      <c r="Q360" s="67">
        <f>IF(base!O360&lt;&gt;"",VLOOKUP(O360,de_para!$A$1:$B$31,2,0)*base!P360,0)</f>
        <v/>
      </c>
      <c r="R360" s="38" t="n"/>
      <c r="S360" s="29" t="n"/>
      <c r="T360" s="67">
        <f>IF(base!R360&lt;&gt;"",VLOOKUP(R360,de_para!$A$1:$B$31,2,0)*base!S360,0)</f>
        <v/>
      </c>
      <c r="U360" s="68">
        <f>H360+K360+N360+Q360+T360</f>
        <v/>
      </c>
    </row>
    <row r="361">
      <c r="A361" s="29" t="n"/>
      <c r="B361" s="29" t="n"/>
      <c r="C361" s="29" t="n"/>
      <c r="D361" s="29" t="n"/>
      <c r="E361" s="29" t="n"/>
      <c r="F361" s="29" t="n"/>
      <c r="G361" s="29" t="n"/>
      <c r="H361" s="67">
        <f>IF(base!F361&lt;&gt;"",VLOOKUP(F361,de_para!$A$1:$B$31,2,0)*base!G361,0)</f>
        <v/>
      </c>
      <c r="I361" s="38" t="n"/>
      <c r="J361" s="29" t="n"/>
      <c r="K361" s="67">
        <f>IF(base!I361&lt;&gt;"",VLOOKUP(I361,de_para!$A$1:$B$31,2,0)*base!J361,0)</f>
        <v/>
      </c>
      <c r="L361" s="38" t="n"/>
      <c r="M361" s="29" t="n"/>
      <c r="N361" s="67">
        <f>IF(base!L361&lt;&gt;"",VLOOKUP(L361,de_para!$A$1:$B$31,2,0)*base!M361,0)</f>
        <v/>
      </c>
      <c r="O361" s="38" t="n"/>
      <c r="P361" s="29" t="n"/>
      <c r="Q361" s="67">
        <f>IF(base!O361&lt;&gt;"",VLOOKUP(O361,de_para!$A$1:$B$31,2,0)*base!P361,0)</f>
        <v/>
      </c>
      <c r="R361" s="38" t="n"/>
      <c r="S361" s="29" t="n"/>
      <c r="T361" s="67">
        <f>IF(base!R361&lt;&gt;"",VLOOKUP(R361,de_para!$A$1:$B$31,2,0)*base!S361,0)</f>
        <v/>
      </c>
      <c r="U361" s="68">
        <f>H361+K361+N361+Q361+T361</f>
        <v/>
      </c>
    </row>
    <row r="362">
      <c r="A362" s="29" t="n"/>
      <c r="B362" s="29" t="n"/>
      <c r="C362" s="29" t="n"/>
      <c r="D362" s="29" t="n"/>
      <c r="E362" s="29" t="n"/>
      <c r="F362" s="29" t="n"/>
      <c r="G362" s="29" t="n"/>
      <c r="H362" s="67">
        <f>IF(base!F362&lt;&gt;"",VLOOKUP(F362,de_para!$A$1:$B$31,2,0)*base!G362,0)</f>
        <v/>
      </c>
      <c r="I362" s="38" t="n"/>
      <c r="J362" s="29" t="n"/>
      <c r="K362" s="67">
        <f>IF(base!I362&lt;&gt;"",VLOOKUP(I362,de_para!$A$1:$B$31,2,0)*base!J362,0)</f>
        <v/>
      </c>
      <c r="L362" s="38" t="n"/>
      <c r="M362" s="29" t="n"/>
      <c r="N362" s="67">
        <f>IF(base!L362&lt;&gt;"",VLOOKUP(L362,de_para!$A$1:$B$31,2,0)*base!M362,0)</f>
        <v/>
      </c>
      <c r="O362" s="38" t="n"/>
      <c r="P362" s="29" t="n"/>
      <c r="Q362" s="67">
        <f>IF(base!O362&lt;&gt;"",VLOOKUP(O362,de_para!$A$1:$B$31,2,0)*base!P362,0)</f>
        <v/>
      </c>
      <c r="R362" s="38" t="n"/>
      <c r="S362" s="29" t="n"/>
      <c r="T362" s="67">
        <f>IF(base!R362&lt;&gt;"",VLOOKUP(R362,de_para!$A$1:$B$31,2,0)*base!S362,0)</f>
        <v/>
      </c>
      <c r="U362" s="68">
        <f>H362+K362+N362+Q362+T362</f>
        <v/>
      </c>
    </row>
    <row r="363">
      <c r="A363" s="29" t="n"/>
      <c r="B363" s="29" t="n"/>
      <c r="C363" s="29" t="n"/>
      <c r="D363" s="29" t="n"/>
      <c r="E363" s="29" t="n"/>
      <c r="F363" s="29" t="n"/>
      <c r="G363" s="29" t="n"/>
      <c r="H363" s="67">
        <f>IF(base!F363&lt;&gt;"",VLOOKUP(F363,de_para!$A$1:$B$31,2,0)*base!G363,0)</f>
        <v/>
      </c>
      <c r="I363" s="38" t="n"/>
      <c r="J363" s="29" t="n"/>
      <c r="K363" s="67">
        <f>IF(base!I363&lt;&gt;"",VLOOKUP(I363,de_para!$A$1:$B$31,2,0)*base!J363,0)</f>
        <v/>
      </c>
      <c r="L363" s="38" t="n"/>
      <c r="M363" s="29" t="n"/>
      <c r="N363" s="67">
        <f>IF(base!L363&lt;&gt;"",VLOOKUP(L363,de_para!$A$1:$B$31,2,0)*base!M363,0)</f>
        <v/>
      </c>
      <c r="O363" s="38" t="n"/>
      <c r="P363" s="29" t="n"/>
      <c r="Q363" s="67">
        <f>IF(base!O363&lt;&gt;"",VLOOKUP(O363,de_para!$A$1:$B$31,2,0)*base!P363,0)</f>
        <v/>
      </c>
      <c r="R363" s="38" t="n"/>
      <c r="S363" s="29" t="n"/>
      <c r="T363" s="67">
        <f>IF(base!R363&lt;&gt;"",VLOOKUP(R363,de_para!$A$1:$B$31,2,0)*base!S363,0)</f>
        <v/>
      </c>
      <c r="U363" s="68">
        <f>H363+K363+N363+Q363+T363</f>
        <v/>
      </c>
    </row>
    <row r="364">
      <c r="A364" s="29" t="n"/>
      <c r="B364" s="29" t="n"/>
      <c r="C364" s="29" t="n"/>
      <c r="D364" s="29" t="n"/>
      <c r="E364" s="29" t="n"/>
      <c r="F364" s="29" t="n"/>
      <c r="G364" s="29" t="n"/>
      <c r="H364" s="67">
        <f>IF(base!F364&lt;&gt;"",VLOOKUP(F364,de_para!$A$1:$B$31,2,0)*base!G364,0)</f>
        <v/>
      </c>
      <c r="I364" s="38" t="n"/>
      <c r="J364" s="29" t="n"/>
      <c r="K364" s="67">
        <f>IF(base!I364&lt;&gt;"",VLOOKUP(I364,de_para!$A$1:$B$31,2,0)*base!J364,0)</f>
        <v/>
      </c>
      <c r="L364" s="38" t="n"/>
      <c r="M364" s="29" t="n"/>
      <c r="N364" s="67">
        <f>IF(base!L364&lt;&gt;"",VLOOKUP(L364,de_para!$A$1:$B$31,2,0)*base!M364,0)</f>
        <v/>
      </c>
      <c r="O364" s="38" t="n"/>
      <c r="P364" s="29" t="n"/>
      <c r="Q364" s="67">
        <f>IF(base!O364&lt;&gt;"",VLOOKUP(O364,de_para!$A$1:$B$31,2,0)*base!P364,0)</f>
        <v/>
      </c>
      <c r="R364" s="38" t="n"/>
      <c r="S364" s="29" t="n"/>
      <c r="T364" s="67">
        <f>IF(base!R364&lt;&gt;"",VLOOKUP(R364,de_para!$A$1:$B$31,2,0)*base!S364,0)</f>
        <v/>
      </c>
      <c r="U364" s="68">
        <f>H364+K364+N364+Q364+T364</f>
        <v/>
      </c>
    </row>
    <row r="365">
      <c r="A365" s="29" t="n"/>
      <c r="B365" s="29" t="n"/>
      <c r="C365" s="29" t="n"/>
      <c r="D365" s="29" t="n"/>
      <c r="E365" s="29" t="n"/>
      <c r="F365" s="29" t="n"/>
      <c r="G365" s="29" t="n"/>
      <c r="H365" s="67">
        <f>IF(base!F365&lt;&gt;"",VLOOKUP(F365,de_para!$A$1:$B$31,2,0)*base!G365,0)</f>
        <v/>
      </c>
      <c r="I365" s="38" t="n"/>
      <c r="J365" s="29" t="n"/>
      <c r="K365" s="67">
        <f>IF(base!I365&lt;&gt;"",VLOOKUP(I365,de_para!$A$1:$B$31,2,0)*base!J365,0)</f>
        <v/>
      </c>
      <c r="L365" s="38" t="n"/>
      <c r="M365" s="29" t="n"/>
      <c r="N365" s="67">
        <f>IF(base!L365&lt;&gt;"",VLOOKUP(L365,de_para!$A$1:$B$31,2,0)*base!M365,0)</f>
        <v/>
      </c>
      <c r="O365" s="38" t="n"/>
      <c r="P365" s="29" t="n"/>
      <c r="Q365" s="67">
        <f>IF(base!O365&lt;&gt;"",VLOOKUP(O365,de_para!$A$1:$B$31,2,0)*base!P365,0)</f>
        <v/>
      </c>
      <c r="R365" s="38" t="n"/>
      <c r="S365" s="29" t="n"/>
      <c r="T365" s="67">
        <f>IF(base!R365&lt;&gt;"",VLOOKUP(R365,de_para!$A$1:$B$31,2,0)*base!S365,0)</f>
        <v/>
      </c>
      <c r="U365" s="68">
        <f>H365+K365+N365+Q365+T365</f>
        <v/>
      </c>
    </row>
    <row r="366">
      <c r="A366" s="29" t="n"/>
      <c r="B366" s="29" t="n"/>
      <c r="C366" s="29" t="n"/>
      <c r="D366" s="29" t="n"/>
      <c r="E366" s="29" t="n"/>
      <c r="F366" s="29" t="n"/>
      <c r="G366" s="29" t="n"/>
      <c r="H366" s="67">
        <f>IF(base!F366&lt;&gt;"",VLOOKUP(F366,de_para!$A$1:$B$31,2,0)*base!G366,0)</f>
        <v/>
      </c>
      <c r="I366" s="38" t="n"/>
      <c r="J366" s="29" t="n"/>
      <c r="K366" s="67">
        <f>IF(base!I366&lt;&gt;"",VLOOKUP(I366,de_para!$A$1:$B$31,2,0)*base!J366,0)</f>
        <v/>
      </c>
      <c r="L366" s="38" t="n"/>
      <c r="M366" s="29" t="n"/>
      <c r="N366" s="67">
        <f>IF(base!L366&lt;&gt;"",VLOOKUP(L366,de_para!$A$1:$B$31,2,0)*base!M366,0)</f>
        <v/>
      </c>
      <c r="O366" s="38" t="n"/>
      <c r="P366" s="29" t="n"/>
      <c r="Q366" s="67">
        <f>IF(base!O366&lt;&gt;"",VLOOKUP(O366,de_para!$A$1:$B$31,2,0)*base!P366,0)</f>
        <v/>
      </c>
      <c r="R366" s="38" t="n"/>
      <c r="S366" s="29" t="n"/>
      <c r="T366" s="67">
        <f>IF(base!R366&lt;&gt;"",VLOOKUP(R366,de_para!$A$1:$B$31,2,0)*base!S366,0)</f>
        <v/>
      </c>
      <c r="U366" s="68">
        <f>H366+K366+N366+Q366+T366</f>
        <v/>
      </c>
    </row>
    <row r="367">
      <c r="A367" s="29" t="n"/>
      <c r="B367" s="29" t="n"/>
      <c r="C367" s="29" t="n"/>
      <c r="D367" s="29" t="n"/>
      <c r="E367" s="29" t="n"/>
      <c r="F367" s="29" t="n"/>
      <c r="G367" s="29" t="n"/>
      <c r="H367" s="67">
        <f>IF(base!F367&lt;&gt;"",VLOOKUP(F367,de_para!$A$1:$B$31,2,0)*base!G367,0)</f>
        <v/>
      </c>
      <c r="I367" s="38" t="n"/>
      <c r="J367" s="29" t="n"/>
      <c r="K367" s="67">
        <f>IF(base!I367&lt;&gt;"",VLOOKUP(I367,de_para!$A$1:$B$31,2,0)*base!J367,0)</f>
        <v/>
      </c>
      <c r="L367" s="38" t="n"/>
      <c r="M367" s="29" t="n"/>
      <c r="N367" s="67">
        <f>IF(base!L367&lt;&gt;"",VLOOKUP(L367,de_para!$A$1:$B$31,2,0)*base!M367,0)</f>
        <v/>
      </c>
      <c r="O367" s="38" t="n"/>
      <c r="P367" s="29" t="n"/>
      <c r="Q367" s="67">
        <f>IF(base!O367&lt;&gt;"",VLOOKUP(O367,de_para!$A$1:$B$31,2,0)*base!P367,0)</f>
        <v/>
      </c>
      <c r="R367" s="38" t="n"/>
      <c r="S367" s="29" t="n"/>
      <c r="T367" s="67">
        <f>IF(base!R367&lt;&gt;"",VLOOKUP(R367,de_para!$A$1:$B$31,2,0)*base!S367,0)</f>
        <v/>
      </c>
      <c r="U367" s="68">
        <f>H367+K367+N367+Q367+T367</f>
        <v/>
      </c>
    </row>
    <row r="368">
      <c r="A368" s="29" t="n"/>
      <c r="B368" s="29" t="n"/>
      <c r="C368" s="29" t="n"/>
      <c r="D368" s="29" t="n"/>
      <c r="E368" s="29" t="n"/>
      <c r="F368" s="29" t="n"/>
      <c r="G368" s="29" t="n"/>
      <c r="H368" s="67">
        <f>IF(base!F368&lt;&gt;"",VLOOKUP(F368,de_para!$A$1:$B$31,2,0)*base!G368,0)</f>
        <v/>
      </c>
      <c r="I368" s="38" t="n"/>
      <c r="J368" s="29" t="n"/>
      <c r="K368" s="67">
        <f>IF(base!I368&lt;&gt;"",VLOOKUP(I368,de_para!$A$1:$B$31,2,0)*base!J368,0)</f>
        <v/>
      </c>
      <c r="L368" s="38" t="n"/>
      <c r="M368" s="29" t="n"/>
      <c r="N368" s="67">
        <f>IF(base!L368&lt;&gt;"",VLOOKUP(L368,de_para!$A$1:$B$31,2,0)*base!M368,0)</f>
        <v/>
      </c>
      <c r="O368" s="38" t="n"/>
      <c r="P368" s="29" t="n"/>
      <c r="Q368" s="67">
        <f>IF(base!O368&lt;&gt;"",VLOOKUP(O368,de_para!$A$1:$B$31,2,0)*base!P368,0)</f>
        <v/>
      </c>
      <c r="R368" s="38" t="n"/>
      <c r="S368" s="29" t="n"/>
      <c r="T368" s="67">
        <f>IF(base!R368&lt;&gt;"",VLOOKUP(R368,de_para!$A$1:$B$31,2,0)*base!S368,0)</f>
        <v/>
      </c>
      <c r="U368" s="68">
        <f>H368+K368+N368+Q368+T368</f>
        <v/>
      </c>
    </row>
    <row r="369">
      <c r="A369" s="29" t="n"/>
      <c r="B369" s="29" t="n"/>
      <c r="C369" s="29" t="n"/>
      <c r="D369" s="29" t="n"/>
      <c r="E369" s="29" t="n"/>
      <c r="F369" s="29" t="n"/>
      <c r="G369" s="29" t="n"/>
      <c r="H369" s="67">
        <f>IF(base!F369&lt;&gt;"",VLOOKUP(F369,de_para!$A$1:$B$31,2,0)*base!G369,0)</f>
        <v/>
      </c>
      <c r="I369" s="38" t="n"/>
      <c r="J369" s="29" t="n"/>
      <c r="K369" s="67">
        <f>IF(base!I369&lt;&gt;"",VLOOKUP(I369,de_para!$A$1:$B$31,2,0)*base!J369,0)</f>
        <v/>
      </c>
      <c r="L369" s="38" t="n"/>
      <c r="M369" s="29" t="n"/>
      <c r="N369" s="67">
        <f>IF(base!L369&lt;&gt;"",VLOOKUP(L369,de_para!$A$1:$B$31,2,0)*base!M369,0)</f>
        <v/>
      </c>
      <c r="O369" s="38" t="n"/>
      <c r="P369" s="29" t="n"/>
      <c r="Q369" s="67">
        <f>IF(base!O369&lt;&gt;"",VLOOKUP(O369,de_para!$A$1:$B$31,2,0)*base!P369,0)</f>
        <v/>
      </c>
      <c r="R369" s="38" t="n"/>
      <c r="S369" s="29" t="n"/>
      <c r="T369" s="67">
        <f>IF(base!R369&lt;&gt;"",VLOOKUP(R369,de_para!$A$1:$B$31,2,0)*base!S369,0)</f>
        <v/>
      </c>
      <c r="U369" s="68">
        <f>H369+K369+N369+Q369+T369</f>
        <v/>
      </c>
    </row>
    <row r="370">
      <c r="A370" s="29" t="n"/>
      <c r="B370" s="29" t="n"/>
      <c r="C370" s="29" t="n"/>
      <c r="D370" s="29" t="n"/>
      <c r="E370" s="29" t="n"/>
      <c r="F370" s="29" t="n"/>
      <c r="G370" s="29" t="n"/>
      <c r="H370" s="67">
        <f>IF(base!F370&lt;&gt;"",VLOOKUP(F370,de_para!$A$1:$B$31,2,0)*base!G370,0)</f>
        <v/>
      </c>
      <c r="I370" s="38" t="n"/>
      <c r="J370" s="29" t="n"/>
      <c r="K370" s="67">
        <f>IF(base!I370&lt;&gt;"",VLOOKUP(I370,de_para!$A$1:$B$31,2,0)*base!J370,0)</f>
        <v/>
      </c>
      <c r="L370" s="38" t="n"/>
      <c r="M370" s="29" t="n"/>
      <c r="N370" s="67">
        <f>IF(base!L370&lt;&gt;"",VLOOKUP(L370,de_para!$A$1:$B$31,2,0)*base!M370,0)</f>
        <v/>
      </c>
      <c r="O370" s="38" t="n"/>
      <c r="P370" s="29" t="n"/>
      <c r="Q370" s="67">
        <f>IF(base!O370&lt;&gt;"",VLOOKUP(O370,de_para!$A$1:$B$31,2,0)*base!P370,0)</f>
        <v/>
      </c>
      <c r="R370" s="38" t="n"/>
      <c r="S370" s="29" t="n"/>
      <c r="T370" s="67">
        <f>IF(base!R370&lt;&gt;"",VLOOKUP(R370,de_para!$A$1:$B$31,2,0)*base!S370,0)</f>
        <v/>
      </c>
      <c r="U370" s="68">
        <f>H370+K370+N370+Q370+T370</f>
        <v/>
      </c>
    </row>
    <row r="371">
      <c r="A371" s="29" t="n"/>
      <c r="B371" s="29" t="n"/>
      <c r="C371" s="29" t="n"/>
      <c r="D371" s="29" t="n"/>
      <c r="E371" s="29" t="n"/>
      <c r="F371" s="29" t="n"/>
      <c r="G371" s="29" t="n"/>
      <c r="H371" s="67">
        <f>IF(base!F371&lt;&gt;"",VLOOKUP(F371,de_para!$A$1:$B$31,2,0)*base!G371,0)</f>
        <v/>
      </c>
      <c r="I371" s="38" t="n"/>
      <c r="J371" s="29" t="n"/>
      <c r="K371" s="67">
        <f>IF(base!I371&lt;&gt;"",VLOOKUP(I371,de_para!$A$1:$B$31,2,0)*base!J371,0)</f>
        <v/>
      </c>
      <c r="L371" s="38" t="n"/>
      <c r="M371" s="29" t="n"/>
      <c r="N371" s="67">
        <f>IF(base!L371&lt;&gt;"",VLOOKUP(L371,de_para!$A$1:$B$31,2,0)*base!M371,0)</f>
        <v/>
      </c>
      <c r="O371" s="38" t="n"/>
      <c r="P371" s="29" t="n"/>
      <c r="Q371" s="67">
        <f>IF(base!O371&lt;&gt;"",VLOOKUP(O371,de_para!$A$1:$B$31,2,0)*base!P371,0)</f>
        <v/>
      </c>
      <c r="R371" s="38" t="n"/>
      <c r="S371" s="29" t="n"/>
      <c r="T371" s="67">
        <f>IF(base!R371&lt;&gt;"",VLOOKUP(R371,de_para!$A$1:$B$31,2,0)*base!S371,0)</f>
        <v/>
      </c>
      <c r="U371" s="68">
        <f>H371+K371+N371+Q371+T371</f>
        <v/>
      </c>
    </row>
    <row r="372">
      <c r="A372" s="29" t="n"/>
      <c r="B372" s="29" t="n"/>
      <c r="C372" s="29" t="n"/>
      <c r="D372" s="29" t="n"/>
      <c r="E372" s="29" t="n"/>
      <c r="F372" s="29" t="n"/>
      <c r="G372" s="29" t="n"/>
      <c r="H372" s="67">
        <f>IF(base!F372&lt;&gt;"",VLOOKUP(F372,de_para!$A$1:$B$31,2,0)*base!G372,0)</f>
        <v/>
      </c>
      <c r="I372" s="38" t="n"/>
      <c r="J372" s="29" t="n"/>
      <c r="K372" s="67">
        <f>IF(base!I372&lt;&gt;"",VLOOKUP(I372,de_para!$A$1:$B$31,2,0)*base!J372,0)</f>
        <v/>
      </c>
      <c r="L372" s="38" t="n"/>
      <c r="M372" s="29" t="n"/>
      <c r="N372" s="67">
        <f>IF(base!L372&lt;&gt;"",VLOOKUP(L372,de_para!$A$1:$B$31,2,0)*base!M372,0)</f>
        <v/>
      </c>
      <c r="O372" s="38" t="n"/>
      <c r="P372" s="29" t="n"/>
      <c r="Q372" s="67">
        <f>IF(base!O372&lt;&gt;"",VLOOKUP(O372,de_para!$A$1:$B$31,2,0)*base!P372,0)</f>
        <v/>
      </c>
      <c r="R372" s="38" t="n"/>
      <c r="S372" s="29" t="n"/>
      <c r="T372" s="67">
        <f>IF(base!R372&lt;&gt;"",VLOOKUP(R372,de_para!$A$1:$B$31,2,0)*base!S372,0)</f>
        <v/>
      </c>
      <c r="U372" s="68">
        <f>H372+K372+N372+Q372+T372</f>
        <v/>
      </c>
    </row>
    <row r="373">
      <c r="A373" s="29" t="n"/>
      <c r="B373" s="29" t="n"/>
      <c r="C373" s="29" t="n"/>
      <c r="D373" s="29" t="n"/>
      <c r="E373" s="29" t="n"/>
      <c r="F373" s="29" t="n"/>
      <c r="G373" s="29" t="n"/>
      <c r="H373" s="67">
        <f>IF(base!F373&lt;&gt;"",VLOOKUP(F373,de_para!$A$1:$B$31,2,0)*base!G373,0)</f>
        <v/>
      </c>
      <c r="I373" s="38" t="n"/>
      <c r="J373" s="29" t="n"/>
      <c r="K373" s="67">
        <f>IF(base!I373&lt;&gt;"",VLOOKUP(I373,de_para!$A$1:$B$31,2,0)*base!J373,0)</f>
        <v/>
      </c>
      <c r="L373" s="38" t="n"/>
      <c r="M373" s="29" t="n"/>
      <c r="N373" s="67">
        <f>IF(base!L373&lt;&gt;"",VLOOKUP(L373,de_para!$A$1:$B$31,2,0)*base!M373,0)</f>
        <v/>
      </c>
      <c r="O373" s="38" t="n"/>
      <c r="P373" s="29" t="n"/>
      <c r="Q373" s="67">
        <f>IF(base!O373&lt;&gt;"",VLOOKUP(O373,de_para!$A$1:$B$31,2,0)*base!P373,0)</f>
        <v/>
      </c>
      <c r="R373" s="38" t="n"/>
      <c r="S373" s="29" t="n"/>
      <c r="T373" s="67">
        <f>IF(base!R373&lt;&gt;"",VLOOKUP(R373,de_para!$A$1:$B$31,2,0)*base!S373,0)</f>
        <v/>
      </c>
      <c r="U373" s="68">
        <f>H373+K373+N373+Q373+T373</f>
        <v/>
      </c>
    </row>
    <row r="374">
      <c r="A374" s="29" t="n"/>
      <c r="B374" s="29" t="n"/>
      <c r="C374" s="29" t="n"/>
      <c r="D374" s="29" t="n"/>
      <c r="E374" s="29" t="n"/>
      <c r="F374" s="29" t="n"/>
      <c r="G374" s="29" t="n"/>
      <c r="H374" s="67">
        <f>IF(base!F374&lt;&gt;"",VLOOKUP(F374,de_para!$A$1:$B$31,2,0)*base!G374,0)</f>
        <v/>
      </c>
      <c r="I374" s="38" t="n"/>
      <c r="J374" s="29" t="n"/>
      <c r="K374" s="67">
        <f>IF(base!I374&lt;&gt;"",VLOOKUP(I374,de_para!$A$1:$B$31,2,0)*base!J374,0)</f>
        <v/>
      </c>
      <c r="L374" s="38" t="n"/>
      <c r="M374" s="29" t="n"/>
      <c r="N374" s="67">
        <f>IF(base!L374&lt;&gt;"",VLOOKUP(L374,de_para!$A$1:$B$31,2,0)*base!M374,0)</f>
        <v/>
      </c>
      <c r="O374" s="38" t="n"/>
      <c r="P374" s="29" t="n"/>
      <c r="Q374" s="67">
        <f>IF(base!O374&lt;&gt;"",VLOOKUP(O374,de_para!$A$1:$B$31,2,0)*base!P374,0)</f>
        <v/>
      </c>
      <c r="R374" s="38" t="n"/>
      <c r="S374" s="29" t="n"/>
      <c r="T374" s="67">
        <f>IF(base!R374&lt;&gt;"",VLOOKUP(R374,de_para!$A$1:$B$31,2,0)*base!S374,0)</f>
        <v/>
      </c>
      <c r="U374" s="68">
        <f>H374+K374+N374+Q374+T374</f>
        <v/>
      </c>
    </row>
    <row r="375">
      <c r="A375" s="29" t="n"/>
      <c r="B375" s="29" t="n"/>
      <c r="C375" s="29" t="n"/>
      <c r="D375" s="29" t="n"/>
      <c r="E375" s="29" t="n"/>
      <c r="F375" s="29" t="n"/>
      <c r="G375" s="29" t="n"/>
      <c r="H375" s="67">
        <f>IF(base!F375&lt;&gt;"",VLOOKUP(F375,de_para!$A$1:$B$31,2,0)*base!G375,0)</f>
        <v/>
      </c>
      <c r="I375" s="38" t="n"/>
      <c r="J375" s="29" t="n"/>
      <c r="K375" s="67">
        <f>IF(base!I375&lt;&gt;"",VLOOKUP(I375,de_para!$A$1:$B$31,2,0)*base!J375,0)</f>
        <v/>
      </c>
      <c r="L375" s="38" t="n"/>
      <c r="M375" s="29" t="n"/>
      <c r="N375" s="67">
        <f>IF(base!L375&lt;&gt;"",VLOOKUP(L375,de_para!$A$1:$B$31,2,0)*base!M375,0)</f>
        <v/>
      </c>
      <c r="O375" s="38" t="n"/>
      <c r="P375" s="29" t="n"/>
      <c r="Q375" s="67">
        <f>IF(base!O375&lt;&gt;"",VLOOKUP(O375,de_para!$A$1:$B$31,2,0)*base!P375,0)</f>
        <v/>
      </c>
      <c r="R375" s="38" t="n"/>
      <c r="S375" s="29" t="n"/>
      <c r="T375" s="67">
        <f>IF(base!R375&lt;&gt;"",VLOOKUP(R375,de_para!$A$1:$B$31,2,0)*base!S375,0)</f>
        <v/>
      </c>
      <c r="U375" s="68">
        <f>H375+K375+N375+Q375+T375</f>
        <v/>
      </c>
    </row>
    <row r="376">
      <c r="A376" s="29" t="n"/>
      <c r="B376" s="29" t="n"/>
      <c r="C376" s="29" t="n"/>
      <c r="D376" s="29" t="n"/>
      <c r="E376" s="29" t="n"/>
      <c r="F376" s="29" t="n"/>
      <c r="G376" s="29" t="n"/>
      <c r="H376" s="67">
        <f>IF(base!F376&lt;&gt;"",VLOOKUP(F376,de_para!$A$1:$B$31,2,0)*base!G376,0)</f>
        <v/>
      </c>
      <c r="I376" s="38" t="n"/>
      <c r="J376" s="29" t="n"/>
      <c r="K376" s="67">
        <f>IF(base!I376&lt;&gt;"",VLOOKUP(I376,de_para!$A$1:$B$31,2,0)*base!J376,0)</f>
        <v/>
      </c>
      <c r="L376" s="38" t="n"/>
      <c r="M376" s="29" t="n"/>
      <c r="N376" s="67">
        <f>IF(base!L376&lt;&gt;"",VLOOKUP(L376,de_para!$A$1:$B$31,2,0)*base!M376,0)</f>
        <v/>
      </c>
      <c r="O376" s="38" t="n"/>
      <c r="P376" s="29" t="n"/>
      <c r="Q376" s="67">
        <f>IF(base!O376&lt;&gt;"",VLOOKUP(O376,de_para!$A$1:$B$31,2,0)*base!P376,0)</f>
        <v/>
      </c>
      <c r="R376" s="38" t="n"/>
      <c r="S376" s="29" t="n"/>
      <c r="T376" s="67">
        <f>IF(base!R376&lt;&gt;"",VLOOKUP(R376,de_para!$A$1:$B$31,2,0)*base!S376,0)</f>
        <v/>
      </c>
      <c r="U376" s="68">
        <f>H376+K376+N376+Q376+T376</f>
        <v/>
      </c>
    </row>
    <row r="377">
      <c r="A377" s="29" t="n"/>
      <c r="B377" s="29" t="n"/>
      <c r="C377" s="29" t="n"/>
      <c r="D377" s="29" t="n"/>
      <c r="E377" s="29" t="n"/>
      <c r="F377" s="29" t="n"/>
      <c r="G377" s="29" t="n"/>
      <c r="H377" s="67">
        <f>IF(base!F377&lt;&gt;"",VLOOKUP(F377,de_para!$A$1:$B$31,2,0)*base!G377,0)</f>
        <v/>
      </c>
      <c r="I377" s="38" t="n"/>
      <c r="J377" s="29" t="n"/>
      <c r="K377" s="67">
        <f>IF(base!I377&lt;&gt;"",VLOOKUP(I377,de_para!$A$1:$B$31,2,0)*base!J377,0)</f>
        <v/>
      </c>
      <c r="L377" s="38" t="n"/>
      <c r="M377" s="29" t="n"/>
      <c r="N377" s="67">
        <f>IF(base!L377&lt;&gt;"",VLOOKUP(L377,de_para!$A$1:$B$31,2,0)*base!M377,0)</f>
        <v/>
      </c>
      <c r="O377" s="38" t="n"/>
      <c r="P377" s="29" t="n"/>
      <c r="Q377" s="67">
        <f>IF(base!O377&lt;&gt;"",VLOOKUP(O377,de_para!$A$1:$B$31,2,0)*base!P377,0)</f>
        <v/>
      </c>
      <c r="R377" s="38" t="n"/>
      <c r="S377" s="29" t="n"/>
      <c r="T377" s="67">
        <f>IF(base!R377&lt;&gt;"",VLOOKUP(R377,de_para!$A$1:$B$31,2,0)*base!S377,0)</f>
        <v/>
      </c>
      <c r="U377" s="68">
        <f>H377+K377+N377+Q377+T377</f>
        <v/>
      </c>
    </row>
    <row r="378">
      <c r="A378" s="29" t="n"/>
      <c r="B378" s="29" t="n"/>
      <c r="C378" s="29" t="n"/>
      <c r="D378" s="29" t="n"/>
      <c r="E378" s="29" t="n"/>
      <c r="F378" s="29" t="n"/>
      <c r="G378" s="29" t="n"/>
      <c r="H378" s="67">
        <f>IF(base!F378&lt;&gt;"",VLOOKUP(F378,de_para!$A$1:$B$31,2,0)*base!G378,0)</f>
        <v/>
      </c>
      <c r="I378" s="38" t="n"/>
      <c r="J378" s="29" t="n"/>
      <c r="K378" s="67">
        <f>IF(base!I378&lt;&gt;"",VLOOKUP(I378,de_para!$A$1:$B$31,2,0)*base!J378,0)</f>
        <v/>
      </c>
      <c r="L378" s="38" t="n"/>
      <c r="M378" s="29" t="n"/>
      <c r="N378" s="67">
        <f>IF(base!L378&lt;&gt;"",VLOOKUP(L378,de_para!$A$1:$B$31,2,0)*base!M378,0)</f>
        <v/>
      </c>
      <c r="O378" s="38" t="n"/>
      <c r="P378" s="29" t="n"/>
      <c r="Q378" s="67">
        <f>IF(base!O378&lt;&gt;"",VLOOKUP(O378,de_para!$A$1:$B$31,2,0)*base!P378,0)</f>
        <v/>
      </c>
      <c r="R378" s="38" t="n"/>
      <c r="S378" s="29" t="n"/>
      <c r="T378" s="67">
        <f>IF(base!R378&lt;&gt;"",VLOOKUP(R378,de_para!$A$1:$B$31,2,0)*base!S378,0)</f>
        <v/>
      </c>
      <c r="U378" s="68">
        <f>H378+K378+N378+Q378+T378</f>
        <v/>
      </c>
    </row>
    <row r="379">
      <c r="A379" s="29" t="n"/>
      <c r="B379" s="29" t="n"/>
      <c r="C379" s="29" t="n"/>
      <c r="D379" s="29" t="n"/>
      <c r="E379" s="29" t="n"/>
      <c r="F379" s="29" t="n"/>
      <c r="G379" s="29" t="n"/>
      <c r="H379" s="67">
        <f>IF(base!F379&lt;&gt;"",VLOOKUP(F379,de_para!$A$1:$B$31,2,0)*base!G379,0)</f>
        <v/>
      </c>
      <c r="I379" s="38" t="n"/>
      <c r="J379" s="29" t="n"/>
      <c r="K379" s="67">
        <f>IF(base!I379&lt;&gt;"",VLOOKUP(I379,de_para!$A$1:$B$31,2,0)*base!J379,0)</f>
        <v/>
      </c>
      <c r="L379" s="38" t="n"/>
      <c r="M379" s="29" t="n"/>
      <c r="N379" s="67">
        <f>IF(base!L379&lt;&gt;"",VLOOKUP(L379,de_para!$A$1:$B$31,2,0)*base!M379,0)</f>
        <v/>
      </c>
      <c r="O379" s="38" t="n"/>
      <c r="P379" s="29" t="n"/>
      <c r="Q379" s="67">
        <f>IF(base!O379&lt;&gt;"",VLOOKUP(O379,de_para!$A$1:$B$31,2,0)*base!P379,0)</f>
        <v/>
      </c>
      <c r="R379" s="38" t="n"/>
      <c r="S379" s="29" t="n"/>
      <c r="T379" s="67">
        <f>IF(base!R379&lt;&gt;"",VLOOKUP(R379,de_para!$A$1:$B$31,2,0)*base!S379,0)</f>
        <v/>
      </c>
      <c r="U379" s="68">
        <f>H379+K379+N379+Q379+T379</f>
        <v/>
      </c>
    </row>
    <row r="380">
      <c r="A380" s="29" t="n"/>
      <c r="B380" s="29" t="n"/>
      <c r="C380" s="29" t="n"/>
      <c r="D380" s="29" t="n"/>
      <c r="E380" s="29" t="n"/>
      <c r="F380" s="29" t="n"/>
      <c r="G380" s="29" t="n"/>
      <c r="H380" s="67">
        <f>IF(base!F380&lt;&gt;"",VLOOKUP(F380,de_para!$A$1:$B$31,2,0)*base!G380,0)</f>
        <v/>
      </c>
      <c r="I380" s="38" t="n"/>
      <c r="J380" s="29" t="n"/>
      <c r="K380" s="67">
        <f>IF(base!I380&lt;&gt;"",VLOOKUP(I380,de_para!$A$1:$B$31,2,0)*base!J380,0)</f>
        <v/>
      </c>
      <c r="L380" s="38" t="n"/>
      <c r="M380" s="29" t="n"/>
      <c r="N380" s="67">
        <f>IF(base!L380&lt;&gt;"",VLOOKUP(L380,de_para!$A$1:$B$31,2,0)*base!M380,0)</f>
        <v/>
      </c>
      <c r="O380" s="38" t="n"/>
      <c r="P380" s="29" t="n"/>
      <c r="Q380" s="67">
        <f>IF(base!O380&lt;&gt;"",VLOOKUP(O380,de_para!$A$1:$B$31,2,0)*base!P380,0)</f>
        <v/>
      </c>
      <c r="R380" s="38" t="n"/>
      <c r="S380" s="29" t="n"/>
      <c r="T380" s="67">
        <f>IF(base!R380&lt;&gt;"",VLOOKUP(R380,de_para!$A$1:$B$31,2,0)*base!S380,0)</f>
        <v/>
      </c>
      <c r="U380" s="68">
        <f>H380+K380+N380+Q380+T380</f>
        <v/>
      </c>
    </row>
    <row r="381">
      <c r="A381" s="29" t="n"/>
      <c r="B381" s="29" t="n"/>
      <c r="C381" s="29" t="n"/>
      <c r="D381" s="29" t="n"/>
      <c r="E381" s="29" t="n"/>
      <c r="F381" s="29" t="n"/>
      <c r="G381" s="29" t="n"/>
      <c r="H381" s="67">
        <f>IF(base!F381&lt;&gt;"",VLOOKUP(F381,de_para!$A$1:$B$31,2,0)*base!G381,0)</f>
        <v/>
      </c>
      <c r="I381" s="38" t="n"/>
      <c r="J381" s="29" t="n"/>
      <c r="K381" s="67">
        <f>IF(base!I381&lt;&gt;"",VLOOKUP(I381,de_para!$A$1:$B$31,2,0)*base!J381,0)</f>
        <v/>
      </c>
      <c r="L381" s="38" t="n"/>
      <c r="M381" s="29" t="n"/>
      <c r="N381" s="67">
        <f>IF(base!L381&lt;&gt;"",VLOOKUP(L381,de_para!$A$1:$B$31,2,0)*base!M381,0)</f>
        <v/>
      </c>
      <c r="O381" s="38" t="n"/>
      <c r="P381" s="29" t="n"/>
      <c r="Q381" s="67">
        <f>IF(base!O381&lt;&gt;"",VLOOKUP(O381,de_para!$A$1:$B$31,2,0)*base!P381,0)</f>
        <v/>
      </c>
      <c r="R381" s="38" t="n"/>
      <c r="S381" s="29" t="n"/>
      <c r="T381" s="67">
        <f>IF(base!R381&lt;&gt;"",VLOOKUP(R381,de_para!$A$1:$B$31,2,0)*base!S381,0)</f>
        <v/>
      </c>
      <c r="U381" s="68">
        <f>H381+K381+N381+Q381+T381</f>
        <v/>
      </c>
    </row>
    <row r="382">
      <c r="A382" s="29" t="n"/>
      <c r="B382" s="29" t="n"/>
      <c r="C382" s="29" t="n"/>
      <c r="D382" s="29" t="n"/>
      <c r="E382" s="29" t="n"/>
      <c r="F382" s="29" t="n"/>
      <c r="G382" s="29" t="n"/>
      <c r="H382" s="67">
        <f>IF(base!F382&lt;&gt;"",VLOOKUP(F382,de_para!$A$1:$B$31,2,0)*base!G382,0)</f>
        <v/>
      </c>
      <c r="I382" s="38" t="n"/>
      <c r="J382" s="29" t="n"/>
      <c r="K382" s="67">
        <f>IF(base!I382&lt;&gt;"",VLOOKUP(I382,de_para!$A$1:$B$31,2,0)*base!J382,0)</f>
        <v/>
      </c>
      <c r="L382" s="38" t="n"/>
      <c r="M382" s="29" t="n"/>
      <c r="N382" s="67">
        <f>IF(base!L382&lt;&gt;"",VLOOKUP(L382,de_para!$A$1:$B$31,2,0)*base!M382,0)</f>
        <v/>
      </c>
      <c r="O382" s="38" t="n"/>
      <c r="P382" s="29" t="n"/>
      <c r="Q382" s="67">
        <f>IF(base!O382&lt;&gt;"",VLOOKUP(O382,de_para!$A$1:$B$31,2,0)*base!P382,0)</f>
        <v/>
      </c>
      <c r="R382" s="38" t="n"/>
      <c r="S382" s="29" t="n"/>
      <c r="T382" s="67">
        <f>IF(base!R382&lt;&gt;"",VLOOKUP(R382,de_para!$A$1:$B$31,2,0)*base!S382,0)</f>
        <v/>
      </c>
      <c r="U382" s="68">
        <f>H382+K382+N382+Q382+T382</f>
        <v/>
      </c>
    </row>
    <row r="383">
      <c r="A383" s="29" t="n"/>
      <c r="B383" s="29" t="n"/>
      <c r="C383" s="29" t="n"/>
      <c r="D383" s="29" t="n"/>
      <c r="E383" s="29" t="n"/>
      <c r="F383" s="29" t="n"/>
      <c r="G383" s="29" t="n"/>
      <c r="H383" s="67">
        <f>IF(base!F383&lt;&gt;"",VLOOKUP(F383,de_para!$A$1:$B$31,2,0)*base!G383,0)</f>
        <v/>
      </c>
      <c r="I383" s="38" t="n"/>
      <c r="J383" s="29" t="n"/>
      <c r="K383" s="67">
        <f>IF(base!I383&lt;&gt;"",VLOOKUP(I383,de_para!$A$1:$B$31,2,0)*base!J383,0)</f>
        <v/>
      </c>
      <c r="L383" s="38" t="n"/>
      <c r="M383" s="29" t="n"/>
      <c r="N383" s="67">
        <f>IF(base!L383&lt;&gt;"",VLOOKUP(L383,de_para!$A$1:$B$31,2,0)*base!M383,0)</f>
        <v/>
      </c>
      <c r="O383" s="38" t="n"/>
      <c r="P383" s="29" t="n"/>
      <c r="Q383" s="67">
        <f>IF(base!O383&lt;&gt;"",VLOOKUP(O383,de_para!$A$1:$B$31,2,0)*base!P383,0)</f>
        <v/>
      </c>
      <c r="R383" s="38" t="n"/>
      <c r="S383" s="29" t="n"/>
      <c r="T383" s="67">
        <f>IF(base!R383&lt;&gt;"",VLOOKUP(R383,de_para!$A$1:$B$31,2,0)*base!S383,0)</f>
        <v/>
      </c>
      <c r="U383" s="68">
        <f>H383+K383+N383+Q383+T383</f>
        <v/>
      </c>
    </row>
    <row r="384">
      <c r="A384" s="29" t="n"/>
      <c r="B384" s="29" t="n"/>
      <c r="C384" s="29" t="n"/>
      <c r="D384" s="29" t="n"/>
      <c r="E384" s="29" t="n"/>
      <c r="F384" s="29" t="n"/>
      <c r="G384" s="29" t="n"/>
      <c r="H384" s="67">
        <f>IF(base!F384&lt;&gt;"",VLOOKUP(F384,de_para!$A$1:$B$31,2,0)*base!G384,0)</f>
        <v/>
      </c>
      <c r="I384" s="38" t="n"/>
      <c r="J384" s="29" t="n"/>
      <c r="K384" s="67">
        <f>IF(base!I384&lt;&gt;"",VLOOKUP(I384,de_para!$A$1:$B$31,2,0)*base!J384,0)</f>
        <v/>
      </c>
      <c r="L384" s="38" t="n"/>
      <c r="M384" s="29" t="n"/>
      <c r="N384" s="67">
        <f>IF(base!L384&lt;&gt;"",VLOOKUP(L384,de_para!$A$1:$B$31,2,0)*base!M384,0)</f>
        <v/>
      </c>
      <c r="O384" s="38" t="n"/>
      <c r="P384" s="29" t="n"/>
      <c r="Q384" s="67">
        <f>IF(base!O384&lt;&gt;"",VLOOKUP(O384,de_para!$A$1:$B$31,2,0)*base!P384,0)</f>
        <v/>
      </c>
      <c r="R384" s="38" t="n"/>
      <c r="S384" s="29" t="n"/>
      <c r="T384" s="67">
        <f>IF(base!R384&lt;&gt;"",VLOOKUP(R384,de_para!$A$1:$B$31,2,0)*base!S384,0)</f>
        <v/>
      </c>
      <c r="U384" s="68">
        <f>H384+K384+N384+Q384+T384</f>
        <v/>
      </c>
    </row>
    <row r="385">
      <c r="A385" s="29" t="n"/>
      <c r="B385" s="29" t="n"/>
      <c r="C385" s="29" t="n"/>
      <c r="D385" s="29" t="n"/>
      <c r="E385" s="29" t="n"/>
      <c r="F385" s="29" t="n"/>
      <c r="G385" s="29" t="n"/>
      <c r="H385" s="67">
        <f>IF(base!F385&lt;&gt;"",VLOOKUP(F385,de_para!$A$1:$B$31,2,0)*base!G385,0)</f>
        <v/>
      </c>
      <c r="I385" s="38" t="n"/>
      <c r="J385" s="29" t="n"/>
      <c r="K385" s="67">
        <f>IF(base!I385&lt;&gt;"",VLOOKUP(I385,de_para!$A$1:$B$31,2,0)*base!J385,0)</f>
        <v/>
      </c>
      <c r="L385" s="38" t="n"/>
      <c r="M385" s="29" t="n"/>
      <c r="N385" s="67">
        <f>IF(base!L385&lt;&gt;"",VLOOKUP(L385,de_para!$A$1:$B$31,2,0)*base!M385,0)</f>
        <v/>
      </c>
      <c r="O385" s="38" t="n"/>
      <c r="P385" s="29" t="n"/>
      <c r="Q385" s="67">
        <f>IF(base!O385&lt;&gt;"",VLOOKUP(O385,de_para!$A$1:$B$31,2,0)*base!P385,0)</f>
        <v/>
      </c>
      <c r="R385" s="38" t="n"/>
      <c r="S385" s="29" t="n"/>
      <c r="T385" s="67">
        <f>IF(base!R385&lt;&gt;"",VLOOKUP(R385,de_para!$A$1:$B$31,2,0)*base!S385,0)</f>
        <v/>
      </c>
      <c r="U385" s="68">
        <f>H385+K385+N385+Q385+T385</f>
        <v/>
      </c>
    </row>
    <row r="386">
      <c r="A386" s="29" t="n"/>
      <c r="B386" s="29" t="n"/>
      <c r="C386" s="29" t="n"/>
      <c r="D386" s="29" t="n"/>
      <c r="E386" s="29" t="n"/>
      <c r="F386" s="29" t="n"/>
      <c r="G386" s="29" t="n"/>
      <c r="H386" s="67">
        <f>IF(base!F386&lt;&gt;"",VLOOKUP(F386,de_para!$A$1:$B$31,2,0)*base!G386,0)</f>
        <v/>
      </c>
      <c r="I386" s="38" t="n"/>
      <c r="J386" s="29" t="n"/>
      <c r="K386" s="67">
        <f>IF(base!I386&lt;&gt;"",VLOOKUP(I386,de_para!$A$1:$B$31,2,0)*base!J386,0)</f>
        <v/>
      </c>
      <c r="L386" s="38" t="n"/>
      <c r="M386" s="29" t="n"/>
      <c r="N386" s="67">
        <f>IF(base!L386&lt;&gt;"",VLOOKUP(L386,de_para!$A$1:$B$31,2,0)*base!M386,0)</f>
        <v/>
      </c>
      <c r="O386" s="38" t="n"/>
      <c r="P386" s="29" t="n"/>
      <c r="Q386" s="67">
        <f>IF(base!O386&lt;&gt;"",VLOOKUP(O386,de_para!$A$1:$B$31,2,0)*base!P386,0)</f>
        <v/>
      </c>
      <c r="R386" s="38" t="n"/>
      <c r="S386" s="29" t="n"/>
      <c r="T386" s="67">
        <f>IF(base!R386&lt;&gt;"",VLOOKUP(R386,de_para!$A$1:$B$31,2,0)*base!S386,0)</f>
        <v/>
      </c>
      <c r="U386" s="68">
        <f>H386+K386+N386+Q386+T386</f>
        <v/>
      </c>
    </row>
    <row r="387">
      <c r="A387" s="29" t="n"/>
      <c r="B387" s="29" t="n"/>
      <c r="C387" s="29" t="n"/>
      <c r="D387" s="29" t="n"/>
      <c r="E387" s="29" t="n"/>
      <c r="F387" s="29" t="n"/>
      <c r="G387" s="29" t="n"/>
      <c r="H387" s="67">
        <f>IF(base!F387&lt;&gt;"",VLOOKUP(F387,de_para!$A$1:$B$31,2,0)*base!G387,0)</f>
        <v/>
      </c>
      <c r="I387" s="38" t="n"/>
      <c r="J387" s="29" t="n"/>
      <c r="K387" s="67">
        <f>IF(base!I387&lt;&gt;"",VLOOKUP(I387,de_para!$A$1:$B$31,2,0)*base!J387,0)</f>
        <v/>
      </c>
      <c r="L387" s="38" t="n"/>
      <c r="M387" s="29" t="n"/>
      <c r="N387" s="67">
        <f>IF(base!L387&lt;&gt;"",VLOOKUP(L387,de_para!$A$1:$B$31,2,0)*base!M387,0)</f>
        <v/>
      </c>
      <c r="O387" s="38" t="n"/>
      <c r="P387" s="29" t="n"/>
      <c r="Q387" s="67">
        <f>IF(base!O387&lt;&gt;"",VLOOKUP(O387,de_para!$A$1:$B$31,2,0)*base!P387,0)</f>
        <v/>
      </c>
      <c r="R387" s="38" t="n"/>
      <c r="S387" s="29" t="n"/>
      <c r="T387" s="67">
        <f>IF(base!R387&lt;&gt;"",VLOOKUP(R387,de_para!$A$1:$B$31,2,0)*base!S387,0)</f>
        <v/>
      </c>
      <c r="U387" s="68">
        <f>H387+K387+N387+Q387+T387</f>
        <v/>
      </c>
    </row>
    <row r="388">
      <c r="A388" s="29" t="n"/>
      <c r="B388" s="29" t="n"/>
      <c r="C388" s="29" t="n"/>
      <c r="D388" s="29" t="n"/>
      <c r="E388" s="29" t="n"/>
      <c r="F388" s="29" t="n"/>
      <c r="G388" s="29" t="n"/>
      <c r="H388" s="67">
        <f>IF(base!F388&lt;&gt;"",VLOOKUP(F388,de_para!$A$1:$B$31,2,0)*base!G388,0)</f>
        <v/>
      </c>
      <c r="I388" s="38" t="n"/>
      <c r="J388" s="29" t="n"/>
      <c r="K388" s="67">
        <f>IF(base!I388&lt;&gt;"",VLOOKUP(I388,de_para!$A$1:$B$31,2,0)*base!J388,0)</f>
        <v/>
      </c>
      <c r="L388" s="38" t="n"/>
      <c r="M388" s="29" t="n"/>
      <c r="N388" s="67">
        <f>IF(base!L388&lt;&gt;"",VLOOKUP(L388,de_para!$A$1:$B$31,2,0)*base!M388,0)</f>
        <v/>
      </c>
      <c r="O388" s="38" t="n"/>
      <c r="P388" s="29" t="n"/>
      <c r="Q388" s="67">
        <f>IF(base!O388&lt;&gt;"",VLOOKUP(O388,de_para!$A$1:$B$31,2,0)*base!P388,0)</f>
        <v/>
      </c>
      <c r="R388" s="38" t="n"/>
      <c r="S388" s="29" t="n"/>
      <c r="T388" s="67">
        <f>IF(base!R388&lt;&gt;"",VLOOKUP(R388,de_para!$A$1:$B$31,2,0)*base!S388,0)</f>
        <v/>
      </c>
      <c r="U388" s="68">
        <f>H388+K388+N388+Q388+T388</f>
        <v/>
      </c>
    </row>
    <row r="389">
      <c r="A389" s="29" t="n"/>
      <c r="B389" s="29" t="n"/>
      <c r="C389" s="29" t="n"/>
      <c r="D389" s="29" t="n"/>
      <c r="E389" s="29" t="n"/>
      <c r="F389" s="29" t="n"/>
      <c r="G389" s="29" t="n"/>
      <c r="H389" s="67">
        <f>IF(base!F389&lt;&gt;"",VLOOKUP(F389,de_para!$A$1:$B$31,2,0)*base!G389,0)</f>
        <v/>
      </c>
      <c r="I389" s="38" t="n"/>
      <c r="J389" s="29" t="n"/>
      <c r="K389" s="67">
        <f>IF(base!I389&lt;&gt;"",VLOOKUP(I389,de_para!$A$1:$B$31,2,0)*base!J389,0)</f>
        <v/>
      </c>
      <c r="L389" s="38" t="n"/>
      <c r="M389" s="29" t="n"/>
      <c r="N389" s="67">
        <f>IF(base!L389&lt;&gt;"",VLOOKUP(L389,de_para!$A$1:$B$31,2,0)*base!M389,0)</f>
        <v/>
      </c>
      <c r="O389" s="38" t="n"/>
      <c r="P389" s="29" t="n"/>
      <c r="Q389" s="67">
        <f>IF(base!O389&lt;&gt;"",VLOOKUP(O389,de_para!$A$1:$B$31,2,0)*base!P389,0)</f>
        <v/>
      </c>
      <c r="R389" s="38" t="n"/>
      <c r="S389" s="29" t="n"/>
      <c r="T389" s="67">
        <f>IF(base!R389&lt;&gt;"",VLOOKUP(R389,de_para!$A$1:$B$31,2,0)*base!S389,0)</f>
        <v/>
      </c>
      <c r="U389" s="68">
        <f>H389+K389+N389+Q389+T389</f>
        <v/>
      </c>
    </row>
    <row r="390">
      <c r="A390" s="29" t="n"/>
      <c r="B390" s="29" t="n"/>
      <c r="C390" s="29" t="n"/>
      <c r="D390" s="29" t="n"/>
      <c r="E390" s="29" t="n"/>
      <c r="F390" s="29" t="n"/>
      <c r="G390" s="29" t="n"/>
      <c r="H390" s="67">
        <f>IF(base!F390&lt;&gt;"",VLOOKUP(F390,de_para!$A$1:$B$31,2,0)*base!G390,0)</f>
        <v/>
      </c>
      <c r="I390" s="38" t="n"/>
      <c r="J390" s="29" t="n"/>
      <c r="K390" s="67">
        <f>IF(base!I390&lt;&gt;"",VLOOKUP(I390,de_para!$A$1:$B$31,2,0)*base!J390,0)</f>
        <v/>
      </c>
      <c r="L390" s="38" t="n"/>
      <c r="M390" s="29" t="n"/>
      <c r="N390" s="67">
        <f>IF(base!L390&lt;&gt;"",VLOOKUP(L390,de_para!$A$1:$B$31,2,0)*base!M390,0)</f>
        <v/>
      </c>
      <c r="O390" s="38" t="n"/>
      <c r="P390" s="29" t="n"/>
      <c r="Q390" s="67">
        <f>IF(base!O390&lt;&gt;"",VLOOKUP(O390,de_para!$A$1:$B$31,2,0)*base!P390,0)</f>
        <v/>
      </c>
      <c r="R390" s="38" t="n"/>
      <c r="S390" s="29" t="n"/>
      <c r="T390" s="67">
        <f>IF(base!R390&lt;&gt;"",VLOOKUP(R390,de_para!$A$1:$B$31,2,0)*base!S390,0)</f>
        <v/>
      </c>
      <c r="U390" s="68">
        <f>H390+K390+N390+Q390+T390</f>
        <v/>
      </c>
    </row>
    <row r="391">
      <c r="A391" s="29" t="n"/>
      <c r="B391" s="29" t="n"/>
      <c r="C391" s="29" t="n"/>
      <c r="D391" s="29" t="n"/>
      <c r="E391" s="29" t="n"/>
      <c r="F391" s="29" t="n"/>
      <c r="G391" s="29" t="n"/>
      <c r="H391" s="67">
        <f>IF(base!F391&lt;&gt;"",VLOOKUP(F391,de_para!$A$1:$B$31,2,0)*base!G391,0)</f>
        <v/>
      </c>
      <c r="I391" s="38" t="n"/>
      <c r="J391" s="29" t="n"/>
      <c r="K391" s="67">
        <f>IF(base!I391&lt;&gt;"",VLOOKUP(I391,de_para!$A$1:$B$31,2,0)*base!J391,0)</f>
        <v/>
      </c>
      <c r="L391" s="38" t="n"/>
      <c r="M391" s="29" t="n"/>
      <c r="N391" s="67">
        <f>IF(base!L391&lt;&gt;"",VLOOKUP(L391,de_para!$A$1:$B$31,2,0)*base!M391,0)</f>
        <v/>
      </c>
      <c r="O391" s="38" t="n"/>
      <c r="P391" s="29" t="n"/>
      <c r="Q391" s="67">
        <f>IF(base!O391&lt;&gt;"",VLOOKUP(O391,de_para!$A$1:$B$31,2,0)*base!P391,0)</f>
        <v/>
      </c>
      <c r="R391" s="38" t="n"/>
      <c r="S391" s="29" t="n"/>
      <c r="T391" s="67">
        <f>IF(base!R391&lt;&gt;"",VLOOKUP(R391,de_para!$A$1:$B$31,2,0)*base!S391,0)</f>
        <v/>
      </c>
      <c r="U391" s="68">
        <f>H391+K391+N391+Q391+T391</f>
        <v/>
      </c>
    </row>
    <row r="392">
      <c r="A392" s="29" t="n"/>
      <c r="B392" s="29" t="n"/>
      <c r="C392" s="29" t="n"/>
      <c r="D392" s="29" t="n"/>
      <c r="E392" s="29" t="n"/>
      <c r="F392" s="29" t="n"/>
      <c r="G392" s="29" t="n"/>
      <c r="H392" s="67">
        <f>IF(base!F392&lt;&gt;"",VLOOKUP(F392,de_para!$A$1:$B$31,2,0)*base!G392,0)</f>
        <v/>
      </c>
      <c r="I392" s="38" t="n"/>
      <c r="J392" s="29" t="n"/>
      <c r="K392" s="67">
        <f>IF(base!I392&lt;&gt;"",VLOOKUP(I392,de_para!$A$1:$B$31,2,0)*base!J392,0)</f>
        <v/>
      </c>
      <c r="L392" s="38" t="n"/>
      <c r="M392" s="29" t="n"/>
      <c r="N392" s="67">
        <f>IF(base!L392&lt;&gt;"",VLOOKUP(L392,de_para!$A$1:$B$31,2,0)*base!M392,0)</f>
        <v/>
      </c>
      <c r="O392" s="38" t="n"/>
      <c r="P392" s="29" t="n"/>
      <c r="Q392" s="67">
        <f>IF(base!O392&lt;&gt;"",VLOOKUP(O392,de_para!$A$1:$B$31,2,0)*base!P392,0)</f>
        <v/>
      </c>
      <c r="R392" s="38" t="n"/>
      <c r="S392" s="29" t="n"/>
      <c r="T392" s="67">
        <f>IF(base!R392&lt;&gt;"",VLOOKUP(R392,de_para!$A$1:$B$31,2,0)*base!S392,0)</f>
        <v/>
      </c>
      <c r="U392" s="68">
        <f>H392+K392+N392+Q392+T392</f>
        <v/>
      </c>
    </row>
    <row r="393">
      <c r="A393" s="29" t="n"/>
      <c r="B393" s="29" t="n"/>
      <c r="C393" s="29" t="n"/>
      <c r="D393" s="29" t="n"/>
      <c r="E393" s="29" t="n"/>
      <c r="F393" s="29" t="n"/>
      <c r="G393" s="29" t="n"/>
      <c r="H393" s="67">
        <f>IF(base!F393&lt;&gt;"",VLOOKUP(F393,de_para!$A$1:$B$31,2,0)*base!G393,0)</f>
        <v/>
      </c>
      <c r="I393" s="38" t="n"/>
      <c r="J393" s="29" t="n"/>
      <c r="K393" s="67">
        <f>IF(base!I393&lt;&gt;"",VLOOKUP(I393,de_para!$A$1:$B$31,2,0)*base!J393,0)</f>
        <v/>
      </c>
      <c r="L393" s="38" t="n"/>
      <c r="M393" s="29" t="n"/>
      <c r="N393" s="67">
        <f>IF(base!L393&lt;&gt;"",VLOOKUP(L393,de_para!$A$1:$B$31,2,0)*base!M393,0)</f>
        <v/>
      </c>
      <c r="O393" s="38" t="n"/>
      <c r="P393" s="29" t="n"/>
      <c r="Q393" s="67">
        <f>IF(base!O393&lt;&gt;"",VLOOKUP(O393,de_para!$A$1:$B$31,2,0)*base!P393,0)</f>
        <v/>
      </c>
      <c r="R393" s="38" t="n"/>
      <c r="S393" s="29" t="n"/>
      <c r="T393" s="67">
        <f>IF(base!R393&lt;&gt;"",VLOOKUP(R393,de_para!$A$1:$B$31,2,0)*base!S393,0)</f>
        <v/>
      </c>
      <c r="U393" s="68">
        <f>H393+K393+N393+Q393+T393</f>
        <v/>
      </c>
    </row>
    <row r="394">
      <c r="A394" s="29" t="n"/>
      <c r="B394" s="29" t="n"/>
      <c r="C394" s="29" t="n"/>
      <c r="D394" s="29" t="n"/>
      <c r="E394" s="29" t="n"/>
      <c r="F394" s="29" t="n"/>
      <c r="G394" s="29" t="n"/>
      <c r="H394" s="67">
        <f>IF(base!F394&lt;&gt;"",VLOOKUP(F394,de_para!$A$1:$B$31,2,0)*base!G394,0)</f>
        <v/>
      </c>
      <c r="I394" s="38" t="n"/>
      <c r="J394" s="29" t="n"/>
      <c r="K394" s="67">
        <f>IF(base!I394&lt;&gt;"",VLOOKUP(I394,de_para!$A$1:$B$31,2,0)*base!J394,0)</f>
        <v/>
      </c>
      <c r="L394" s="38" t="n"/>
      <c r="M394" s="29" t="n"/>
      <c r="N394" s="67">
        <f>IF(base!L394&lt;&gt;"",VLOOKUP(L394,de_para!$A$1:$B$31,2,0)*base!M394,0)</f>
        <v/>
      </c>
      <c r="O394" s="38" t="n"/>
      <c r="P394" s="29" t="n"/>
      <c r="Q394" s="67">
        <f>IF(base!O394&lt;&gt;"",VLOOKUP(O394,de_para!$A$1:$B$31,2,0)*base!P394,0)</f>
        <v/>
      </c>
      <c r="R394" s="38" t="n"/>
      <c r="S394" s="29" t="n"/>
      <c r="T394" s="67">
        <f>IF(base!R394&lt;&gt;"",VLOOKUP(R394,de_para!$A$1:$B$31,2,0)*base!S394,0)</f>
        <v/>
      </c>
      <c r="U394" s="68">
        <f>H394+K394+N394+Q394+T394</f>
        <v/>
      </c>
    </row>
    <row r="395">
      <c r="A395" s="29" t="n"/>
      <c r="B395" s="29" t="n"/>
      <c r="C395" s="29" t="n"/>
      <c r="D395" s="29" t="n"/>
      <c r="E395" s="29" t="n"/>
      <c r="F395" s="29" t="n"/>
      <c r="G395" s="29" t="n"/>
      <c r="H395" s="67">
        <f>IF(base!F395&lt;&gt;"",VLOOKUP(F395,de_para!$A$1:$B$31,2,0)*base!G395,0)</f>
        <v/>
      </c>
      <c r="I395" s="38" t="n"/>
      <c r="J395" s="29" t="n"/>
      <c r="K395" s="67">
        <f>IF(base!I395&lt;&gt;"",VLOOKUP(I395,de_para!$A$1:$B$31,2,0)*base!J395,0)</f>
        <v/>
      </c>
      <c r="L395" s="38" t="n"/>
      <c r="M395" s="29" t="n"/>
      <c r="N395" s="67">
        <f>IF(base!L395&lt;&gt;"",VLOOKUP(L395,de_para!$A$1:$B$31,2,0)*base!M395,0)</f>
        <v/>
      </c>
      <c r="O395" s="38" t="n"/>
      <c r="P395" s="29" t="n"/>
      <c r="Q395" s="67">
        <f>IF(base!O395&lt;&gt;"",VLOOKUP(O395,de_para!$A$1:$B$31,2,0)*base!P395,0)</f>
        <v/>
      </c>
      <c r="R395" s="38" t="n"/>
      <c r="S395" s="29" t="n"/>
      <c r="T395" s="67">
        <f>IF(base!R395&lt;&gt;"",VLOOKUP(R395,de_para!$A$1:$B$31,2,0)*base!S395,0)</f>
        <v/>
      </c>
      <c r="U395" s="68">
        <f>H395+K395+N395+Q395+T395</f>
        <v/>
      </c>
    </row>
    <row r="396">
      <c r="A396" s="29" t="n"/>
      <c r="B396" s="29" t="n"/>
      <c r="C396" s="29" t="n"/>
      <c r="D396" s="29" t="n"/>
      <c r="E396" s="29" t="n"/>
      <c r="F396" s="29" t="n"/>
      <c r="G396" s="29" t="n"/>
      <c r="H396" s="67">
        <f>IF(base!F396&lt;&gt;"",VLOOKUP(F396,de_para!$A$1:$B$31,2,0)*base!G396,0)</f>
        <v/>
      </c>
      <c r="I396" s="38" t="n"/>
      <c r="J396" s="29" t="n"/>
      <c r="K396" s="67">
        <f>IF(base!I396&lt;&gt;"",VLOOKUP(I396,de_para!$A$1:$B$31,2,0)*base!J396,0)</f>
        <v/>
      </c>
      <c r="L396" s="38" t="n"/>
      <c r="M396" s="29" t="n"/>
      <c r="N396" s="67">
        <f>IF(base!L396&lt;&gt;"",VLOOKUP(L396,de_para!$A$1:$B$31,2,0)*base!M396,0)</f>
        <v/>
      </c>
      <c r="O396" s="38" t="n"/>
      <c r="P396" s="29" t="n"/>
      <c r="Q396" s="67">
        <f>IF(base!O396&lt;&gt;"",VLOOKUP(O396,de_para!$A$1:$B$31,2,0)*base!P396,0)</f>
        <v/>
      </c>
      <c r="R396" s="38" t="n"/>
      <c r="S396" s="29" t="n"/>
      <c r="T396" s="67">
        <f>IF(base!R396&lt;&gt;"",VLOOKUP(R396,de_para!$A$1:$B$31,2,0)*base!S396,0)</f>
        <v/>
      </c>
      <c r="U396" s="68">
        <f>H396+K396+N396+Q396+T396</f>
        <v/>
      </c>
    </row>
    <row r="397">
      <c r="A397" s="29" t="n"/>
      <c r="B397" s="29" t="n"/>
      <c r="C397" s="29" t="n"/>
      <c r="D397" s="29" t="n"/>
      <c r="E397" s="29" t="n"/>
      <c r="F397" s="29" t="n"/>
      <c r="G397" s="29" t="n"/>
      <c r="H397" s="67">
        <f>IF(base!F397&lt;&gt;"",VLOOKUP(F397,de_para!$A$1:$B$31,2,0)*base!G397,0)</f>
        <v/>
      </c>
      <c r="I397" s="38" t="n"/>
      <c r="J397" s="29" t="n"/>
      <c r="K397" s="67">
        <f>IF(base!I397&lt;&gt;"",VLOOKUP(I397,de_para!$A$1:$B$31,2,0)*base!J397,0)</f>
        <v/>
      </c>
      <c r="L397" s="38" t="n"/>
      <c r="M397" s="29" t="n"/>
      <c r="N397" s="67">
        <f>IF(base!L397&lt;&gt;"",VLOOKUP(L397,de_para!$A$1:$B$31,2,0)*base!M397,0)</f>
        <v/>
      </c>
      <c r="O397" s="38" t="n"/>
      <c r="P397" s="29" t="n"/>
      <c r="Q397" s="67">
        <f>IF(base!O397&lt;&gt;"",VLOOKUP(O397,de_para!$A$1:$B$31,2,0)*base!P397,0)</f>
        <v/>
      </c>
      <c r="R397" s="38" t="n"/>
      <c r="S397" s="29" t="n"/>
      <c r="T397" s="67">
        <f>IF(base!R397&lt;&gt;"",VLOOKUP(R397,de_para!$A$1:$B$31,2,0)*base!S397,0)</f>
        <v/>
      </c>
      <c r="U397" s="68">
        <f>H397+K397+N397+Q397+T397</f>
        <v/>
      </c>
    </row>
    <row r="398">
      <c r="A398" s="29" t="n"/>
      <c r="B398" s="29" t="n"/>
      <c r="C398" s="29" t="n"/>
      <c r="D398" s="29" t="n"/>
      <c r="E398" s="29" t="n"/>
      <c r="F398" s="29" t="n"/>
      <c r="G398" s="29" t="n"/>
      <c r="H398" s="67">
        <f>IF(base!F398&lt;&gt;"",VLOOKUP(F398,de_para!$A$1:$B$31,2,0)*base!G398,0)</f>
        <v/>
      </c>
      <c r="I398" s="38" t="n"/>
      <c r="J398" s="29" t="n"/>
      <c r="K398" s="67">
        <f>IF(base!I398&lt;&gt;"",VLOOKUP(I398,de_para!$A$1:$B$31,2,0)*base!J398,0)</f>
        <v/>
      </c>
      <c r="L398" s="38" t="n"/>
      <c r="M398" s="29" t="n"/>
      <c r="N398" s="67">
        <f>IF(base!L398&lt;&gt;"",VLOOKUP(L398,de_para!$A$1:$B$31,2,0)*base!M398,0)</f>
        <v/>
      </c>
      <c r="O398" s="38" t="n"/>
      <c r="P398" s="29" t="n"/>
      <c r="Q398" s="67">
        <f>IF(base!O398&lt;&gt;"",VLOOKUP(O398,de_para!$A$1:$B$31,2,0)*base!P398,0)</f>
        <v/>
      </c>
      <c r="R398" s="38" t="n"/>
      <c r="S398" s="29" t="n"/>
      <c r="T398" s="67">
        <f>IF(base!R398&lt;&gt;"",VLOOKUP(R398,de_para!$A$1:$B$31,2,0)*base!S398,0)</f>
        <v/>
      </c>
      <c r="U398" s="68">
        <f>H398+K398+N398+Q398+T398</f>
        <v/>
      </c>
    </row>
    <row r="399">
      <c r="A399" s="29" t="n"/>
      <c r="B399" s="29" t="n"/>
      <c r="C399" s="29" t="n"/>
      <c r="D399" s="29" t="n"/>
      <c r="E399" s="29" t="n"/>
      <c r="F399" s="29" t="n"/>
      <c r="G399" s="29" t="n"/>
      <c r="H399" s="67">
        <f>IF(base!F399&lt;&gt;"",VLOOKUP(F399,de_para!$A$1:$B$31,2,0)*base!G399,0)</f>
        <v/>
      </c>
      <c r="I399" s="38" t="n"/>
      <c r="J399" s="29" t="n"/>
      <c r="K399" s="67">
        <f>IF(base!I399&lt;&gt;"",VLOOKUP(I399,de_para!$A$1:$B$31,2,0)*base!J399,0)</f>
        <v/>
      </c>
      <c r="L399" s="38" t="n"/>
      <c r="M399" s="29" t="n"/>
      <c r="N399" s="67">
        <f>IF(base!L399&lt;&gt;"",VLOOKUP(L399,de_para!$A$1:$B$31,2,0)*base!M399,0)</f>
        <v/>
      </c>
      <c r="O399" s="38" t="n"/>
      <c r="P399" s="29" t="n"/>
      <c r="Q399" s="67">
        <f>IF(base!O399&lt;&gt;"",VLOOKUP(O399,de_para!$A$1:$B$31,2,0)*base!P399,0)</f>
        <v/>
      </c>
      <c r="R399" s="38" t="n"/>
      <c r="S399" s="29" t="n"/>
      <c r="T399" s="67">
        <f>IF(base!R399&lt;&gt;"",VLOOKUP(R399,de_para!$A$1:$B$31,2,0)*base!S399,0)</f>
        <v/>
      </c>
      <c r="U399" s="68">
        <f>H399+K399+N399+Q399+T399</f>
        <v/>
      </c>
    </row>
    <row r="400">
      <c r="A400" s="29" t="n"/>
      <c r="B400" s="29" t="n"/>
      <c r="C400" s="29" t="n"/>
      <c r="D400" s="29" t="n"/>
      <c r="E400" s="29" t="n"/>
      <c r="F400" s="29" t="n"/>
      <c r="G400" s="29" t="n"/>
      <c r="H400" s="67">
        <f>IF(base!F400&lt;&gt;"",VLOOKUP(F400,de_para!$A$1:$B$31,2,0)*base!G400,0)</f>
        <v/>
      </c>
      <c r="I400" s="38" t="n"/>
      <c r="J400" s="29" t="n"/>
      <c r="K400" s="67">
        <f>IF(base!I400&lt;&gt;"",VLOOKUP(I400,de_para!$A$1:$B$31,2,0)*base!J400,0)</f>
        <v/>
      </c>
      <c r="L400" s="38" t="n"/>
      <c r="M400" s="29" t="n"/>
      <c r="N400" s="67">
        <f>IF(base!L400&lt;&gt;"",VLOOKUP(L400,de_para!$A$1:$B$31,2,0)*base!M400,0)</f>
        <v/>
      </c>
      <c r="O400" s="38" t="n"/>
      <c r="P400" s="29" t="n"/>
      <c r="Q400" s="67">
        <f>IF(base!O400&lt;&gt;"",VLOOKUP(O400,de_para!$A$1:$B$31,2,0)*base!P400,0)</f>
        <v/>
      </c>
      <c r="R400" s="38" t="n"/>
      <c r="S400" s="29" t="n"/>
      <c r="T400" s="67">
        <f>IF(base!R400&lt;&gt;"",VLOOKUP(R400,de_para!$A$1:$B$31,2,0)*base!S400,0)</f>
        <v/>
      </c>
      <c r="U400" s="68">
        <f>H400+K400+N400+Q400+T400</f>
        <v/>
      </c>
    </row>
    <row r="401">
      <c r="A401" s="29" t="n"/>
      <c r="B401" s="29" t="n"/>
      <c r="C401" s="29" t="n"/>
      <c r="D401" s="29" t="n"/>
      <c r="E401" s="29" t="n"/>
      <c r="F401" s="29" t="n"/>
      <c r="G401" s="29" t="n"/>
      <c r="H401" s="67">
        <f>IF(base!F401&lt;&gt;"",VLOOKUP(F401,de_para!$A$1:$B$31,2,0)*base!G401,0)</f>
        <v/>
      </c>
      <c r="I401" s="38" t="n"/>
      <c r="J401" s="29" t="n"/>
      <c r="K401" s="67">
        <f>IF(base!I401&lt;&gt;"",VLOOKUP(I401,de_para!$A$1:$B$31,2,0)*base!J401,0)</f>
        <v/>
      </c>
      <c r="L401" s="38" t="n"/>
      <c r="M401" s="29" t="n"/>
      <c r="N401" s="67">
        <f>IF(base!L401&lt;&gt;"",VLOOKUP(L401,de_para!$A$1:$B$31,2,0)*base!M401,0)</f>
        <v/>
      </c>
      <c r="O401" s="38" t="n"/>
      <c r="P401" s="29" t="n"/>
      <c r="Q401" s="67">
        <f>IF(base!O401&lt;&gt;"",VLOOKUP(O401,de_para!$A$1:$B$31,2,0)*base!P401,0)</f>
        <v/>
      </c>
      <c r="R401" s="38" t="n"/>
      <c r="S401" s="29" t="n"/>
      <c r="T401" s="67">
        <f>IF(base!R401&lt;&gt;"",VLOOKUP(R401,de_para!$A$1:$B$31,2,0)*base!S401,0)</f>
        <v/>
      </c>
      <c r="U401" s="68">
        <f>H401+K401+N401+Q401+T401</f>
        <v/>
      </c>
    </row>
    <row r="402">
      <c r="A402" s="29" t="n"/>
      <c r="B402" s="29" t="n"/>
      <c r="C402" s="29" t="n"/>
      <c r="D402" s="29" t="n"/>
      <c r="E402" s="29" t="n"/>
      <c r="F402" s="29" t="n"/>
      <c r="G402" s="29" t="n"/>
      <c r="H402" s="67">
        <f>IF(base!F402&lt;&gt;"",VLOOKUP(F402,de_para!$A$1:$B$31,2,0)*base!G402,0)</f>
        <v/>
      </c>
      <c r="I402" s="38" t="n"/>
      <c r="J402" s="29" t="n"/>
      <c r="K402" s="67">
        <f>IF(base!I402&lt;&gt;"",VLOOKUP(I402,de_para!$A$1:$B$31,2,0)*base!J402,0)</f>
        <v/>
      </c>
      <c r="L402" s="38" t="n"/>
      <c r="M402" s="29" t="n"/>
      <c r="N402" s="67">
        <f>IF(base!L402&lt;&gt;"",VLOOKUP(L402,de_para!$A$1:$B$31,2,0)*base!M402,0)</f>
        <v/>
      </c>
      <c r="O402" s="38" t="n"/>
      <c r="P402" s="29" t="n"/>
      <c r="Q402" s="67">
        <f>IF(base!O402&lt;&gt;"",VLOOKUP(O402,de_para!$A$1:$B$31,2,0)*base!P402,0)</f>
        <v/>
      </c>
      <c r="R402" s="38" t="n"/>
      <c r="S402" s="29" t="n"/>
      <c r="T402" s="67">
        <f>IF(base!R402&lt;&gt;"",VLOOKUP(R402,de_para!$A$1:$B$31,2,0)*base!S402,0)</f>
        <v/>
      </c>
      <c r="U402" s="68">
        <f>H402+K402+N402+Q402+T402</f>
        <v/>
      </c>
    </row>
    <row r="403">
      <c r="A403" s="29" t="n"/>
      <c r="B403" s="29" t="n"/>
      <c r="C403" s="29" t="n"/>
      <c r="D403" s="29" t="n"/>
      <c r="E403" s="29" t="n"/>
      <c r="F403" s="29" t="n"/>
      <c r="G403" s="29" t="n"/>
      <c r="H403" s="67">
        <f>IF(base!F403&lt;&gt;"",VLOOKUP(F403,de_para!$A$1:$B$31,2,0)*base!G403,0)</f>
        <v/>
      </c>
      <c r="I403" s="38" t="n"/>
      <c r="J403" s="29" t="n"/>
      <c r="K403" s="67">
        <f>IF(base!I403&lt;&gt;"",VLOOKUP(I403,de_para!$A$1:$B$31,2,0)*base!J403,0)</f>
        <v/>
      </c>
      <c r="L403" s="38" t="n"/>
      <c r="M403" s="29" t="n"/>
      <c r="N403" s="67">
        <f>IF(base!L403&lt;&gt;"",VLOOKUP(L403,de_para!$A$1:$B$31,2,0)*base!M403,0)</f>
        <v/>
      </c>
      <c r="O403" s="38" t="n"/>
      <c r="P403" s="29" t="n"/>
      <c r="Q403" s="67">
        <f>IF(base!O403&lt;&gt;"",VLOOKUP(O403,de_para!$A$1:$B$31,2,0)*base!P403,0)</f>
        <v/>
      </c>
      <c r="R403" s="38" t="n"/>
      <c r="S403" s="29" t="n"/>
      <c r="T403" s="67">
        <f>IF(base!R403&lt;&gt;"",VLOOKUP(R403,de_para!$A$1:$B$31,2,0)*base!S403,0)</f>
        <v/>
      </c>
      <c r="U403" s="68">
        <f>H403+K403+N403+Q403+T403</f>
        <v/>
      </c>
    </row>
    <row r="404">
      <c r="A404" s="29" t="n"/>
      <c r="B404" s="29" t="n"/>
      <c r="C404" s="29" t="n"/>
      <c r="D404" s="29" t="n"/>
      <c r="E404" s="29" t="n"/>
      <c r="F404" s="29" t="n"/>
      <c r="G404" s="29" t="n"/>
      <c r="H404" s="67">
        <f>IF(base!F404&lt;&gt;"",VLOOKUP(F404,de_para!$A$1:$B$31,2,0)*base!G404,0)</f>
        <v/>
      </c>
      <c r="I404" s="38" t="n"/>
      <c r="J404" s="29" t="n"/>
      <c r="K404" s="67">
        <f>IF(base!I404&lt;&gt;"",VLOOKUP(I404,de_para!$A$1:$B$31,2,0)*base!J404,0)</f>
        <v/>
      </c>
      <c r="L404" s="38" t="n"/>
      <c r="M404" s="29" t="n"/>
      <c r="N404" s="67">
        <f>IF(base!L404&lt;&gt;"",VLOOKUP(L404,de_para!$A$1:$B$31,2,0)*base!M404,0)</f>
        <v/>
      </c>
      <c r="O404" s="38" t="n"/>
      <c r="P404" s="29" t="n"/>
      <c r="Q404" s="67">
        <f>IF(base!O404&lt;&gt;"",VLOOKUP(O404,de_para!$A$1:$B$31,2,0)*base!P404,0)</f>
        <v/>
      </c>
      <c r="R404" s="38" t="n"/>
      <c r="S404" s="29" t="n"/>
      <c r="T404" s="67">
        <f>IF(base!R404&lt;&gt;"",VLOOKUP(R404,de_para!$A$1:$B$31,2,0)*base!S404,0)</f>
        <v/>
      </c>
      <c r="U404" s="68">
        <f>H404+K404+N404+Q404+T404</f>
        <v/>
      </c>
    </row>
    <row r="405">
      <c r="A405" s="29" t="n"/>
      <c r="B405" s="29" t="n"/>
      <c r="C405" s="29" t="n"/>
      <c r="D405" s="29" t="n"/>
      <c r="E405" s="29" t="n"/>
      <c r="F405" s="29" t="n"/>
      <c r="G405" s="29" t="n"/>
      <c r="H405" s="67">
        <f>IF(base!F405&lt;&gt;"",VLOOKUP(F405,de_para!$A$1:$B$31,2,0)*base!G405,0)</f>
        <v/>
      </c>
      <c r="I405" s="38" t="n"/>
      <c r="J405" s="29" t="n"/>
      <c r="K405" s="67">
        <f>IF(base!I405&lt;&gt;"",VLOOKUP(I405,de_para!$A$1:$B$31,2,0)*base!J405,0)</f>
        <v/>
      </c>
      <c r="L405" s="38" t="n"/>
      <c r="M405" s="29" t="n"/>
      <c r="N405" s="67">
        <f>IF(base!L405&lt;&gt;"",VLOOKUP(L405,de_para!$A$1:$B$31,2,0)*base!M405,0)</f>
        <v/>
      </c>
      <c r="O405" s="38" t="n"/>
      <c r="P405" s="29" t="n"/>
      <c r="Q405" s="67">
        <f>IF(base!O405&lt;&gt;"",VLOOKUP(O405,de_para!$A$1:$B$31,2,0)*base!P405,0)</f>
        <v/>
      </c>
      <c r="R405" s="38" t="n"/>
      <c r="S405" s="29" t="n"/>
      <c r="T405" s="67">
        <f>IF(base!R405&lt;&gt;"",VLOOKUP(R405,de_para!$A$1:$B$31,2,0)*base!S405,0)</f>
        <v/>
      </c>
      <c r="U405" s="68">
        <f>H405+K405+N405+Q405+T405</f>
        <v/>
      </c>
    </row>
    <row r="406">
      <c r="A406" s="29" t="n"/>
      <c r="B406" s="29" t="n"/>
      <c r="C406" s="29" t="n"/>
      <c r="D406" s="29" t="n"/>
      <c r="E406" s="29" t="n"/>
      <c r="F406" s="29" t="n"/>
      <c r="G406" s="29" t="n"/>
      <c r="H406" s="67">
        <f>IF(base!F406&lt;&gt;"",VLOOKUP(F406,de_para!$A$1:$B$31,2,0)*base!G406,0)</f>
        <v/>
      </c>
      <c r="I406" s="38" t="n"/>
      <c r="J406" s="29" t="n"/>
      <c r="K406" s="67">
        <f>IF(base!I406&lt;&gt;"",VLOOKUP(I406,de_para!$A$1:$B$31,2,0)*base!J406,0)</f>
        <v/>
      </c>
      <c r="L406" s="38" t="n"/>
      <c r="M406" s="29" t="n"/>
      <c r="N406" s="67">
        <f>IF(base!L406&lt;&gt;"",VLOOKUP(L406,de_para!$A$1:$B$31,2,0)*base!M406,0)</f>
        <v/>
      </c>
      <c r="O406" s="38" t="n"/>
      <c r="P406" s="29" t="n"/>
      <c r="Q406" s="67">
        <f>IF(base!O406&lt;&gt;"",VLOOKUP(O406,de_para!$A$1:$B$31,2,0)*base!P406,0)</f>
        <v/>
      </c>
      <c r="R406" s="38" t="n"/>
      <c r="S406" s="29" t="n"/>
      <c r="T406" s="67">
        <f>IF(base!R406&lt;&gt;"",VLOOKUP(R406,de_para!$A$1:$B$31,2,0)*base!S406,0)</f>
        <v/>
      </c>
      <c r="U406" s="68">
        <f>H406+K406+N406+Q406+T406</f>
        <v/>
      </c>
    </row>
    <row r="407">
      <c r="A407" s="29" t="n"/>
      <c r="B407" s="29" t="n"/>
      <c r="C407" s="29" t="n"/>
      <c r="D407" s="29" t="n"/>
      <c r="E407" s="29" t="n"/>
      <c r="F407" s="29" t="n"/>
      <c r="G407" s="29" t="n"/>
      <c r="H407" s="67">
        <f>IF(base!F407&lt;&gt;"",VLOOKUP(F407,de_para!$A$1:$B$31,2,0)*base!G407,0)</f>
        <v/>
      </c>
      <c r="I407" s="38" t="n"/>
      <c r="J407" s="29" t="n"/>
      <c r="K407" s="67">
        <f>IF(base!I407&lt;&gt;"",VLOOKUP(I407,de_para!$A$1:$B$31,2,0)*base!J407,0)</f>
        <v/>
      </c>
      <c r="L407" s="38" t="n"/>
      <c r="M407" s="29" t="n"/>
      <c r="N407" s="67">
        <f>IF(base!L407&lt;&gt;"",VLOOKUP(L407,de_para!$A$1:$B$31,2,0)*base!M407,0)</f>
        <v/>
      </c>
      <c r="O407" s="38" t="n"/>
      <c r="P407" s="29" t="n"/>
      <c r="Q407" s="67">
        <f>IF(base!O407&lt;&gt;"",VLOOKUP(O407,de_para!$A$1:$B$31,2,0)*base!P407,0)</f>
        <v/>
      </c>
      <c r="R407" s="38" t="n"/>
      <c r="S407" s="29" t="n"/>
      <c r="T407" s="67">
        <f>IF(base!R407&lt;&gt;"",VLOOKUP(R407,de_para!$A$1:$B$31,2,0)*base!S407,0)</f>
        <v/>
      </c>
      <c r="U407" s="68">
        <f>H407+K407+N407+Q407+T407</f>
        <v/>
      </c>
    </row>
    <row r="408">
      <c r="A408" s="29" t="n"/>
      <c r="B408" s="29" t="n"/>
      <c r="C408" s="29" t="n"/>
      <c r="D408" s="29" t="n"/>
      <c r="E408" s="29" t="n"/>
      <c r="F408" s="29" t="n"/>
      <c r="G408" s="29" t="n"/>
      <c r="H408" s="67">
        <f>IF(base!F408&lt;&gt;"",VLOOKUP(F408,de_para!$A$1:$B$31,2,0)*base!G408,0)</f>
        <v/>
      </c>
      <c r="I408" s="38" t="n"/>
      <c r="J408" s="29" t="n"/>
      <c r="K408" s="67">
        <f>IF(base!I408&lt;&gt;"",VLOOKUP(I408,de_para!$A$1:$B$31,2,0)*base!J408,0)</f>
        <v/>
      </c>
      <c r="L408" s="38" t="n"/>
      <c r="M408" s="29" t="n"/>
      <c r="N408" s="67">
        <f>IF(base!L408&lt;&gt;"",VLOOKUP(L408,de_para!$A$1:$B$31,2,0)*base!M408,0)</f>
        <v/>
      </c>
      <c r="O408" s="38" t="n"/>
      <c r="P408" s="29" t="n"/>
      <c r="Q408" s="67">
        <f>IF(base!O408&lt;&gt;"",VLOOKUP(O408,de_para!$A$1:$B$31,2,0)*base!P408,0)</f>
        <v/>
      </c>
      <c r="R408" s="38" t="n"/>
      <c r="S408" s="29" t="n"/>
      <c r="T408" s="67">
        <f>IF(base!R408&lt;&gt;"",VLOOKUP(R408,de_para!$A$1:$B$31,2,0)*base!S408,0)</f>
        <v/>
      </c>
      <c r="U408" s="68">
        <f>H408+K408+N408+Q408+T408</f>
        <v/>
      </c>
    </row>
    <row r="409">
      <c r="A409" s="29" t="n"/>
      <c r="B409" s="29" t="n"/>
      <c r="C409" s="29" t="n"/>
      <c r="D409" s="29" t="n"/>
      <c r="E409" s="29" t="n"/>
      <c r="F409" s="29" t="n"/>
      <c r="G409" s="29" t="n"/>
      <c r="H409" s="67">
        <f>IF(base!F409&lt;&gt;"",VLOOKUP(F409,de_para!$A$1:$B$31,2,0)*base!G409,0)</f>
        <v/>
      </c>
      <c r="I409" s="38" t="n"/>
      <c r="J409" s="29" t="n"/>
      <c r="K409" s="67">
        <f>IF(base!I409&lt;&gt;"",VLOOKUP(I409,de_para!$A$1:$B$31,2,0)*base!J409,0)</f>
        <v/>
      </c>
      <c r="L409" s="38" t="n"/>
      <c r="M409" s="29" t="n"/>
      <c r="N409" s="67">
        <f>IF(base!L409&lt;&gt;"",VLOOKUP(L409,de_para!$A$1:$B$31,2,0)*base!M409,0)</f>
        <v/>
      </c>
      <c r="O409" s="38" t="n"/>
      <c r="P409" s="29" t="n"/>
      <c r="Q409" s="67">
        <f>IF(base!O409&lt;&gt;"",VLOOKUP(O409,de_para!$A$1:$B$31,2,0)*base!P409,0)</f>
        <v/>
      </c>
      <c r="R409" s="38" t="n"/>
      <c r="S409" s="29" t="n"/>
      <c r="T409" s="67">
        <f>IF(base!R409&lt;&gt;"",VLOOKUP(R409,de_para!$A$1:$B$31,2,0)*base!S409,0)</f>
        <v/>
      </c>
      <c r="U409" s="68">
        <f>H409+K409+N409+Q409+T409</f>
        <v/>
      </c>
    </row>
    <row r="410">
      <c r="A410" s="29" t="n"/>
      <c r="B410" s="29" t="n"/>
      <c r="C410" s="29" t="n"/>
      <c r="D410" s="29" t="n"/>
      <c r="E410" s="29" t="n"/>
      <c r="F410" s="29" t="n"/>
      <c r="G410" s="29" t="n"/>
      <c r="H410" s="67">
        <f>IF(base!F410&lt;&gt;"",VLOOKUP(F410,de_para!$A$1:$B$31,2,0)*base!G410,0)</f>
        <v/>
      </c>
      <c r="I410" s="38" t="n"/>
      <c r="J410" s="29" t="n"/>
      <c r="K410" s="67">
        <f>IF(base!I410&lt;&gt;"",VLOOKUP(I410,de_para!$A$1:$B$31,2,0)*base!J410,0)</f>
        <v/>
      </c>
      <c r="L410" s="38" t="n"/>
      <c r="M410" s="29" t="n"/>
      <c r="N410" s="67">
        <f>IF(base!L410&lt;&gt;"",VLOOKUP(L410,de_para!$A$1:$B$31,2,0)*base!M410,0)</f>
        <v/>
      </c>
      <c r="O410" s="38" t="n"/>
      <c r="P410" s="29" t="n"/>
      <c r="Q410" s="67">
        <f>IF(base!O410&lt;&gt;"",VLOOKUP(O410,de_para!$A$1:$B$31,2,0)*base!P410,0)</f>
        <v/>
      </c>
      <c r="R410" s="38" t="n"/>
      <c r="S410" s="29" t="n"/>
      <c r="T410" s="67">
        <f>IF(base!R410&lt;&gt;"",VLOOKUP(R410,de_para!$A$1:$B$31,2,0)*base!S410,0)</f>
        <v/>
      </c>
      <c r="U410" s="68">
        <f>H410+K410+N410+Q410+T410</f>
        <v/>
      </c>
    </row>
    <row r="411">
      <c r="A411" s="29" t="n"/>
      <c r="B411" s="29" t="n"/>
      <c r="C411" s="29" t="n"/>
      <c r="D411" s="29" t="n"/>
      <c r="E411" s="29" t="n"/>
      <c r="F411" s="29" t="n"/>
      <c r="G411" s="29" t="n"/>
      <c r="H411" s="67">
        <f>IF(base!F411&lt;&gt;"",VLOOKUP(F411,de_para!$A$1:$B$31,2,0)*base!G411,0)</f>
        <v/>
      </c>
      <c r="I411" s="38" t="n"/>
      <c r="J411" s="29" t="n"/>
      <c r="K411" s="67">
        <f>IF(base!I411&lt;&gt;"",VLOOKUP(I411,de_para!$A$1:$B$31,2,0)*base!J411,0)</f>
        <v/>
      </c>
      <c r="L411" s="38" t="n"/>
      <c r="M411" s="29" t="n"/>
      <c r="N411" s="67">
        <f>IF(base!L411&lt;&gt;"",VLOOKUP(L411,de_para!$A$1:$B$31,2,0)*base!M411,0)</f>
        <v/>
      </c>
      <c r="O411" s="38" t="n"/>
      <c r="P411" s="29" t="n"/>
      <c r="Q411" s="67">
        <f>IF(base!O411&lt;&gt;"",VLOOKUP(O411,de_para!$A$1:$B$31,2,0)*base!P411,0)</f>
        <v/>
      </c>
      <c r="R411" s="38" t="n"/>
      <c r="S411" s="29" t="n"/>
      <c r="T411" s="67">
        <f>IF(base!R411&lt;&gt;"",VLOOKUP(R411,de_para!$A$1:$B$31,2,0)*base!S411,0)</f>
        <v/>
      </c>
      <c r="U411" s="68">
        <f>H411+K411+N411+Q411+T411</f>
        <v/>
      </c>
    </row>
    <row r="412">
      <c r="A412" s="29" t="n"/>
      <c r="B412" s="29" t="n"/>
      <c r="C412" s="29" t="n"/>
      <c r="D412" s="29" t="n"/>
      <c r="E412" s="29" t="n"/>
      <c r="F412" s="29" t="n"/>
      <c r="G412" s="29" t="n"/>
      <c r="H412" s="67">
        <f>IF(base!F412&lt;&gt;"",VLOOKUP(F412,de_para!$A$1:$B$31,2,0)*base!G412,0)</f>
        <v/>
      </c>
      <c r="I412" s="38" t="n"/>
      <c r="J412" s="29" t="n"/>
      <c r="K412" s="67">
        <f>IF(base!I412&lt;&gt;"",VLOOKUP(I412,de_para!$A$1:$B$31,2,0)*base!J412,0)</f>
        <v/>
      </c>
      <c r="L412" s="38" t="n"/>
      <c r="M412" s="29" t="n"/>
      <c r="N412" s="67">
        <f>IF(base!L412&lt;&gt;"",VLOOKUP(L412,de_para!$A$1:$B$31,2,0)*base!M412,0)</f>
        <v/>
      </c>
      <c r="O412" s="38" t="n"/>
      <c r="P412" s="29" t="n"/>
      <c r="Q412" s="67">
        <f>IF(base!O412&lt;&gt;"",VLOOKUP(O412,de_para!$A$1:$B$31,2,0)*base!P412,0)</f>
        <v/>
      </c>
      <c r="R412" s="38" t="n"/>
      <c r="S412" s="29" t="n"/>
      <c r="T412" s="67">
        <f>IF(base!R412&lt;&gt;"",VLOOKUP(R412,de_para!$A$1:$B$31,2,0)*base!S412,0)</f>
        <v/>
      </c>
      <c r="U412" s="68">
        <f>H412+K412+N412+Q412+T412</f>
        <v/>
      </c>
    </row>
    <row r="413">
      <c r="A413" s="29" t="n"/>
      <c r="B413" s="29" t="n"/>
      <c r="C413" s="29" t="n"/>
      <c r="D413" s="29" t="n"/>
      <c r="E413" s="29" t="n"/>
      <c r="F413" s="29" t="n"/>
      <c r="G413" s="29" t="n"/>
      <c r="H413" s="67">
        <f>IF(base!F413&lt;&gt;"",VLOOKUP(F413,de_para!$A$1:$B$31,2,0)*base!G413,0)</f>
        <v/>
      </c>
      <c r="I413" s="38" t="n"/>
      <c r="J413" s="29" t="n"/>
      <c r="K413" s="67">
        <f>IF(base!I413&lt;&gt;"",VLOOKUP(I413,de_para!$A$1:$B$31,2,0)*base!J413,0)</f>
        <v/>
      </c>
      <c r="L413" s="38" t="n"/>
      <c r="M413" s="29" t="n"/>
      <c r="N413" s="67">
        <f>IF(base!L413&lt;&gt;"",VLOOKUP(L413,de_para!$A$1:$B$31,2,0)*base!M413,0)</f>
        <v/>
      </c>
      <c r="O413" s="38" t="n"/>
      <c r="P413" s="29" t="n"/>
      <c r="Q413" s="67">
        <f>IF(base!O413&lt;&gt;"",VLOOKUP(O413,de_para!$A$1:$B$31,2,0)*base!P413,0)</f>
        <v/>
      </c>
      <c r="R413" s="38" t="n"/>
      <c r="S413" s="29" t="n"/>
      <c r="T413" s="67">
        <f>IF(base!R413&lt;&gt;"",VLOOKUP(R413,de_para!$A$1:$B$31,2,0)*base!S413,0)</f>
        <v/>
      </c>
      <c r="U413" s="68">
        <f>H413+K413+N413+Q413+T413</f>
        <v/>
      </c>
    </row>
    <row r="414">
      <c r="A414" s="29" t="n"/>
      <c r="B414" s="29" t="n"/>
      <c r="C414" s="29" t="n"/>
      <c r="D414" s="29" t="n"/>
      <c r="E414" s="29" t="n"/>
      <c r="F414" s="29" t="n"/>
      <c r="G414" s="29" t="n"/>
      <c r="H414" s="67">
        <f>IF(base!F414&lt;&gt;"",VLOOKUP(F414,de_para!$A$1:$B$31,2,0)*base!G414,0)</f>
        <v/>
      </c>
      <c r="I414" s="38" t="n"/>
      <c r="J414" s="29" t="n"/>
      <c r="K414" s="67">
        <f>IF(base!I414&lt;&gt;"",VLOOKUP(I414,de_para!$A$1:$B$31,2,0)*base!J414,0)</f>
        <v/>
      </c>
      <c r="L414" s="38" t="n"/>
      <c r="M414" s="29" t="n"/>
      <c r="N414" s="67">
        <f>IF(base!L414&lt;&gt;"",VLOOKUP(L414,de_para!$A$1:$B$31,2,0)*base!M414,0)</f>
        <v/>
      </c>
      <c r="O414" s="38" t="n"/>
      <c r="P414" s="29" t="n"/>
      <c r="Q414" s="67">
        <f>IF(base!O414&lt;&gt;"",VLOOKUP(O414,de_para!$A$1:$B$31,2,0)*base!P414,0)</f>
        <v/>
      </c>
      <c r="R414" s="38" t="n"/>
      <c r="S414" s="29" t="n"/>
      <c r="T414" s="67">
        <f>IF(base!R414&lt;&gt;"",VLOOKUP(R414,de_para!$A$1:$B$31,2,0)*base!S414,0)</f>
        <v/>
      </c>
      <c r="U414" s="68">
        <f>H414+K414+N414+Q414+T414</f>
        <v/>
      </c>
    </row>
    <row r="415">
      <c r="A415" s="29" t="n"/>
      <c r="B415" s="29" t="n"/>
      <c r="C415" s="29" t="n"/>
      <c r="D415" s="29" t="n"/>
      <c r="E415" s="29" t="n"/>
      <c r="F415" s="29" t="n"/>
      <c r="G415" s="29" t="n"/>
      <c r="H415" s="67">
        <f>IF(base!F415&lt;&gt;"",VLOOKUP(F415,de_para!$A$1:$B$31,2,0)*base!G415,0)</f>
        <v/>
      </c>
      <c r="I415" s="38" t="n"/>
      <c r="J415" s="29" t="n"/>
      <c r="K415" s="67">
        <f>IF(base!I415&lt;&gt;"",VLOOKUP(I415,de_para!$A$1:$B$31,2,0)*base!J415,0)</f>
        <v/>
      </c>
      <c r="L415" s="38" t="n"/>
      <c r="M415" s="29" t="n"/>
      <c r="N415" s="67">
        <f>IF(base!L415&lt;&gt;"",VLOOKUP(L415,de_para!$A$1:$B$31,2,0)*base!M415,0)</f>
        <v/>
      </c>
      <c r="O415" s="38" t="n"/>
      <c r="P415" s="29" t="n"/>
      <c r="Q415" s="67">
        <f>IF(base!O415&lt;&gt;"",VLOOKUP(O415,de_para!$A$1:$B$31,2,0)*base!P415,0)</f>
        <v/>
      </c>
      <c r="R415" s="38" t="n"/>
      <c r="S415" s="29" t="n"/>
      <c r="T415" s="67">
        <f>IF(base!R415&lt;&gt;"",VLOOKUP(R415,de_para!$A$1:$B$31,2,0)*base!S415,0)</f>
        <v/>
      </c>
      <c r="U415" s="68">
        <f>H415+K415+N415+Q415+T415</f>
        <v/>
      </c>
    </row>
    <row r="416">
      <c r="A416" s="29" t="n"/>
      <c r="B416" s="29" t="n"/>
      <c r="C416" s="29" t="n"/>
      <c r="D416" s="29" t="n"/>
      <c r="E416" s="29" t="n"/>
      <c r="F416" s="29" t="n"/>
      <c r="G416" s="29" t="n"/>
      <c r="H416" s="67">
        <f>IF(base!F416&lt;&gt;"",VLOOKUP(F416,de_para!$A$1:$B$31,2,0)*base!G416,0)</f>
        <v/>
      </c>
      <c r="I416" s="38" t="n"/>
      <c r="J416" s="29" t="n"/>
      <c r="K416" s="67">
        <f>IF(base!I416&lt;&gt;"",VLOOKUP(I416,de_para!$A$1:$B$31,2,0)*base!J416,0)</f>
        <v/>
      </c>
      <c r="L416" s="38" t="n"/>
      <c r="M416" s="29" t="n"/>
      <c r="N416" s="67">
        <f>IF(base!L416&lt;&gt;"",VLOOKUP(L416,de_para!$A$1:$B$31,2,0)*base!M416,0)</f>
        <v/>
      </c>
      <c r="O416" s="38" t="n"/>
      <c r="P416" s="29" t="n"/>
      <c r="Q416" s="67">
        <f>IF(base!O416&lt;&gt;"",VLOOKUP(O416,de_para!$A$1:$B$31,2,0)*base!P416,0)</f>
        <v/>
      </c>
      <c r="R416" s="38" t="n"/>
      <c r="S416" s="29" t="n"/>
      <c r="T416" s="67">
        <f>IF(base!R416&lt;&gt;"",VLOOKUP(R416,de_para!$A$1:$B$31,2,0)*base!S416,0)</f>
        <v/>
      </c>
      <c r="U416" s="68">
        <f>H416+K416+N416+Q416+T416</f>
        <v/>
      </c>
    </row>
    <row r="417">
      <c r="A417" s="29" t="n"/>
      <c r="B417" s="29" t="n"/>
      <c r="C417" s="29" t="n"/>
      <c r="D417" s="29" t="n"/>
      <c r="E417" s="29" t="n"/>
      <c r="F417" s="29" t="n"/>
      <c r="G417" s="29" t="n"/>
      <c r="H417" s="67">
        <f>IF(base!F417&lt;&gt;"",VLOOKUP(F417,de_para!$A$1:$B$31,2,0)*base!G417,0)</f>
        <v/>
      </c>
      <c r="I417" s="38" t="n"/>
      <c r="J417" s="29" t="n"/>
      <c r="K417" s="67">
        <f>IF(base!I417&lt;&gt;"",VLOOKUP(I417,de_para!$A$1:$B$31,2,0)*base!J417,0)</f>
        <v/>
      </c>
      <c r="L417" s="38" t="n"/>
      <c r="M417" s="29" t="n"/>
      <c r="N417" s="67">
        <f>IF(base!L417&lt;&gt;"",VLOOKUP(L417,de_para!$A$1:$B$31,2,0)*base!M417,0)</f>
        <v/>
      </c>
      <c r="O417" s="38" t="n"/>
      <c r="P417" s="29" t="n"/>
      <c r="Q417" s="67">
        <f>IF(base!O417&lt;&gt;"",VLOOKUP(O417,de_para!$A$1:$B$31,2,0)*base!P417,0)</f>
        <v/>
      </c>
      <c r="R417" s="38" t="n"/>
      <c r="S417" s="29" t="n"/>
      <c r="T417" s="67">
        <f>IF(base!R417&lt;&gt;"",VLOOKUP(R417,de_para!$A$1:$B$31,2,0)*base!S417,0)</f>
        <v/>
      </c>
      <c r="U417" s="68">
        <f>H417+K417+N417+Q417+T417</f>
        <v/>
      </c>
    </row>
    <row r="418">
      <c r="A418" s="29" t="n"/>
      <c r="B418" s="29" t="n"/>
      <c r="C418" s="29" t="n"/>
      <c r="D418" s="29" t="n"/>
      <c r="E418" s="29" t="n"/>
      <c r="F418" s="29" t="n"/>
      <c r="G418" s="29" t="n"/>
      <c r="H418" s="67">
        <f>IF(base!F418&lt;&gt;"",VLOOKUP(F418,de_para!$A$1:$B$31,2,0)*base!G418,0)</f>
        <v/>
      </c>
      <c r="I418" s="38" t="n"/>
      <c r="J418" s="29" t="n"/>
      <c r="K418" s="67">
        <f>IF(base!I418&lt;&gt;"",VLOOKUP(I418,de_para!$A$1:$B$31,2,0)*base!J418,0)</f>
        <v/>
      </c>
      <c r="L418" s="38" t="n"/>
      <c r="M418" s="29" t="n"/>
      <c r="N418" s="67">
        <f>IF(base!L418&lt;&gt;"",VLOOKUP(L418,de_para!$A$1:$B$31,2,0)*base!M418,0)</f>
        <v/>
      </c>
      <c r="O418" s="38" t="n"/>
      <c r="P418" s="29" t="n"/>
      <c r="Q418" s="67">
        <f>IF(base!O418&lt;&gt;"",VLOOKUP(O418,de_para!$A$1:$B$31,2,0)*base!P418,0)</f>
        <v/>
      </c>
      <c r="R418" s="38" t="n"/>
      <c r="S418" s="29" t="n"/>
      <c r="T418" s="67">
        <f>IF(base!R418&lt;&gt;"",VLOOKUP(R418,de_para!$A$1:$B$31,2,0)*base!S418,0)</f>
        <v/>
      </c>
      <c r="U418" s="68">
        <f>H418+K418+N418+Q418+T418</f>
        <v/>
      </c>
    </row>
    <row r="419">
      <c r="A419" s="29" t="n"/>
      <c r="B419" s="29" t="n"/>
      <c r="C419" s="29" t="n"/>
      <c r="D419" s="29" t="n"/>
      <c r="E419" s="29" t="n"/>
      <c r="F419" s="29" t="n"/>
      <c r="G419" s="29" t="n"/>
      <c r="H419" s="67">
        <f>IF(base!F419&lt;&gt;"",VLOOKUP(F419,de_para!$A$1:$B$31,2,0)*base!G419,0)</f>
        <v/>
      </c>
      <c r="I419" s="38" t="n"/>
      <c r="J419" s="29" t="n"/>
      <c r="K419" s="67">
        <f>IF(base!I419&lt;&gt;"",VLOOKUP(I419,de_para!$A$1:$B$31,2,0)*base!J419,0)</f>
        <v/>
      </c>
      <c r="L419" s="38" t="n"/>
      <c r="M419" s="29" t="n"/>
      <c r="N419" s="67">
        <f>IF(base!L419&lt;&gt;"",VLOOKUP(L419,de_para!$A$1:$B$31,2,0)*base!M419,0)</f>
        <v/>
      </c>
      <c r="O419" s="38" t="n"/>
      <c r="P419" s="29" t="n"/>
      <c r="Q419" s="67">
        <f>IF(base!O419&lt;&gt;"",VLOOKUP(O419,de_para!$A$1:$B$31,2,0)*base!P419,0)</f>
        <v/>
      </c>
      <c r="R419" s="38" t="n"/>
      <c r="S419" s="29" t="n"/>
      <c r="T419" s="67">
        <f>IF(base!R419&lt;&gt;"",VLOOKUP(R419,de_para!$A$1:$B$31,2,0)*base!S419,0)</f>
        <v/>
      </c>
      <c r="U419" s="68">
        <f>H419+K419+N419+Q419+T419</f>
        <v/>
      </c>
    </row>
    <row r="420">
      <c r="A420" s="29" t="n"/>
      <c r="B420" s="29" t="n"/>
      <c r="C420" s="29" t="n"/>
      <c r="D420" s="29" t="n"/>
      <c r="E420" s="29" t="n"/>
      <c r="F420" s="29" t="n"/>
      <c r="G420" s="29" t="n"/>
      <c r="H420" s="67">
        <f>IF(base!F420&lt;&gt;"",VLOOKUP(F420,de_para!$A$1:$B$31,2,0)*base!G420,0)</f>
        <v/>
      </c>
      <c r="I420" s="38" t="n"/>
      <c r="J420" s="29" t="n"/>
      <c r="K420" s="67">
        <f>IF(base!I420&lt;&gt;"",VLOOKUP(I420,de_para!$A$1:$B$31,2,0)*base!J420,0)</f>
        <v/>
      </c>
      <c r="L420" s="38" t="n"/>
      <c r="M420" s="29" t="n"/>
      <c r="N420" s="67">
        <f>IF(base!L420&lt;&gt;"",VLOOKUP(L420,de_para!$A$1:$B$31,2,0)*base!M420,0)</f>
        <v/>
      </c>
      <c r="O420" s="38" t="n"/>
      <c r="P420" s="29" t="n"/>
      <c r="Q420" s="67">
        <f>IF(base!O420&lt;&gt;"",VLOOKUP(O420,de_para!$A$1:$B$31,2,0)*base!P420,0)</f>
        <v/>
      </c>
      <c r="R420" s="38" t="n"/>
      <c r="S420" s="29" t="n"/>
      <c r="T420" s="67">
        <f>IF(base!R420&lt;&gt;"",VLOOKUP(R420,de_para!$A$1:$B$31,2,0)*base!S420,0)</f>
        <v/>
      </c>
      <c r="U420" s="68">
        <f>H420+K420+N420+Q420+T420</f>
        <v/>
      </c>
    </row>
    <row r="421">
      <c r="A421" s="29" t="n"/>
      <c r="B421" s="29" t="n"/>
      <c r="C421" s="29" t="n"/>
      <c r="D421" s="29" t="n"/>
      <c r="E421" s="29" t="n"/>
      <c r="F421" s="29" t="n"/>
      <c r="G421" s="29" t="n"/>
      <c r="H421" s="67">
        <f>IF(base!F421&lt;&gt;"",VLOOKUP(F421,de_para!$A$1:$B$31,2,0)*base!G421,0)</f>
        <v/>
      </c>
      <c r="I421" s="38" t="n"/>
      <c r="J421" s="29" t="n"/>
      <c r="K421" s="67">
        <f>IF(base!I421&lt;&gt;"",VLOOKUP(I421,de_para!$A$1:$B$31,2,0)*base!J421,0)</f>
        <v/>
      </c>
      <c r="L421" s="38" t="n"/>
      <c r="M421" s="29" t="n"/>
      <c r="N421" s="67">
        <f>IF(base!L421&lt;&gt;"",VLOOKUP(L421,de_para!$A$1:$B$31,2,0)*base!M421,0)</f>
        <v/>
      </c>
      <c r="O421" s="38" t="n"/>
      <c r="P421" s="29" t="n"/>
      <c r="Q421" s="67">
        <f>IF(base!O421&lt;&gt;"",VLOOKUP(O421,de_para!$A$1:$B$31,2,0)*base!P421,0)</f>
        <v/>
      </c>
      <c r="R421" s="38" t="n"/>
      <c r="S421" s="29" t="n"/>
      <c r="T421" s="67">
        <f>IF(base!R421&lt;&gt;"",VLOOKUP(R421,de_para!$A$1:$B$31,2,0)*base!S421,0)</f>
        <v/>
      </c>
      <c r="U421" s="68">
        <f>H421+K421+N421+Q421+T421</f>
        <v/>
      </c>
    </row>
    <row r="422">
      <c r="A422" s="29" t="n"/>
      <c r="B422" s="29" t="n"/>
      <c r="C422" s="29" t="n"/>
      <c r="D422" s="29" t="n"/>
      <c r="E422" s="29" t="n"/>
      <c r="F422" s="29" t="n"/>
      <c r="G422" s="29" t="n"/>
      <c r="H422" s="67">
        <f>IF(base!F422&lt;&gt;"",VLOOKUP(F422,de_para!$A$1:$B$31,2,0)*base!G422,0)</f>
        <v/>
      </c>
      <c r="I422" s="38" t="n"/>
      <c r="J422" s="29" t="n"/>
      <c r="K422" s="67">
        <f>IF(base!I422&lt;&gt;"",VLOOKUP(I422,de_para!$A$1:$B$31,2,0)*base!J422,0)</f>
        <v/>
      </c>
      <c r="L422" s="38" t="n"/>
      <c r="M422" s="29" t="n"/>
      <c r="N422" s="67">
        <f>IF(base!L422&lt;&gt;"",VLOOKUP(L422,de_para!$A$1:$B$31,2,0)*base!M422,0)</f>
        <v/>
      </c>
      <c r="O422" s="38" t="n"/>
      <c r="P422" s="29" t="n"/>
      <c r="Q422" s="67">
        <f>IF(base!O422&lt;&gt;"",VLOOKUP(O422,de_para!$A$1:$B$31,2,0)*base!P422,0)</f>
        <v/>
      </c>
      <c r="R422" s="38" t="n"/>
      <c r="S422" s="29" t="n"/>
      <c r="T422" s="67">
        <f>IF(base!R422&lt;&gt;"",VLOOKUP(R422,de_para!$A$1:$B$31,2,0)*base!S422,0)</f>
        <v/>
      </c>
      <c r="U422" s="68">
        <f>H422+K422+N422+Q422+T422</f>
        <v/>
      </c>
    </row>
    <row r="423">
      <c r="A423" s="29" t="n"/>
      <c r="B423" s="29" t="n"/>
      <c r="C423" s="29" t="n"/>
      <c r="D423" s="29" t="n"/>
      <c r="E423" s="29" t="n"/>
      <c r="F423" s="29" t="n"/>
      <c r="G423" s="29" t="n"/>
      <c r="H423" s="67">
        <f>IF(base!F423&lt;&gt;"",VLOOKUP(F423,de_para!$A$1:$B$31,2,0)*base!G423,0)</f>
        <v/>
      </c>
      <c r="I423" s="38" t="n"/>
      <c r="J423" s="29" t="n"/>
      <c r="K423" s="67">
        <f>IF(base!I423&lt;&gt;"",VLOOKUP(I423,de_para!$A$1:$B$31,2,0)*base!J423,0)</f>
        <v/>
      </c>
      <c r="L423" s="38" t="n"/>
      <c r="M423" s="29" t="n"/>
      <c r="N423" s="67">
        <f>IF(base!L423&lt;&gt;"",VLOOKUP(L423,de_para!$A$1:$B$31,2,0)*base!M423,0)</f>
        <v/>
      </c>
      <c r="O423" s="38" t="n"/>
      <c r="P423" s="29" t="n"/>
      <c r="Q423" s="67">
        <f>IF(base!O423&lt;&gt;"",VLOOKUP(O423,de_para!$A$1:$B$31,2,0)*base!P423,0)</f>
        <v/>
      </c>
      <c r="R423" s="38" t="n"/>
      <c r="S423" s="29" t="n"/>
      <c r="T423" s="67">
        <f>IF(base!R423&lt;&gt;"",VLOOKUP(R423,de_para!$A$1:$B$31,2,0)*base!S423,0)</f>
        <v/>
      </c>
      <c r="U423" s="68">
        <f>H423+K423+N423+Q423+T423</f>
        <v/>
      </c>
    </row>
    <row r="424">
      <c r="A424" s="29" t="n"/>
      <c r="B424" s="29" t="n"/>
      <c r="C424" s="29" t="n"/>
      <c r="D424" s="29" t="n"/>
      <c r="E424" s="29" t="n"/>
      <c r="F424" s="29" t="n"/>
      <c r="G424" s="29" t="n"/>
      <c r="H424" s="67">
        <f>IF(base!F424&lt;&gt;"",VLOOKUP(F424,de_para!$A$1:$B$31,2,0)*base!G424,0)</f>
        <v/>
      </c>
      <c r="I424" s="38" t="n"/>
      <c r="J424" s="29" t="n"/>
      <c r="K424" s="67">
        <f>IF(base!I424&lt;&gt;"",VLOOKUP(I424,de_para!$A$1:$B$31,2,0)*base!J424,0)</f>
        <v/>
      </c>
      <c r="L424" s="38" t="n"/>
      <c r="M424" s="29" t="n"/>
      <c r="N424" s="67">
        <f>IF(base!L424&lt;&gt;"",VLOOKUP(L424,de_para!$A$1:$B$31,2,0)*base!M424,0)</f>
        <v/>
      </c>
      <c r="O424" s="38" t="n"/>
      <c r="P424" s="29" t="n"/>
      <c r="Q424" s="67">
        <f>IF(base!O424&lt;&gt;"",VLOOKUP(O424,de_para!$A$1:$B$31,2,0)*base!P424,0)</f>
        <v/>
      </c>
      <c r="R424" s="38" t="n"/>
      <c r="S424" s="29" t="n"/>
      <c r="T424" s="67">
        <f>IF(base!R424&lt;&gt;"",VLOOKUP(R424,de_para!$A$1:$B$31,2,0)*base!S424,0)</f>
        <v/>
      </c>
      <c r="U424" s="68">
        <f>H424+K424+N424+Q424+T424</f>
        <v/>
      </c>
    </row>
    <row r="425">
      <c r="A425" s="29" t="n"/>
      <c r="B425" s="29" t="n"/>
      <c r="C425" s="29" t="n"/>
      <c r="D425" s="29" t="n"/>
      <c r="E425" s="29" t="n"/>
      <c r="F425" s="29" t="n"/>
      <c r="G425" s="29" t="n"/>
      <c r="H425" s="67">
        <f>IF(base!F425&lt;&gt;"",VLOOKUP(F425,de_para!$A$1:$B$31,2,0)*base!G425,0)</f>
        <v/>
      </c>
      <c r="I425" s="38" t="n"/>
      <c r="J425" s="29" t="n"/>
      <c r="K425" s="67">
        <f>IF(base!I425&lt;&gt;"",VLOOKUP(I425,de_para!$A$1:$B$31,2,0)*base!J425,0)</f>
        <v/>
      </c>
      <c r="L425" s="38" t="n"/>
      <c r="M425" s="29" t="n"/>
      <c r="N425" s="67">
        <f>IF(base!L425&lt;&gt;"",VLOOKUP(L425,de_para!$A$1:$B$31,2,0)*base!M425,0)</f>
        <v/>
      </c>
      <c r="O425" s="38" t="n"/>
      <c r="P425" s="29" t="n"/>
      <c r="Q425" s="67">
        <f>IF(base!O425&lt;&gt;"",VLOOKUP(O425,de_para!$A$1:$B$31,2,0)*base!P425,0)</f>
        <v/>
      </c>
      <c r="R425" s="38" t="n"/>
      <c r="S425" s="29" t="n"/>
      <c r="T425" s="67">
        <f>IF(base!R425&lt;&gt;"",VLOOKUP(R425,de_para!$A$1:$B$31,2,0)*base!S425,0)</f>
        <v/>
      </c>
      <c r="U425" s="68">
        <f>H425+K425+N425+Q425+T425</f>
        <v/>
      </c>
    </row>
    <row r="426">
      <c r="A426" s="29" t="n"/>
      <c r="B426" s="29" t="n"/>
      <c r="C426" s="29" t="n"/>
      <c r="D426" s="29" t="n"/>
      <c r="E426" s="29" t="n"/>
      <c r="F426" s="29" t="n"/>
      <c r="G426" s="29" t="n"/>
      <c r="H426" s="67">
        <f>IF(base!F426&lt;&gt;"",VLOOKUP(F426,de_para!$A$1:$B$31,2,0)*base!G426,0)</f>
        <v/>
      </c>
      <c r="I426" s="38" t="n"/>
      <c r="J426" s="29" t="n"/>
      <c r="K426" s="67">
        <f>IF(base!I426&lt;&gt;"",VLOOKUP(I426,de_para!$A$1:$B$31,2,0)*base!J426,0)</f>
        <v/>
      </c>
      <c r="L426" s="38" t="n"/>
      <c r="M426" s="29" t="n"/>
      <c r="N426" s="67">
        <f>IF(base!L426&lt;&gt;"",VLOOKUP(L426,de_para!$A$1:$B$31,2,0)*base!M426,0)</f>
        <v/>
      </c>
      <c r="O426" s="38" t="n"/>
      <c r="P426" s="29" t="n"/>
      <c r="Q426" s="67">
        <f>IF(base!O426&lt;&gt;"",VLOOKUP(O426,de_para!$A$1:$B$31,2,0)*base!P426,0)</f>
        <v/>
      </c>
      <c r="R426" s="38" t="n"/>
      <c r="S426" s="29" t="n"/>
      <c r="T426" s="67">
        <f>IF(base!R426&lt;&gt;"",VLOOKUP(R426,de_para!$A$1:$B$31,2,0)*base!S426,0)</f>
        <v/>
      </c>
      <c r="U426" s="68">
        <f>H426+K426+N426+Q426+T426</f>
        <v/>
      </c>
    </row>
    <row r="427">
      <c r="A427" s="29" t="n"/>
      <c r="B427" s="29" t="n"/>
      <c r="C427" s="29" t="n"/>
      <c r="D427" s="29" t="n"/>
      <c r="E427" s="29" t="n"/>
      <c r="F427" s="29" t="n"/>
      <c r="G427" s="29" t="n"/>
      <c r="H427" s="67">
        <f>IF(base!F427&lt;&gt;"",VLOOKUP(F427,de_para!$A$1:$B$31,2,0)*base!G427,0)</f>
        <v/>
      </c>
      <c r="I427" s="38" t="n"/>
      <c r="J427" s="29" t="n"/>
      <c r="K427" s="67">
        <f>IF(base!I427&lt;&gt;"",VLOOKUP(I427,de_para!$A$1:$B$31,2,0)*base!J427,0)</f>
        <v/>
      </c>
      <c r="L427" s="38" t="n"/>
      <c r="M427" s="29" t="n"/>
      <c r="N427" s="67">
        <f>IF(base!L427&lt;&gt;"",VLOOKUP(L427,de_para!$A$1:$B$31,2,0)*base!M427,0)</f>
        <v/>
      </c>
      <c r="O427" s="38" t="n"/>
      <c r="P427" s="29" t="n"/>
      <c r="Q427" s="67">
        <f>IF(base!O427&lt;&gt;"",VLOOKUP(O427,de_para!$A$1:$B$31,2,0)*base!P427,0)</f>
        <v/>
      </c>
      <c r="R427" s="38" t="n"/>
      <c r="S427" s="29" t="n"/>
      <c r="T427" s="67">
        <f>IF(base!R427&lt;&gt;"",VLOOKUP(R427,de_para!$A$1:$B$31,2,0)*base!S427,0)</f>
        <v/>
      </c>
      <c r="U427" s="68">
        <f>H427+K427+N427+Q427+T427</f>
        <v/>
      </c>
    </row>
    <row r="428">
      <c r="A428" s="29" t="n"/>
      <c r="B428" s="29" t="n"/>
      <c r="C428" s="29" t="n"/>
      <c r="D428" s="29" t="n"/>
      <c r="E428" s="29" t="n"/>
      <c r="F428" s="29" t="n"/>
      <c r="G428" s="29" t="n"/>
      <c r="H428" s="67">
        <f>IF(base!F428&lt;&gt;"",VLOOKUP(F428,de_para!$A$1:$B$31,2,0)*base!G428,0)</f>
        <v/>
      </c>
      <c r="I428" s="38" t="n"/>
      <c r="J428" s="29" t="n"/>
      <c r="K428" s="67">
        <f>IF(base!I428&lt;&gt;"",VLOOKUP(I428,de_para!$A$1:$B$31,2,0)*base!J428,0)</f>
        <v/>
      </c>
      <c r="L428" s="38" t="n"/>
      <c r="M428" s="29" t="n"/>
      <c r="N428" s="67">
        <f>IF(base!L428&lt;&gt;"",VLOOKUP(L428,de_para!$A$1:$B$31,2,0)*base!M428,0)</f>
        <v/>
      </c>
      <c r="O428" s="38" t="n"/>
      <c r="P428" s="29" t="n"/>
      <c r="Q428" s="67">
        <f>IF(base!O428&lt;&gt;"",VLOOKUP(O428,de_para!$A$1:$B$31,2,0)*base!P428,0)</f>
        <v/>
      </c>
      <c r="R428" s="38" t="n"/>
      <c r="S428" s="29" t="n"/>
      <c r="T428" s="67">
        <f>IF(base!R428&lt;&gt;"",VLOOKUP(R428,de_para!$A$1:$B$31,2,0)*base!S428,0)</f>
        <v/>
      </c>
      <c r="U428" s="68">
        <f>H428+K428+N428+Q428+T428</f>
        <v/>
      </c>
    </row>
    <row r="429">
      <c r="A429" s="29" t="n"/>
      <c r="B429" s="29" t="n"/>
      <c r="C429" s="29" t="n"/>
      <c r="D429" s="29" t="n"/>
      <c r="E429" s="29" t="n"/>
      <c r="F429" s="29" t="n"/>
      <c r="G429" s="29" t="n"/>
      <c r="H429" s="67">
        <f>IF(base!F429&lt;&gt;"",VLOOKUP(F429,de_para!$A$1:$B$31,2,0)*base!G429,0)</f>
        <v/>
      </c>
      <c r="I429" s="38" t="n"/>
      <c r="J429" s="29" t="n"/>
      <c r="K429" s="67">
        <f>IF(base!I429&lt;&gt;"",VLOOKUP(I429,de_para!$A$1:$B$31,2,0)*base!J429,0)</f>
        <v/>
      </c>
      <c r="L429" s="38" t="n"/>
      <c r="M429" s="29" t="n"/>
      <c r="N429" s="67">
        <f>IF(base!L429&lt;&gt;"",VLOOKUP(L429,de_para!$A$1:$B$31,2,0)*base!M429,0)</f>
        <v/>
      </c>
      <c r="O429" s="38" t="n"/>
      <c r="P429" s="29" t="n"/>
      <c r="Q429" s="67">
        <f>IF(base!O429&lt;&gt;"",VLOOKUP(O429,de_para!$A$1:$B$31,2,0)*base!P429,0)</f>
        <v/>
      </c>
      <c r="R429" s="38" t="n"/>
      <c r="S429" s="29" t="n"/>
      <c r="T429" s="67">
        <f>IF(base!R429&lt;&gt;"",VLOOKUP(R429,de_para!$A$1:$B$31,2,0)*base!S429,0)</f>
        <v/>
      </c>
      <c r="U429" s="68">
        <f>H429+K429+N429+Q429+T429</f>
        <v/>
      </c>
    </row>
    <row r="430">
      <c r="A430" s="29" t="n"/>
      <c r="B430" s="29" t="n"/>
      <c r="C430" s="29" t="n"/>
      <c r="D430" s="29" t="n"/>
      <c r="E430" s="29" t="n"/>
      <c r="F430" s="29" t="n"/>
      <c r="G430" s="29" t="n"/>
      <c r="H430" s="67">
        <f>IF(base!F430&lt;&gt;"",VLOOKUP(F430,de_para!$A$1:$B$31,2,0)*base!G430,0)</f>
        <v/>
      </c>
      <c r="I430" s="38" t="n"/>
      <c r="J430" s="29" t="n"/>
      <c r="K430" s="67">
        <f>IF(base!I430&lt;&gt;"",VLOOKUP(I430,de_para!$A$1:$B$31,2,0)*base!J430,0)</f>
        <v/>
      </c>
      <c r="L430" s="38" t="n"/>
      <c r="M430" s="29" t="n"/>
      <c r="N430" s="67">
        <f>IF(base!L430&lt;&gt;"",VLOOKUP(L430,de_para!$A$1:$B$31,2,0)*base!M430,0)</f>
        <v/>
      </c>
      <c r="O430" s="38" t="n"/>
      <c r="P430" s="29" t="n"/>
      <c r="Q430" s="67">
        <f>IF(base!O430&lt;&gt;"",VLOOKUP(O430,de_para!$A$1:$B$31,2,0)*base!P430,0)</f>
        <v/>
      </c>
      <c r="R430" s="38" t="n"/>
      <c r="S430" s="29" t="n"/>
      <c r="T430" s="67">
        <f>IF(base!R430&lt;&gt;"",VLOOKUP(R430,de_para!$A$1:$B$31,2,0)*base!S430,0)</f>
        <v/>
      </c>
      <c r="U430" s="68">
        <f>H430+K430+N430+Q430+T430</f>
        <v/>
      </c>
    </row>
    <row r="431">
      <c r="A431" s="29" t="n"/>
      <c r="B431" s="29" t="n"/>
      <c r="C431" s="29" t="n"/>
      <c r="D431" s="29" t="n"/>
      <c r="E431" s="29" t="n"/>
      <c r="F431" s="29" t="n"/>
      <c r="G431" s="29" t="n"/>
      <c r="H431" s="67">
        <f>IF(base!F431&lt;&gt;"",VLOOKUP(F431,de_para!$A$1:$B$31,2,0)*base!G431,0)</f>
        <v/>
      </c>
      <c r="I431" s="38" t="n"/>
      <c r="J431" s="29" t="n"/>
      <c r="K431" s="67">
        <f>IF(base!I431&lt;&gt;"",VLOOKUP(I431,de_para!$A$1:$B$31,2,0)*base!J431,0)</f>
        <v/>
      </c>
      <c r="L431" s="38" t="n"/>
      <c r="M431" s="29" t="n"/>
      <c r="N431" s="67">
        <f>IF(base!L431&lt;&gt;"",VLOOKUP(L431,de_para!$A$1:$B$31,2,0)*base!M431,0)</f>
        <v/>
      </c>
      <c r="O431" s="38" t="n"/>
      <c r="P431" s="29" t="n"/>
      <c r="Q431" s="67">
        <f>IF(base!O431&lt;&gt;"",VLOOKUP(O431,de_para!$A$1:$B$31,2,0)*base!P431,0)</f>
        <v/>
      </c>
      <c r="R431" s="38" t="n"/>
      <c r="S431" s="29" t="n"/>
      <c r="T431" s="67">
        <f>IF(base!R431&lt;&gt;"",VLOOKUP(R431,de_para!$A$1:$B$31,2,0)*base!S431,0)</f>
        <v/>
      </c>
      <c r="U431" s="68">
        <f>H431+K431+N431+Q431+T431</f>
        <v/>
      </c>
    </row>
    <row r="432">
      <c r="A432" s="29" t="n"/>
      <c r="B432" s="29" t="n"/>
      <c r="C432" s="29" t="n"/>
      <c r="D432" s="29" t="n"/>
      <c r="E432" s="29" t="n"/>
      <c r="F432" s="29" t="n"/>
      <c r="G432" s="29" t="n"/>
      <c r="H432" s="67">
        <f>IF(base!F432&lt;&gt;"",VLOOKUP(F432,de_para!$A$1:$B$31,2,0)*base!G432,0)</f>
        <v/>
      </c>
      <c r="I432" s="38" t="n"/>
      <c r="J432" s="29" t="n"/>
      <c r="K432" s="67">
        <f>IF(base!I432&lt;&gt;"",VLOOKUP(I432,de_para!$A$1:$B$31,2,0)*base!J432,0)</f>
        <v/>
      </c>
      <c r="L432" s="38" t="n"/>
      <c r="M432" s="29" t="n"/>
      <c r="N432" s="67">
        <f>IF(base!L432&lt;&gt;"",VLOOKUP(L432,de_para!$A$1:$B$31,2,0)*base!M432,0)</f>
        <v/>
      </c>
      <c r="O432" s="38" t="n"/>
      <c r="P432" s="29" t="n"/>
      <c r="Q432" s="67">
        <f>IF(base!O432&lt;&gt;"",VLOOKUP(O432,de_para!$A$1:$B$31,2,0)*base!P432,0)</f>
        <v/>
      </c>
      <c r="R432" s="38" t="n"/>
      <c r="S432" s="29" t="n"/>
      <c r="T432" s="67">
        <f>IF(base!R432&lt;&gt;"",VLOOKUP(R432,de_para!$A$1:$B$31,2,0)*base!S432,0)</f>
        <v/>
      </c>
      <c r="U432" s="68">
        <f>H432+K432+N432+Q432+T432</f>
        <v/>
      </c>
    </row>
    <row r="433">
      <c r="A433" s="29" t="n"/>
      <c r="B433" s="29" t="n"/>
      <c r="C433" s="29" t="n"/>
      <c r="D433" s="29" t="n"/>
      <c r="E433" s="29" t="n"/>
      <c r="F433" s="29" t="n"/>
      <c r="G433" s="29" t="n"/>
      <c r="H433" s="67">
        <f>IF(base!F433&lt;&gt;"",VLOOKUP(F433,de_para!$A$1:$B$31,2,0)*base!G433,0)</f>
        <v/>
      </c>
      <c r="I433" s="38" t="n"/>
      <c r="J433" s="29" t="n"/>
      <c r="K433" s="67">
        <f>IF(base!I433&lt;&gt;"",VLOOKUP(I433,de_para!$A$1:$B$31,2,0)*base!J433,0)</f>
        <v/>
      </c>
      <c r="L433" s="38" t="n"/>
      <c r="M433" s="29" t="n"/>
      <c r="N433" s="67">
        <f>IF(base!L433&lt;&gt;"",VLOOKUP(L433,de_para!$A$1:$B$31,2,0)*base!M433,0)</f>
        <v/>
      </c>
      <c r="O433" s="38" t="n"/>
      <c r="P433" s="29" t="n"/>
      <c r="Q433" s="67">
        <f>IF(base!O433&lt;&gt;"",VLOOKUP(O433,de_para!$A$1:$B$31,2,0)*base!P433,0)</f>
        <v/>
      </c>
      <c r="R433" s="38" t="n"/>
      <c r="S433" s="29" t="n"/>
      <c r="T433" s="67">
        <f>IF(base!R433&lt;&gt;"",VLOOKUP(R433,de_para!$A$1:$B$31,2,0)*base!S433,0)</f>
        <v/>
      </c>
      <c r="U433" s="68">
        <f>H433+K433+N433+Q433+T433</f>
        <v/>
      </c>
    </row>
    <row r="434">
      <c r="A434" s="29" t="n"/>
      <c r="B434" s="29" t="n"/>
      <c r="C434" s="29" t="n"/>
      <c r="D434" s="29" t="n"/>
      <c r="E434" s="29" t="n"/>
      <c r="F434" s="29" t="n"/>
      <c r="G434" s="29" t="n"/>
      <c r="H434" s="67">
        <f>IF(base!F434&lt;&gt;"",VLOOKUP(F434,de_para!$A$1:$B$31,2,0)*base!G434,0)</f>
        <v/>
      </c>
      <c r="I434" s="38" t="n"/>
      <c r="J434" s="29" t="n"/>
      <c r="K434" s="67">
        <f>IF(base!I434&lt;&gt;"",VLOOKUP(I434,de_para!$A$1:$B$31,2,0)*base!J434,0)</f>
        <v/>
      </c>
      <c r="L434" s="38" t="n"/>
      <c r="M434" s="29" t="n"/>
      <c r="N434" s="67">
        <f>IF(base!L434&lt;&gt;"",VLOOKUP(L434,de_para!$A$1:$B$31,2,0)*base!M434,0)</f>
        <v/>
      </c>
      <c r="O434" s="38" t="n"/>
      <c r="P434" s="29" t="n"/>
      <c r="Q434" s="67">
        <f>IF(base!O434&lt;&gt;"",VLOOKUP(O434,de_para!$A$1:$B$31,2,0)*base!P434,0)</f>
        <v/>
      </c>
      <c r="R434" s="38" t="n"/>
      <c r="S434" s="29" t="n"/>
      <c r="T434" s="67">
        <f>IF(base!R434&lt;&gt;"",VLOOKUP(R434,de_para!$A$1:$B$31,2,0)*base!S434,0)</f>
        <v/>
      </c>
      <c r="U434" s="68">
        <f>H434+K434+N434+Q434+T434</f>
        <v/>
      </c>
    </row>
    <row r="435">
      <c r="A435" s="29" t="n"/>
      <c r="B435" s="29" t="n"/>
      <c r="C435" s="29" t="n"/>
      <c r="D435" s="29" t="n"/>
      <c r="E435" s="29" t="n"/>
      <c r="F435" s="29" t="n"/>
      <c r="G435" s="29" t="n"/>
      <c r="H435" s="67">
        <f>IF(base!F435&lt;&gt;"",VLOOKUP(F435,de_para!$A$1:$B$31,2,0)*base!G435,0)</f>
        <v/>
      </c>
      <c r="I435" s="38" t="n"/>
      <c r="J435" s="29" t="n"/>
      <c r="K435" s="67">
        <f>IF(base!I435&lt;&gt;"",VLOOKUP(I435,de_para!$A$1:$B$31,2,0)*base!J435,0)</f>
        <v/>
      </c>
      <c r="L435" s="38" t="n"/>
      <c r="M435" s="29" t="n"/>
      <c r="N435" s="67">
        <f>IF(base!L435&lt;&gt;"",VLOOKUP(L435,de_para!$A$1:$B$31,2,0)*base!M435,0)</f>
        <v/>
      </c>
      <c r="O435" s="38" t="n"/>
      <c r="P435" s="29" t="n"/>
      <c r="Q435" s="67">
        <f>IF(base!O435&lt;&gt;"",VLOOKUP(O435,de_para!$A$1:$B$31,2,0)*base!P435,0)</f>
        <v/>
      </c>
      <c r="R435" s="38" t="n"/>
      <c r="S435" s="29" t="n"/>
      <c r="T435" s="67">
        <f>IF(base!R435&lt;&gt;"",VLOOKUP(R435,de_para!$A$1:$B$31,2,0)*base!S435,0)</f>
        <v/>
      </c>
      <c r="U435" s="68">
        <f>H435+K435+N435+Q435+T435</f>
        <v/>
      </c>
    </row>
    <row r="436">
      <c r="A436" s="29" t="n"/>
      <c r="B436" s="29" t="n"/>
      <c r="C436" s="29" t="n"/>
      <c r="D436" s="29" t="n"/>
      <c r="E436" s="29" t="n"/>
      <c r="F436" s="29" t="n"/>
      <c r="G436" s="29" t="n"/>
      <c r="H436" s="67">
        <f>IF(base!F436&lt;&gt;"",VLOOKUP(F436,de_para!$A$1:$B$31,2,0)*base!G436,0)</f>
        <v/>
      </c>
      <c r="I436" s="38" t="n"/>
      <c r="J436" s="29" t="n"/>
      <c r="K436" s="67">
        <f>IF(base!I436&lt;&gt;"",VLOOKUP(I436,de_para!$A$1:$B$31,2,0)*base!J436,0)</f>
        <v/>
      </c>
      <c r="L436" s="38" t="n"/>
      <c r="M436" s="29" t="n"/>
      <c r="N436" s="67">
        <f>IF(base!L436&lt;&gt;"",VLOOKUP(L436,de_para!$A$1:$B$31,2,0)*base!M436,0)</f>
        <v/>
      </c>
      <c r="O436" s="38" t="n"/>
      <c r="P436" s="29" t="n"/>
      <c r="Q436" s="67">
        <f>IF(base!O436&lt;&gt;"",VLOOKUP(O436,de_para!$A$1:$B$31,2,0)*base!P436,0)</f>
        <v/>
      </c>
      <c r="R436" s="38" t="n"/>
      <c r="S436" s="29" t="n"/>
      <c r="T436" s="67">
        <f>IF(base!R436&lt;&gt;"",VLOOKUP(R436,de_para!$A$1:$B$31,2,0)*base!S436,0)</f>
        <v/>
      </c>
      <c r="U436" s="68">
        <f>H436+K436+N436+Q436+T436</f>
        <v/>
      </c>
    </row>
    <row r="437">
      <c r="A437" s="29" t="n"/>
      <c r="B437" s="29" t="n"/>
      <c r="C437" s="29" t="n"/>
      <c r="D437" s="29" t="n"/>
      <c r="E437" s="29" t="n"/>
      <c r="F437" s="29" t="n"/>
      <c r="G437" s="29" t="n"/>
      <c r="H437" s="67">
        <f>IF(base!F437&lt;&gt;"",VLOOKUP(F437,de_para!$A$1:$B$31,2,0)*base!G437,0)</f>
        <v/>
      </c>
      <c r="I437" s="38" t="n"/>
      <c r="J437" s="29" t="n"/>
      <c r="K437" s="67">
        <f>IF(base!I437&lt;&gt;"",VLOOKUP(I437,de_para!$A$1:$B$31,2,0)*base!J437,0)</f>
        <v/>
      </c>
      <c r="L437" s="38" t="n"/>
      <c r="M437" s="29" t="n"/>
      <c r="N437" s="67">
        <f>IF(base!L437&lt;&gt;"",VLOOKUP(L437,de_para!$A$1:$B$31,2,0)*base!M437,0)</f>
        <v/>
      </c>
      <c r="O437" s="38" t="n"/>
      <c r="P437" s="29" t="n"/>
      <c r="Q437" s="67">
        <f>IF(base!O437&lt;&gt;"",VLOOKUP(O437,de_para!$A$1:$B$31,2,0)*base!P437,0)</f>
        <v/>
      </c>
      <c r="R437" s="38" t="n"/>
      <c r="S437" s="29" t="n"/>
      <c r="T437" s="67">
        <f>IF(base!R437&lt;&gt;"",VLOOKUP(R437,de_para!$A$1:$B$31,2,0)*base!S437,0)</f>
        <v/>
      </c>
      <c r="U437" s="68">
        <f>H437+K437+N437+Q437+T437</f>
        <v/>
      </c>
    </row>
    <row r="438">
      <c r="A438" s="29" t="n"/>
      <c r="B438" s="29" t="n"/>
      <c r="C438" s="29" t="n"/>
      <c r="D438" s="29" t="n"/>
      <c r="E438" s="29" t="n"/>
      <c r="F438" s="29" t="n"/>
      <c r="G438" s="29" t="n"/>
      <c r="H438" s="67">
        <f>IF(base!F438&lt;&gt;"",VLOOKUP(F438,de_para!$A$1:$B$31,2,0)*base!G438,0)</f>
        <v/>
      </c>
      <c r="I438" s="38" t="n"/>
      <c r="J438" s="29" t="n"/>
      <c r="K438" s="67">
        <f>IF(base!I438&lt;&gt;"",VLOOKUP(I438,de_para!$A$1:$B$31,2,0)*base!J438,0)</f>
        <v/>
      </c>
      <c r="L438" s="38" t="n"/>
      <c r="M438" s="29" t="n"/>
      <c r="N438" s="67">
        <f>IF(base!L438&lt;&gt;"",VLOOKUP(L438,de_para!$A$1:$B$31,2,0)*base!M438,0)</f>
        <v/>
      </c>
      <c r="O438" s="38" t="n"/>
      <c r="P438" s="29" t="n"/>
      <c r="Q438" s="67">
        <f>IF(base!O438&lt;&gt;"",VLOOKUP(O438,de_para!$A$1:$B$31,2,0)*base!P438,0)</f>
        <v/>
      </c>
      <c r="R438" s="38" t="n"/>
      <c r="S438" s="29" t="n"/>
      <c r="T438" s="67">
        <f>IF(base!R438&lt;&gt;"",VLOOKUP(R438,de_para!$A$1:$B$31,2,0)*base!S438,0)</f>
        <v/>
      </c>
      <c r="U438" s="68">
        <f>H438+K438+N438+Q438+T438</f>
        <v/>
      </c>
    </row>
    <row r="439">
      <c r="A439" s="29" t="n"/>
      <c r="B439" s="29" t="n"/>
      <c r="C439" s="29" t="n"/>
      <c r="D439" s="29" t="n"/>
      <c r="E439" s="29" t="n"/>
      <c r="F439" s="29" t="n"/>
      <c r="G439" s="29" t="n"/>
      <c r="H439" s="67">
        <f>IF(base!F439&lt;&gt;"",VLOOKUP(F439,de_para!$A$1:$B$31,2,0)*base!G439,0)</f>
        <v/>
      </c>
      <c r="I439" s="38" t="n"/>
      <c r="J439" s="29" t="n"/>
      <c r="K439" s="67">
        <f>IF(base!I439&lt;&gt;"",VLOOKUP(I439,de_para!$A$1:$B$31,2,0)*base!J439,0)</f>
        <v/>
      </c>
      <c r="L439" s="38" t="n"/>
      <c r="M439" s="29" t="n"/>
      <c r="N439" s="67">
        <f>IF(base!L439&lt;&gt;"",VLOOKUP(L439,de_para!$A$1:$B$31,2,0)*base!M439,0)</f>
        <v/>
      </c>
      <c r="O439" s="38" t="n"/>
      <c r="P439" s="29" t="n"/>
      <c r="Q439" s="67">
        <f>IF(base!O439&lt;&gt;"",VLOOKUP(O439,de_para!$A$1:$B$31,2,0)*base!P439,0)</f>
        <v/>
      </c>
      <c r="R439" s="38" t="n"/>
      <c r="S439" s="29" t="n"/>
      <c r="T439" s="67">
        <f>IF(base!R439&lt;&gt;"",VLOOKUP(R439,de_para!$A$1:$B$31,2,0)*base!S439,0)</f>
        <v/>
      </c>
      <c r="U439" s="68">
        <f>H439+K439+N439+Q439+T439</f>
        <v/>
      </c>
    </row>
    <row r="440">
      <c r="A440" s="29" t="n"/>
      <c r="B440" s="29" t="n"/>
      <c r="C440" s="29" t="n"/>
      <c r="D440" s="29" t="n"/>
      <c r="E440" s="29" t="n"/>
      <c r="F440" s="29" t="n"/>
      <c r="G440" s="29" t="n"/>
      <c r="H440" s="67">
        <f>IF(base!F440&lt;&gt;"",VLOOKUP(F440,de_para!$A$1:$B$31,2,0)*base!G440,0)</f>
        <v/>
      </c>
      <c r="I440" s="38" t="n"/>
      <c r="J440" s="29" t="n"/>
      <c r="K440" s="67">
        <f>IF(base!I440&lt;&gt;"",VLOOKUP(I440,de_para!$A$1:$B$31,2,0)*base!J440,0)</f>
        <v/>
      </c>
      <c r="L440" s="38" t="n"/>
      <c r="M440" s="29" t="n"/>
      <c r="N440" s="67">
        <f>IF(base!L440&lt;&gt;"",VLOOKUP(L440,de_para!$A$1:$B$31,2,0)*base!M440,0)</f>
        <v/>
      </c>
      <c r="O440" s="38" t="n"/>
      <c r="P440" s="29" t="n"/>
      <c r="Q440" s="67">
        <f>IF(base!O440&lt;&gt;"",VLOOKUP(O440,de_para!$A$1:$B$31,2,0)*base!P440,0)</f>
        <v/>
      </c>
      <c r="R440" s="38" t="n"/>
      <c r="S440" s="29" t="n"/>
      <c r="T440" s="67">
        <f>IF(base!R440&lt;&gt;"",VLOOKUP(R440,de_para!$A$1:$B$31,2,0)*base!S440,0)</f>
        <v/>
      </c>
      <c r="U440" s="68">
        <f>H440+K440+N440+Q440+T440</f>
        <v/>
      </c>
    </row>
    <row r="441">
      <c r="A441" s="29" t="n"/>
      <c r="B441" s="29" t="n"/>
      <c r="C441" s="29" t="n"/>
      <c r="D441" s="29" t="n"/>
      <c r="E441" s="29" t="n"/>
      <c r="F441" s="29" t="n"/>
      <c r="G441" s="29" t="n"/>
      <c r="H441" s="67">
        <f>IF(base!F441&lt;&gt;"",VLOOKUP(F441,de_para!$A$1:$B$31,2,0)*base!G441,0)</f>
        <v/>
      </c>
      <c r="I441" s="38" t="n"/>
      <c r="J441" s="29" t="n"/>
      <c r="K441" s="67">
        <f>IF(base!I441&lt;&gt;"",VLOOKUP(I441,de_para!$A$1:$B$31,2,0)*base!J441,0)</f>
        <v/>
      </c>
      <c r="L441" s="38" t="n"/>
      <c r="M441" s="29" t="n"/>
      <c r="N441" s="67">
        <f>IF(base!L441&lt;&gt;"",VLOOKUP(L441,de_para!$A$1:$B$31,2,0)*base!M441,0)</f>
        <v/>
      </c>
      <c r="O441" s="38" t="n"/>
      <c r="P441" s="29" t="n"/>
      <c r="Q441" s="67">
        <f>IF(base!O441&lt;&gt;"",VLOOKUP(O441,de_para!$A$1:$B$31,2,0)*base!P441,0)</f>
        <v/>
      </c>
      <c r="R441" s="38" t="n"/>
      <c r="S441" s="29" t="n"/>
      <c r="T441" s="67">
        <f>IF(base!R441&lt;&gt;"",VLOOKUP(R441,de_para!$A$1:$B$31,2,0)*base!S441,0)</f>
        <v/>
      </c>
      <c r="U441" s="68">
        <f>H441+K441+N441+Q441+T441</f>
        <v/>
      </c>
    </row>
    <row r="442">
      <c r="A442" s="29" t="n"/>
      <c r="B442" s="29" t="n"/>
      <c r="C442" s="29" t="n"/>
      <c r="D442" s="29" t="n"/>
      <c r="E442" s="29" t="n"/>
      <c r="F442" s="29" t="n"/>
      <c r="G442" s="29" t="n"/>
      <c r="H442" s="67">
        <f>IF(base!F442&lt;&gt;"",VLOOKUP(F442,de_para!$A$1:$B$31,2,0)*base!G442,0)</f>
        <v/>
      </c>
      <c r="I442" s="38" t="n"/>
      <c r="J442" s="29" t="n"/>
      <c r="K442" s="67">
        <f>IF(base!I442&lt;&gt;"",VLOOKUP(I442,de_para!$A$1:$B$31,2,0)*base!J442,0)</f>
        <v/>
      </c>
      <c r="L442" s="38" t="n"/>
      <c r="M442" s="29" t="n"/>
      <c r="N442" s="67">
        <f>IF(base!L442&lt;&gt;"",VLOOKUP(L442,de_para!$A$1:$B$31,2,0)*base!M442,0)</f>
        <v/>
      </c>
      <c r="O442" s="38" t="n"/>
      <c r="P442" s="29" t="n"/>
      <c r="Q442" s="67">
        <f>IF(base!O442&lt;&gt;"",VLOOKUP(O442,de_para!$A$1:$B$31,2,0)*base!P442,0)</f>
        <v/>
      </c>
      <c r="R442" s="38" t="n"/>
      <c r="S442" s="29" t="n"/>
      <c r="T442" s="67">
        <f>IF(base!R442&lt;&gt;"",VLOOKUP(R442,de_para!$A$1:$B$31,2,0)*base!S442,0)</f>
        <v/>
      </c>
      <c r="U442" s="68">
        <f>H442+K442+N442+Q442+T442</f>
        <v/>
      </c>
    </row>
    <row r="443">
      <c r="A443" s="29" t="n"/>
      <c r="B443" s="29" t="n"/>
      <c r="C443" s="29" t="n"/>
      <c r="D443" s="29" t="n"/>
      <c r="E443" s="29" t="n"/>
      <c r="F443" s="29" t="n"/>
      <c r="G443" s="29" t="n"/>
      <c r="H443" s="67">
        <f>IF(base!F443&lt;&gt;"",VLOOKUP(F443,de_para!$A$1:$B$31,2,0)*base!G443,0)</f>
        <v/>
      </c>
      <c r="I443" s="38" t="n"/>
      <c r="J443" s="29" t="n"/>
      <c r="K443" s="67">
        <f>IF(base!I443&lt;&gt;"",VLOOKUP(I443,de_para!$A$1:$B$31,2,0)*base!J443,0)</f>
        <v/>
      </c>
      <c r="L443" s="38" t="n"/>
      <c r="M443" s="29" t="n"/>
      <c r="N443" s="67">
        <f>IF(base!L443&lt;&gt;"",VLOOKUP(L443,de_para!$A$1:$B$31,2,0)*base!M443,0)</f>
        <v/>
      </c>
      <c r="O443" s="38" t="n"/>
      <c r="P443" s="29" t="n"/>
      <c r="Q443" s="67">
        <f>IF(base!O443&lt;&gt;"",VLOOKUP(O443,de_para!$A$1:$B$31,2,0)*base!P443,0)</f>
        <v/>
      </c>
      <c r="R443" s="38" t="n"/>
      <c r="S443" s="29" t="n"/>
      <c r="T443" s="67">
        <f>IF(base!R443&lt;&gt;"",VLOOKUP(R443,de_para!$A$1:$B$31,2,0)*base!S443,0)</f>
        <v/>
      </c>
      <c r="U443" s="68">
        <f>H443+K443+N443+Q443+T443</f>
        <v/>
      </c>
    </row>
    <row r="444">
      <c r="A444" s="29" t="n"/>
      <c r="B444" s="29" t="n"/>
      <c r="C444" s="29" t="n"/>
      <c r="D444" s="29" t="n"/>
      <c r="E444" s="29" t="n"/>
      <c r="F444" s="29" t="n"/>
      <c r="G444" s="29" t="n"/>
      <c r="H444" s="67">
        <f>IF(base!F444&lt;&gt;"",VLOOKUP(F444,de_para!$A$1:$B$31,2,0)*base!G444,0)</f>
        <v/>
      </c>
      <c r="I444" s="38" t="n"/>
      <c r="J444" s="29" t="n"/>
      <c r="K444" s="67">
        <f>IF(base!I444&lt;&gt;"",VLOOKUP(I444,de_para!$A$1:$B$31,2,0)*base!J444,0)</f>
        <v/>
      </c>
      <c r="L444" s="38" t="n"/>
      <c r="M444" s="29" t="n"/>
      <c r="N444" s="67">
        <f>IF(base!L444&lt;&gt;"",VLOOKUP(L444,de_para!$A$1:$B$31,2,0)*base!M444,0)</f>
        <v/>
      </c>
      <c r="O444" s="38" t="n"/>
      <c r="P444" s="29" t="n"/>
      <c r="Q444" s="67">
        <f>IF(base!O444&lt;&gt;"",VLOOKUP(O444,de_para!$A$1:$B$31,2,0)*base!P444,0)</f>
        <v/>
      </c>
      <c r="R444" s="38" t="n"/>
      <c r="S444" s="29" t="n"/>
      <c r="T444" s="67">
        <f>IF(base!R444&lt;&gt;"",VLOOKUP(R444,de_para!$A$1:$B$31,2,0)*base!S444,0)</f>
        <v/>
      </c>
      <c r="U444" s="68">
        <f>H444+K444+N444+Q444+T444</f>
        <v/>
      </c>
    </row>
    <row r="445">
      <c r="A445" s="29" t="n"/>
      <c r="B445" s="29" t="n"/>
      <c r="C445" s="29" t="n"/>
      <c r="D445" s="29" t="n"/>
      <c r="E445" s="29" t="n"/>
      <c r="F445" s="29" t="n"/>
      <c r="G445" s="29" t="n"/>
      <c r="H445" s="67">
        <f>IF(base!F445&lt;&gt;"",VLOOKUP(F445,de_para!$A$1:$B$31,2,0)*base!G445,0)</f>
        <v/>
      </c>
      <c r="I445" s="38" t="n"/>
      <c r="J445" s="29" t="n"/>
      <c r="K445" s="67">
        <f>IF(base!I445&lt;&gt;"",VLOOKUP(I445,de_para!$A$1:$B$31,2,0)*base!J445,0)</f>
        <v/>
      </c>
      <c r="L445" s="38" t="n"/>
      <c r="M445" s="29" t="n"/>
      <c r="N445" s="67">
        <f>IF(base!L445&lt;&gt;"",VLOOKUP(L445,de_para!$A$1:$B$31,2,0)*base!M445,0)</f>
        <v/>
      </c>
      <c r="O445" s="38" t="n"/>
      <c r="P445" s="29" t="n"/>
      <c r="Q445" s="67">
        <f>IF(base!O445&lt;&gt;"",VLOOKUP(O445,de_para!$A$1:$B$31,2,0)*base!P445,0)</f>
        <v/>
      </c>
      <c r="R445" s="38" t="n"/>
      <c r="S445" s="29" t="n"/>
      <c r="T445" s="67">
        <f>IF(base!R445&lt;&gt;"",VLOOKUP(R445,de_para!$A$1:$B$31,2,0)*base!S445,0)</f>
        <v/>
      </c>
      <c r="U445" s="68">
        <f>H445+K445+N445+Q445+T445</f>
        <v/>
      </c>
    </row>
    <row r="446">
      <c r="A446" s="29" t="n"/>
      <c r="B446" s="29" t="n"/>
      <c r="C446" s="29" t="n"/>
      <c r="D446" s="29" t="n"/>
      <c r="E446" s="29" t="n"/>
      <c r="F446" s="29" t="n"/>
      <c r="G446" s="29" t="n"/>
      <c r="H446" s="67">
        <f>IF(base!F446&lt;&gt;"",VLOOKUP(F446,de_para!$A$1:$B$31,2,0)*base!G446,0)</f>
        <v/>
      </c>
      <c r="I446" s="38" t="n"/>
      <c r="J446" s="29" t="n"/>
      <c r="K446" s="67">
        <f>IF(base!I446&lt;&gt;"",VLOOKUP(I446,de_para!$A$1:$B$31,2,0)*base!J446,0)</f>
        <v/>
      </c>
      <c r="L446" s="38" t="n"/>
      <c r="M446" s="29" t="n"/>
      <c r="N446" s="67">
        <f>IF(base!L446&lt;&gt;"",VLOOKUP(L446,de_para!$A$1:$B$31,2,0)*base!M446,0)</f>
        <v/>
      </c>
      <c r="O446" s="38" t="n"/>
      <c r="P446" s="29" t="n"/>
      <c r="Q446" s="67">
        <f>IF(base!O446&lt;&gt;"",VLOOKUP(O446,de_para!$A$1:$B$31,2,0)*base!P446,0)</f>
        <v/>
      </c>
      <c r="R446" s="38" t="n"/>
      <c r="S446" s="29" t="n"/>
      <c r="T446" s="67">
        <f>IF(base!R446&lt;&gt;"",VLOOKUP(R446,de_para!$A$1:$B$31,2,0)*base!S446,0)</f>
        <v/>
      </c>
      <c r="U446" s="68">
        <f>H446+K446+N446+Q446+T446</f>
        <v/>
      </c>
    </row>
    <row r="447">
      <c r="A447" s="29" t="n"/>
      <c r="B447" s="29" t="n"/>
      <c r="C447" s="29" t="n"/>
      <c r="D447" s="29" t="n"/>
      <c r="E447" s="29" t="n"/>
      <c r="F447" s="29" t="n"/>
      <c r="G447" s="29" t="n"/>
      <c r="H447" s="67">
        <f>IF(base!F447&lt;&gt;"",VLOOKUP(F447,de_para!$A$1:$B$31,2,0)*base!G447,0)</f>
        <v/>
      </c>
      <c r="I447" s="38" t="n"/>
      <c r="J447" s="29" t="n"/>
      <c r="K447" s="67">
        <f>IF(base!I447&lt;&gt;"",VLOOKUP(I447,de_para!$A$1:$B$31,2,0)*base!J447,0)</f>
        <v/>
      </c>
      <c r="L447" s="38" t="n"/>
      <c r="M447" s="29" t="n"/>
      <c r="N447" s="67">
        <f>IF(base!L447&lt;&gt;"",VLOOKUP(L447,de_para!$A$1:$B$31,2,0)*base!M447,0)</f>
        <v/>
      </c>
      <c r="O447" s="38" t="n"/>
      <c r="P447" s="29" t="n"/>
      <c r="Q447" s="67">
        <f>IF(base!O447&lt;&gt;"",VLOOKUP(O447,de_para!$A$1:$B$31,2,0)*base!P447,0)</f>
        <v/>
      </c>
      <c r="R447" s="38" t="n"/>
      <c r="S447" s="29" t="n"/>
      <c r="T447" s="67">
        <f>IF(base!R447&lt;&gt;"",VLOOKUP(R447,de_para!$A$1:$B$31,2,0)*base!S447,0)</f>
        <v/>
      </c>
      <c r="U447" s="68">
        <f>H447+K447+N447+Q447+T447</f>
        <v/>
      </c>
    </row>
    <row r="448">
      <c r="A448" s="29" t="n"/>
      <c r="B448" s="29" t="n"/>
      <c r="C448" s="29" t="n"/>
      <c r="D448" s="29" t="n"/>
      <c r="E448" s="29" t="n"/>
      <c r="F448" s="29" t="n"/>
      <c r="G448" s="29" t="n"/>
      <c r="H448" s="67">
        <f>IF(base!F448&lt;&gt;"",VLOOKUP(F448,de_para!$A$1:$B$31,2,0)*base!G448,0)</f>
        <v/>
      </c>
      <c r="I448" s="38" t="n"/>
      <c r="J448" s="29" t="n"/>
      <c r="K448" s="67">
        <f>IF(base!I448&lt;&gt;"",VLOOKUP(I448,de_para!$A$1:$B$31,2,0)*base!J448,0)</f>
        <v/>
      </c>
      <c r="L448" s="38" t="n"/>
      <c r="M448" s="29" t="n"/>
      <c r="N448" s="67">
        <f>IF(base!L448&lt;&gt;"",VLOOKUP(L448,de_para!$A$1:$B$31,2,0)*base!M448,0)</f>
        <v/>
      </c>
      <c r="O448" s="38" t="n"/>
      <c r="P448" s="29" t="n"/>
      <c r="Q448" s="67">
        <f>IF(base!O448&lt;&gt;"",VLOOKUP(O448,de_para!$A$1:$B$31,2,0)*base!P448,0)</f>
        <v/>
      </c>
      <c r="R448" s="38" t="n"/>
      <c r="S448" s="29" t="n"/>
      <c r="T448" s="67">
        <f>IF(base!R448&lt;&gt;"",VLOOKUP(R448,de_para!$A$1:$B$31,2,0)*base!S448,0)</f>
        <v/>
      </c>
      <c r="U448" s="68">
        <f>H448+K448+N448+Q448+T448</f>
        <v/>
      </c>
    </row>
    <row r="449">
      <c r="A449" s="29" t="n"/>
      <c r="B449" s="29" t="n"/>
      <c r="C449" s="29" t="n"/>
      <c r="D449" s="29" t="n"/>
      <c r="E449" s="29" t="n"/>
      <c r="F449" s="29" t="n"/>
      <c r="G449" s="29" t="n"/>
      <c r="H449" s="67">
        <f>IF(base!F449&lt;&gt;"",VLOOKUP(F449,de_para!$A$1:$B$31,2,0)*base!G449,0)</f>
        <v/>
      </c>
      <c r="I449" s="38" t="n"/>
      <c r="J449" s="29" t="n"/>
      <c r="K449" s="67">
        <f>IF(base!I449&lt;&gt;"",VLOOKUP(I449,de_para!$A$1:$B$31,2,0)*base!J449,0)</f>
        <v/>
      </c>
      <c r="L449" s="38" t="n"/>
      <c r="M449" s="29" t="n"/>
      <c r="N449" s="67">
        <f>IF(base!L449&lt;&gt;"",VLOOKUP(L449,de_para!$A$1:$B$31,2,0)*base!M449,0)</f>
        <v/>
      </c>
      <c r="O449" s="38" t="n"/>
      <c r="P449" s="29" t="n"/>
      <c r="Q449" s="67">
        <f>IF(base!O449&lt;&gt;"",VLOOKUP(O449,de_para!$A$1:$B$31,2,0)*base!P449,0)</f>
        <v/>
      </c>
      <c r="R449" s="38" t="n"/>
      <c r="S449" s="29" t="n"/>
      <c r="T449" s="67">
        <f>IF(base!R449&lt;&gt;"",VLOOKUP(R449,de_para!$A$1:$B$31,2,0)*base!S449,0)</f>
        <v/>
      </c>
      <c r="U449" s="68">
        <f>H449+K449+N449+Q449+T449</f>
        <v/>
      </c>
    </row>
    <row r="450">
      <c r="A450" s="29" t="n"/>
      <c r="B450" s="29" t="n"/>
      <c r="C450" s="29" t="n"/>
      <c r="D450" s="29" t="n"/>
      <c r="E450" s="29" t="n"/>
      <c r="F450" s="29" t="n"/>
      <c r="G450" s="29" t="n"/>
      <c r="H450" s="67">
        <f>IF(base!F450&lt;&gt;"",VLOOKUP(F450,de_para!$A$1:$B$31,2,0)*base!G450,0)</f>
        <v/>
      </c>
      <c r="I450" s="38" t="n"/>
      <c r="J450" s="29" t="n"/>
      <c r="K450" s="67">
        <f>IF(base!I450&lt;&gt;"",VLOOKUP(I450,de_para!$A$1:$B$31,2,0)*base!J450,0)</f>
        <v/>
      </c>
      <c r="L450" s="38" t="n"/>
      <c r="M450" s="29" t="n"/>
      <c r="N450" s="67">
        <f>IF(base!L450&lt;&gt;"",VLOOKUP(L450,de_para!$A$1:$B$31,2,0)*base!M450,0)</f>
        <v/>
      </c>
      <c r="O450" s="38" t="n"/>
      <c r="P450" s="29" t="n"/>
      <c r="Q450" s="67">
        <f>IF(base!O450&lt;&gt;"",VLOOKUP(O450,de_para!$A$1:$B$31,2,0)*base!P450,0)</f>
        <v/>
      </c>
      <c r="R450" s="38" t="n"/>
      <c r="S450" s="29" t="n"/>
      <c r="T450" s="67">
        <f>IF(base!R450&lt;&gt;"",VLOOKUP(R450,de_para!$A$1:$B$31,2,0)*base!S450,0)</f>
        <v/>
      </c>
      <c r="U450" s="68">
        <f>H450+K450+N450+Q450+T450</f>
        <v/>
      </c>
    </row>
    <row r="451">
      <c r="A451" s="29" t="n"/>
      <c r="B451" s="29" t="n"/>
      <c r="C451" s="29" t="n"/>
      <c r="D451" s="29" t="n"/>
      <c r="E451" s="29" t="n"/>
      <c r="F451" s="29" t="n"/>
      <c r="G451" s="29" t="n"/>
      <c r="H451" s="67">
        <f>IF(base!F451&lt;&gt;"",VLOOKUP(F451,de_para!$A$1:$B$31,2,0)*base!G451,0)</f>
        <v/>
      </c>
      <c r="I451" s="38" t="n"/>
      <c r="J451" s="29" t="n"/>
      <c r="K451" s="67">
        <f>IF(base!I451&lt;&gt;"",VLOOKUP(I451,de_para!$A$1:$B$31,2,0)*base!J451,0)</f>
        <v/>
      </c>
      <c r="L451" s="38" t="n"/>
      <c r="M451" s="29" t="n"/>
      <c r="N451" s="67">
        <f>IF(base!L451&lt;&gt;"",VLOOKUP(L451,de_para!$A$1:$B$31,2,0)*base!M451,0)</f>
        <v/>
      </c>
      <c r="O451" s="38" t="n"/>
      <c r="P451" s="29" t="n"/>
      <c r="Q451" s="67">
        <f>IF(base!O451&lt;&gt;"",VLOOKUP(O451,de_para!$A$1:$B$31,2,0)*base!P451,0)</f>
        <v/>
      </c>
      <c r="R451" s="38" t="n"/>
      <c r="S451" s="29" t="n"/>
      <c r="T451" s="67">
        <f>IF(base!R451&lt;&gt;"",VLOOKUP(R451,de_para!$A$1:$B$31,2,0)*base!S451,0)</f>
        <v/>
      </c>
      <c r="U451" s="68">
        <f>H451+K451+N451+Q451+T451</f>
        <v/>
      </c>
    </row>
    <row r="452">
      <c r="A452" s="29" t="n"/>
      <c r="B452" s="29" t="n"/>
      <c r="C452" s="29" t="n"/>
      <c r="D452" s="29" t="n"/>
      <c r="E452" s="29" t="n"/>
      <c r="F452" s="29" t="n"/>
      <c r="G452" s="29" t="n"/>
      <c r="H452" s="67">
        <f>IF(base!F452&lt;&gt;"",VLOOKUP(F452,de_para!$A$1:$B$31,2,0)*base!G452,0)</f>
        <v/>
      </c>
      <c r="I452" s="38" t="n"/>
      <c r="J452" s="29" t="n"/>
      <c r="K452" s="67">
        <f>IF(base!I452&lt;&gt;"",VLOOKUP(I452,de_para!$A$1:$B$31,2,0)*base!J452,0)</f>
        <v/>
      </c>
      <c r="L452" s="38" t="n"/>
      <c r="M452" s="29" t="n"/>
      <c r="N452" s="67">
        <f>IF(base!L452&lt;&gt;"",VLOOKUP(L452,de_para!$A$1:$B$31,2,0)*base!M452,0)</f>
        <v/>
      </c>
      <c r="O452" s="38" t="n"/>
      <c r="P452" s="29" t="n"/>
      <c r="Q452" s="67">
        <f>IF(base!O452&lt;&gt;"",VLOOKUP(O452,de_para!$A$1:$B$31,2,0)*base!P452,0)</f>
        <v/>
      </c>
      <c r="R452" s="38" t="n"/>
      <c r="S452" s="29" t="n"/>
      <c r="T452" s="67">
        <f>IF(base!R452&lt;&gt;"",VLOOKUP(R452,de_para!$A$1:$B$31,2,0)*base!S452,0)</f>
        <v/>
      </c>
      <c r="U452" s="68">
        <f>H452+K452+N452+Q452+T452</f>
        <v/>
      </c>
    </row>
    <row r="453">
      <c r="A453" s="29" t="n"/>
      <c r="B453" s="29" t="n"/>
      <c r="C453" s="29" t="n"/>
      <c r="D453" s="29" t="n"/>
      <c r="E453" s="29" t="n"/>
      <c r="F453" s="29" t="n"/>
      <c r="G453" s="29" t="n"/>
      <c r="H453" s="67">
        <f>IF(base!F453&lt;&gt;"",VLOOKUP(F453,de_para!$A$1:$B$31,2,0)*base!G453,0)</f>
        <v/>
      </c>
      <c r="I453" s="38" t="n"/>
      <c r="J453" s="29" t="n"/>
      <c r="K453" s="67">
        <f>IF(base!I453&lt;&gt;"",VLOOKUP(I453,de_para!$A$1:$B$31,2,0)*base!J453,0)</f>
        <v/>
      </c>
      <c r="L453" s="38" t="n"/>
      <c r="M453" s="29" t="n"/>
      <c r="N453" s="67">
        <f>IF(base!L453&lt;&gt;"",VLOOKUP(L453,de_para!$A$1:$B$31,2,0)*base!M453,0)</f>
        <v/>
      </c>
      <c r="O453" s="38" t="n"/>
      <c r="P453" s="29" t="n"/>
      <c r="Q453" s="67">
        <f>IF(base!O453&lt;&gt;"",VLOOKUP(O453,de_para!$A$1:$B$31,2,0)*base!P453,0)</f>
        <v/>
      </c>
      <c r="R453" s="38" t="n"/>
      <c r="S453" s="29" t="n"/>
      <c r="T453" s="67">
        <f>IF(base!R453&lt;&gt;"",VLOOKUP(R453,de_para!$A$1:$B$31,2,0)*base!S453,0)</f>
        <v/>
      </c>
      <c r="U453" s="68">
        <f>H453+K453+N453+Q453+T453</f>
        <v/>
      </c>
    </row>
    <row r="454">
      <c r="A454" s="29" t="n"/>
      <c r="B454" s="29" t="n"/>
      <c r="C454" s="29" t="n"/>
      <c r="D454" s="29" t="n"/>
      <c r="E454" s="29" t="n"/>
      <c r="F454" s="29" t="n"/>
      <c r="G454" s="29" t="n"/>
      <c r="H454" s="67">
        <f>IF(base!F454&lt;&gt;"",VLOOKUP(F454,de_para!$A$1:$B$31,2,0)*base!G454,0)</f>
        <v/>
      </c>
      <c r="I454" s="38" t="n"/>
      <c r="J454" s="29" t="n"/>
      <c r="K454" s="67">
        <f>IF(base!I454&lt;&gt;"",VLOOKUP(I454,de_para!$A$1:$B$31,2,0)*base!J454,0)</f>
        <v/>
      </c>
      <c r="L454" s="38" t="n"/>
      <c r="M454" s="29" t="n"/>
      <c r="N454" s="67">
        <f>IF(base!L454&lt;&gt;"",VLOOKUP(L454,de_para!$A$1:$B$31,2,0)*base!M454,0)</f>
        <v/>
      </c>
      <c r="O454" s="38" t="n"/>
      <c r="P454" s="29" t="n"/>
      <c r="Q454" s="67">
        <f>IF(base!O454&lt;&gt;"",VLOOKUP(O454,de_para!$A$1:$B$31,2,0)*base!P454,0)</f>
        <v/>
      </c>
      <c r="R454" s="38" t="n"/>
      <c r="S454" s="29" t="n"/>
      <c r="T454" s="67">
        <f>IF(base!R454&lt;&gt;"",VLOOKUP(R454,de_para!$A$1:$B$31,2,0)*base!S454,0)</f>
        <v/>
      </c>
      <c r="U454" s="68">
        <f>H454+K454+N454+Q454+T454</f>
        <v/>
      </c>
    </row>
    <row r="455">
      <c r="A455" s="29" t="n"/>
      <c r="B455" s="29" t="n"/>
      <c r="C455" s="29" t="n"/>
      <c r="D455" s="29" t="n"/>
      <c r="E455" s="29" t="n"/>
      <c r="F455" s="29" t="n"/>
      <c r="G455" s="29" t="n"/>
      <c r="H455" s="67">
        <f>IF(base!F455&lt;&gt;"",VLOOKUP(F455,de_para!$A$1:$B$31,2,0)*base!G455,0)</f>
        <v/>
      </c>
      <c r="I455" s="38" t="n"/>
      <c r="J455" s="29" t="n"/>
      <c r="K455" s="67">
        <f>IF(base!I455&lt;&gt;"",VLOOKUP(I455,de_para!$A$1:$B$31,2,0)*base!J455,0)</f>
        <v/>
      </c>
      <c r="L455" s="38" t="n"/>
      <c r="M455" s="29" t="n"/>
      <c r="N455" s="67">
        <f>IF(base!L455&lt;&gt;"",VLOOKUP(L455,de_para!$A$1:$B$31,2,0)*base!M455,0)</f>
        <v/>
      </c>
      <c r="O455" s="38" t="n"/>
      <c r="P455" s="29" t="n"/>
      <c r="Q455" s="67">
        <f>IF(base!O455&lt;&gt;"",VLOOKUP(O455,de_para!$A$1:$B$31,2,0)*base!P455,0)</f>
        <v/>
      </c>
      <c r="R455" s="38" t="n"/>
      <c r="S455" s="29" t="n"/>
      <c r="T455" s="67">
        <f>IF(base!R455&lt;&gt;"",VLOOKUP(R455,de_para!$A$1:$B$31,2,0)*base!S455,0)</f>
        <v/>
      </c>
      <c r="U455" s="68">
        <f>H455+K455+N455+Q455+T455</f>
        <v/>
      </c>
    </row>
    <row r="456">
      <c r="A456" s="29" t="n"/>
      <c r="B456" s="29" t="n"/>
      <c r="C456" s="29" t="n"/>
      <c r="D456" s="29" t="n"/>
      <c r="E456" s="29" t="n"/>
      <c r="F456" s="29" t="n"/>
      <c r="G456" s="29" t="n"/>
      <c r="H456" s="67">
        <f>IF(base!F456&lt;&gt;"",VLOOKUP(F456,de_para!$A$1:$B$31,2,0)*base!G456,0)</f>
        <v/>
      </c>
      <c r="I456" s="38" t="n"/>
      <c r="J456" s="29" t="n"/>
      <c r="K456" s="67">
        <f>IF(base!I456&lt;&gt;"",VLOOKUP(I456,de_para!$A$1:$B$31,2,0)*base!J456,0)</f>
        <v/>
      </c>
      <c r="L456" s="38" t="n"/>
      <c r="M456" s="29" t="n"/>
      <c r="N456" s="67">
        <f>IF(base!L456&lt;&gt;"",VLOOKUP(L456,de_para!$A$1:$B$31,2,0)*base!M456,0)</f>
        <v/>
      </c>
      <c r="O456" s="38" t="n"/>
      <c r="P456" s="29" t="n"/>
      <c r="Q456" s="67">
        <f>IF(base!O456&lt;&gt;"",VLOOKUP(O456,de_para!$A$1:$B$31,2,0)*base!P456,0)</f>
        <v/>
      </c>
      <c r="R456" s="38" t="n"/>
      <c r="S456" s="29" t="n"/>
      <c r="T456" s="67">
        <f>IF(base!R456&lt;&gt;"",VLOOKUP(R456,de_para!$A$1:$B$31,2,0)*base!S456,0)</f>
        <v/>
      </c>
      <c r="U456" s="68">
        <f>H456+K456+N456+Q456+T456</f>
        <v/>
      </c>
    </row>
    <row r="457">
      <c r="A457" s="29" t="n"/>
      <c r="B457" s="29" t="n"/>
      <c r="C457" s="29" t="n"/>
      <c r="D457" s="29" t="n"/>
      <c r="E457" s="29" t="n"/>
      <c r="F457" s="29" t="n"/>
      <c r="G457" s="29" t="n"/>
      <c r="H457" s="67">
        <f>IF(base!F457&lt;&gt;"",VLOOKUP(F457,de_para!$A$1:$B$31,2,0)*base!G457,0)</f>
        <v/>
      </c>
      <c r="I457" s="38" t="n"/>
      <c r="J457" s="29" t="n"/>
      <c r="K457" s="67">
        <f>IF(base!I457&lt;&gt;"",VLOOKUP(I457,de_para!$A$1:$B$31,2,0)*base!J457,0)</f>
        <v/>
      </c>
      <c r="L457" s="38" t="n"/>
      <c r="M457" s="29" t="n"/>
      <c r="N457" s="67">
        <f>IF(base!L457&lt;&gt;"",VLOOKUP(L457,de_para!$A$1:$B$31,2,0)*base!M457,0)</f>
        <v/>
      </c>
      <c r="O457" s="38" t="n"/>
      <c r="P457" s="29" t="n"/>
      <c r="Q457" s="67">
        <f>IF(base!O457&lt;&gt;"",VLOOKUP(O457,de_para!$A$1:$B$31,2,0)*base!P457,0)</f>
        <v/>
      </c>
      <c r="R457" s="38" t="n"/>
      <c r="S457" s="29" t="n"/>
      <c r="T457" s="67">
        <f>IF(base!R457&lt;&gt;"",VLOOKUP(R457,de_para!$A$1:$B$31,2,0)*base!S457,0)</f>
        <v/>
      </c>
      <c r="U457" s="68">
        <f>H457+K457+N457+Q457+T457</f>
        <v/>
      </c>
    </row>
    <row r="458">
      <c r="A458" s="29" t="n"/>
      <c r="B458" s="29" t="n"/>
      <c r="C458" s="29" t="n"/>
      <c r="D458" s="29" t="n"/>
      <c r="E458" s="29" t="n"/>
      <c r="F458" s="29" t="n"/>
      <c r="G458" s="29" t="n"/>
      <c r="H458" s="67">
        <f>IF(base!F458&lt;&gt;"",VLOOKUP(F458,de_para!$A$1:$B$31,2,0)*base!G458,0)</f>
        <v/>
      </c>
      <c r="I458" s="38" t="n"/>
      <c r="J458" s="29" t="n"/>
      <c r="K458" s="67">
        <f>IF(base!I458&lt;&gt;"",VLOOKUP(I458,de_para!$A$1:$B$31,2,0)*base!J458,0)</f>
        <v/>
      </c>
      <c r="L458" s="38" t="n"/>
      <c r="M458" s="29" t="n"/>
      <c r="N458" s="67">
        <f>IF(base!L458&lt;&gt;"",VLOOKUP(L458,de_para!$A$1:$B$31,2,0)*base!M458,0)</f>
        <v/>
      </c>
      <c r="O458" s="38" t="n"/>
      <c r="P458" s="29" t="n"/>
      <c r="Q458" s="67">
        <f>IF(base!O458&lt;&gt;"",VLOOKUP(O458,de_para!$A$1:$B$31,2,0)*base!P458,0)</f>
        <v/>
      </c>
      <c r="R458" s="38" t="n"/>
      <c r="S458" s="29" t="n"/>
      <c r="T458" s="67">
        <f>IF(base!R458&lt;&gt;"",VLOOKUP(R458,de_para!$A$1:$B$31,2,0)*base!S458,0)</f>
        <v/>
      </c>
      <c r="U458" s="68">
        <f>H458+K458+N458+Q458+T458</f>
        <v/>
      </c>
    </row>
    <row r="459">
      <c r="A459" s="29" t="n"/>
      <c r="B459" s="29" t="n"/>
      <c r="C459" s="29" t="n"/>
      <c r="D459" s="29" t="n"/>
      <c r="E459" s="29" t="n"/>
      <c r="F459" s="29" t="n"/>
      <c r="G459" s="29" t="n"/>
      <c r="H459" s="67">
        <f>IF(base!F459&lt;&gt;"",VLOOKUP(F459,de_para!$A$1:$B$31,2,0)*base!G459,0)</f>
        <v/>
      </c>
      <c r="I459" s="38" t="n"/>
      <c r="J459" s="29" t="n"/>
      <c r="K459" s="67">
        <f>IF(base!I459&lt;&gt;"",VLOOKUP(I459,de_para!$A$1:$B$31,2,0)*base!J459,0)</f>
        <v/>
      </c>
      <c r="L459" s="38" t="n"/>
      <c r="M459" s="29" t="n"/>
      <c r="N459" s="67">
        <f>IF(base!L459&lt;&gt;"",VLOOKUP(L459,de_para!$A$1:$B$31,2,0)*base!M459,0)</f>
        <v/>
      </c>
      <c r="O459" s="38" t="n"/>
      <c r="P459" s="29" t="n"/>
      <c r="Q459" s="67">
        <f>IF(base!O459&lt;&gt;"",VLOOKUP(O459,de_para!$A$1:$B$31,2,0)*base!P459,0)</f>
        <v/>
      </c>
      <c r="R459" s="38" t="n"/>
      <c r="S459" s="29" t="n"/>
      <c r="T459" s="67">
        <f>IF(base!R459&lt;&gt;"",VLOOKUP(R459,de_para!$A$1:$B$31,2,0)*base!S459,0)</f>
        <v/>
      </c>
      <c r="U459" s="68">
        <f>H459+K459+N459+Q459+T459</f>
        <v/>
      </c>
    </row>
    <row r="460">
      <c r="A460" s="29" t="n"/>
      <c r="B460" s="29" t="n"/>
      <c r="C460" s="29" t="n"/>
      <c r="D460" s="29" t="n"/>
      <c r="E460" s="29" t="n"/>
      <c r="F460" s="29" t="n"/>
      <c r="G460" s="29" t="n"/>
      <c r="H460" s="67">
        <f>IF(base!F460&lt;&gt;"",VLOOKUP(F460,de_para!$A$1:$B$31,2,0)*base!G460,0)</f>
        <v/>
      </c>
      <c r="I460" s="38" t="n"/>
      <c r="J460" s="29" t="n"/>
      <c r="K460" s="67">
        <f>IF(base!I460&lt;&gt;"",VLOOKUP(I460,de_para!$A$1:$B$31,2,0)*base!J460,0)</f>
        <v/>
      </c>
      <c r="L460" s="38" t="n"/>
      <c r="M460" s="29" t="n"/>
      <c r="N460" s="67">
        <f>IF(base!L460&lt;&gt;"",VLOOKUP(L460,de_para!$A$1:$B$31,2,0)*base!M460,0)</f>
        <v/>
      </c>
      <c r="O460" s="38" t="n"/>
      <c r="P460" s="29" t="n"/>
      <c r="Q460" s="67">
        <f>IF(base!O460&lt;&gt;"",VLOOKUP(O460,de_para!$A$1:$B$31,2,0)*base!P460,0)</f>
        <v/>
      </c>
      <c r="R460" s="38" t="n"/>
      <c r="S460" s="29" t="n"/>
      <c r="T460" s="67">
        <f>IF(base!R460&lt;&gt;"",VLOOKUP(R460,de_para!$A$1:$B$31,2,0)*base!S460,0)</f>
        <v/>
      </c>
      <c r="U460" s="68">
        <f>H460+K460+N460+Q460+T460</f>
        <v/>
      </c>
    </row>
    <row r="461">
      <c r="A461" s="29" t="n"/>
      <c r="B461" s="29" t="n"/>
      <c r="C461" s="29" t="n"/>
      <c r="D461" s="29" t="n"/>
      <c r="E461" s="29" t="n"/>
      <c r="F461" s="29" t="n"/>
      <c r="G461" s="29" t="n"/>
      <c r="H461" s="67">
        <f>IF(base!F461&lt;&gt;"",VLOOKUP(F461,de_para!$A$1:$B$31,2,0)*base!G461,0)</f>
        <v/>
      </c>
      <c r="I461" s="38" t="n"/>
      <c r="J461" s="29" t="n"/>
      <c r="K461" s="67">
        <f>IF(base!I461&lt;&gt;"",VLOOKUP(I461,de_para!$A$1:$B$31,2,0)*base!J461,0)</f>
        <v/>
      </c>
      <c r="L461" s="38" t="n"/>
      <c r="M461" s="29" t="n"/>
      <c r="N461" s="67">
        <f>IF(base!L461&lt;&gt;"",VLOOKUP(L461,de_para!$A$1:$B$31,2,0)*base!M461,0)</f>
        <v/>
      </c>
      <c r="O461" s="38" t="n"/>
      <c r="P461" s="29" t="n"/>
      <c r="Q461" s="67">
        <f>IF(base!O461&lt;&gt;"",VLOOKUP(O461,de_para!$A$1:$B$31,2,0)*base!P461,0)</f>
        <v/>
      </c>
      <c r="R461" s="38" t="n"/>
      <c r="S461" s="29" t="n"/>
      <c r="T461" s="67">
        <f>IF(base!R461&lt;&gt;"",VLOOKUP(R461,de_para!$A$1:$B$31,2,0)*base!S461,0)</f>
        <v/>
      </c>
      <c r="U461" s="68">
        <f>H461+K461+N461+Q461+T461</f>
        <v/>
      </c>
    </row>
    <row r="462">
      <c r="A462" s="29" t="n"/>
      <c r="B462" s="29" t="n"/>
      <c r="C462" s="29" t="n"/>
      <c r="D462" s="29" t="n"/>
      <c r="E462" s="29" t="n"/>
      <c r="F462" s="29" t="n"/>
      <c r="G462" s="29" t="n"/>
      <c r="H462" s="67">
        <f>IF(base!F462&lt;&gt;"",VLOOKUP(F462,de_para!$A$1:$B$31,2,0)*base!G462,0)</f>
        <v/>
      </c>
      <c r="I462" s="38" t="n"/>
      <c r="J462" s="29" t="n"/>
      <c r="K462" s="67">
        <f>IF(base!I462&lt;&gt;"",VLOOKUP(I462,de_para!$A$1:$B$31,2,0)*base!J462,0)</f>
        <v/>
      </c>
      <c r="L462" s="38" t="n"/>
      <c r="M462" s="29" t="n"/>
      <c r="N462" s="67">
        <f>IF(base!L462&lt;&gt;"",VLOOKUP(L462,de_para!$A$1:$B$31,2,0)*base!M462,0)</f>
        <v/>
      </c>
      <c r="O462" s="38" t="n"/>
      <c r="P462" s="29" t="n"/>
      <c r="Q462" s="67">
        <f>IF(base!O462&lt;&gt;"",VLOOKUP(O462,de_para!$A$1:$B$31,2,0)*base!P462,0)</f>
        <v/>
      </c>
      <c r="R462" s="38" t="n"/>
      <c r="S462" s="29" t="n"/>
      <c r="T462" s="67">
        <f>IF(base!R462&lt;&gt;"",VLOOKUP(R462,de_para!$A$1:$B$31,2,0)*base!S462,0)</f>
        <v/>
      </c>
      <c r="U462" s="68">
        <f>H462+K462+N462+Q462+T462</f>
        <v/>
      </c>
    </row>
    <row r="463">
      <c r="A463" s="29" t="n"/>
      <c r="B463" s="29" t="n"/>
      <c r="C463" s="29" t="n"/>
      <c r="D463" s="29" t="n"/>
      <c r="E463" s="29" t="n"/>
      <c r="F463" s="29" t="n"/>
      <c r="G463" s="29" t="n"/>
      <c r="H463" s="67">
        <f>IF(base!F463&lt;&gt;"",VLOOKUP(F463,de_para!$A$1:$B$31,2,0)*base!G463,0)</f>
        <v/>
      </c>
      <c r="I463" s="38" t="n"/>
      <c r="J463" s="29" t="n"/>
      <c r="K463" s="67">
        <f>IF(base!I463&lt;&gt;"",VLOOKUP(I463,de_para!$A$1:$B$31,2,0)*base!J463,0)</f>
        <v/>
      </c>
      <c r="L463" s="38" t="n"/>
      <c r="M463" s="29" t="n"/>
      <c r="N463" s="67">
        <f>IF(base!L463&lt;&gt;"",VLOOKUP(L463,de_para!$A$1:$B$31,2,0)*base!M463,0)</f>
        <v/>
      </c>
      <c r="O463" s="38" t="n"/>
      <c r="P463" s="29" t="n"/>
      <c r="Q463" s="67">
        <f>IF(base!O463&lt;&gt;"",VLOOKUP(O463,de_para!$A$1:$B$31,2,0)*base!P463,0)</f>
        <v/>
      </c>
      <c r="R463" s="38" t="n"/>
      <c r="S463" s="29" t="n"/>
      <c r="T463" s="67">
        <f>IF(base!R463&lt;&gt;"",VLOOKUP(R463,de_para!$A$1:$B$31,2,0)*base!S463,0)</f>
        <v/>
      </c>
      <c r="U463" s="68">
        <f>H463+K463+N463+Q463+T463</f>
        <v/>
      </c>
    </row>
    <row r="464">
      <c r="A464" s="29" t="n"/>
      <c r="B464" s="29" t="n"/>
      <c r="C464" s="29" t="n"/>
      <c r="D464" s="29" t="n"/>
      <c r="E464" s="29" t="n"/>
      <c r="F464" s="29" t="n"/>
      <c r="G464" s="29" t="n"/>
      <c r="H464" s="67">
        <f>IF(base!F464&lt;&gt;"",VLOOKUP(F464,de_para!$A$1:$B$31,2,0)*base!G464,0)</f>
        <v/>
      </c>
      <c r="I464" s="38" t="n"/>
      <c r="J464" s="29" t="n"/>
      <c r="K464" s="67">
        <f>IF(base!I464&lt;&gt;"",VLOOKUP(I464,de_para!$A$1:$B$31,2,0)*base!J464,0)</f>
        <v/>
      </c>
      <c r="L464" s="38" t="n"/>
      <c r="M464" s="29" t="n"/>
      <c r="N464" s="67">
        <f>IF(base!L464&lt;&gt;"",VLOOKUP(L464,de_para!$A$1:$B$31,2,0)*base!M464,0)</f>
        <v/>
      </c>
      <c r="O464" s="38" t="n"/>
      <c r="P464" s="29" t="n"/>
      <c r="Q464" s="67">
        <f>IF(base!O464&lt;&gt;"",VLOOKUP(O464,de_para!$A$1:$B$31,2,0)*base!P464,0)</f>
        <v/>
      </c>
      <c r="R464" s="38" t="n"/>
      <c r="S464" s="29" t="n"/>
      <c r="T464" s="67">
        <f>IF(base!R464&lt;&gt;"",VLOOKUP(R464,de_para!$A$1:$B$31,2,0)*base!S464,0)</f>
        <v/>
      </c>
      <c r="U464" s="68">
        <f>H464+K464+N464+Q464+T464</f>
        <v/>
      </c>
    </row>
    <row r="465">
      <c r="A465" s="29" t="n"/>
      <c r="B465" s="29" t="n"/>
      <c r="C465" s="29" t="n"/>
      <c r="D465" s="29" t="n"/>
      <c r="E465" s="29" t="n"/>
      <c r="F465" s="29" t="n"/>
      <c r="G465" s="29" t="n"/>
      <c r="H465" s="67">
        <f>IF(base!F465&lt;&gt;"",VLOOKUP(F465,de_para!$A$1:$B$31,2,0)*base!G465,0)</f>
        <v/>
      </c>
      <c r="I465" s="38" t="n"/>
      <c r="J465" s="29" t="n"/>
      <c r="K465" s="67">
        <f>IF(base!I465&lt;&gt;"",VLOOKUP(I465,de_para!$A$1:$B$31,2,0)*base!J465,0)</f>
        <v/>
      </c>
      <c r="L465" s="38" t="n"/>
      <c r="M465" s="29" t="n"/>
      <c r="N465" s="67">
        <f>IF(base!L465&lt;&gt;"",VLOOKUP(L465,de_para!$A$1:$B$31,2,0)*base!M465,0)</f>
        <v/>
      </c>
      <c r="O465" s="38" t="n"/>
      <c r="P465" s="29" t="n"/>
      <c r="Q465" s="67">
        <f>IF(base!O465&lt;&gt;"",VLOOKUP(O465,de_para!$A$1:$B$31,2,0)*base!P465,0)</f>
        <v/>
      </c>
      <c r="R465" s="38" t="n"/>
      <c r="S465" s="29" t="n"/>
      <c r="T465" s="67">
        <f>IF(base!R465&lt;&gt;"",VLOOKUP(R465,de_para!$A$1:$B$31,2,0)*base!S465,0)</f>
        <v/>
      </c>
      <c r="U465" s="68">
        <f>H465+K465+N465+Q465+T465</f>
        <v/>
      </c>
    </row>
    <row r="466">
      <c r="A466" s="29" t="n"/>
      <c r="B466" s="29" t="n"/>
      <c r="C466" s="29" t="n"/>
      <c r="D466" s="29" t="n"/>
      <c r="E466" s="29" t="n"/>
      <c r="F466" s="29" t="n"/>
      <c r="G466" s="29" t="n"/>
      <c r="H466" s="67">
        <f>IF(base!F466&lt;&gt;"",VLOOKUP(F466,de_para!$A$1:$B$31,2,0)*base!G466,0)</f>
        <v/>
      </c>
      <c r="I466" s="38" t="n"/>
      <c r="J466" s="29" t="n"/>
      <c r="K466" s="67">
        <f>IF(base!I466&lt;&gt;"",VLOOKUP(I466,de_para!$A$1:$B$31,2,0)*base!J466,0)</f>
        <v/>
      </c>
      <c r="L466" s="38" t="n"/>
      <c r="M466" s="29" t="n"/>
      <c r="N466" s="67">
        <f>IF(base!L466&lt;&gt;"",VLOOKUP(L466,de_para!$A$1:$B$31,2,0)*base!M466,0)</f>
        <v/>
      </c>
      <c r="O466" s="38" t="n"/>
      <c r="P466" s="29" t="n"/>
      <c r="Q466" s="67">
        <f>IF(base!O466&lt;&gt;"",VLOOKUP(O466,de_para!$A$1:$B$31,2,0)*base!P466,0)</f>
        <v/>
      </c>
      <c r="R466" s="38" t="n"/>
      <c r="S466" s="29" t="n"/>
      <c r="T466" s="67">
        <f>IF(base!R466&lt;&gt;"",VLOOKUP(R466,de_para!$A$1:$B$31,2,0)*base!S466,0)</f>
        <v/>
      </c>
      <c r="U466" s="68">
        <f>H466+K466+N466+Q466+T466</f>
        <v/>
      </c>
    </row>
    <row r="467">
      <c r="A467" s="29" t="n"/>
      <c r="B467" s="29" t="n"/>
      <c r="C467" s="29" t="n"/>
      <c r="D467" s="29" t="n"/>
      <c r="E467" s="29" t="n"/>
      <c r="F467" s="29" t="n"/>
      <c r="G467" s="29" t="n"/>
      <c r="H467" s="67">
        <f>IF(base!F467&lt;&gt;"",VLOOKUP(F467,de_para!$A$1:$B$31,2,0)*base!G467,0)</f>
        <v/>
      </c>
      <c r="I467" s="38" t="n"/>
      <c r="J467" s="29" t="n"/>
      <c r="K467" s="67">
        <f>IF(base!I467&lt;&gt;"",VLOOKUP(I467,de_para!$A$1:$B$31,2,0)*base!J467,0)</f>
        <v/>
      </c>
      <c r="L467" s="38" t="n"/>
      <c r="M467" s="29" t="n"/>
      <c r="N467" s="67">
        <f>IF(base!L467&lt;&gt;"",VLOOKUP(L467,de_para!$A$1:$B$31,2,0)*base!M467,0)</f>
        <v/>
      </c>
      <c r="O467" s="38" t="n"/>
      <c r="P467" s="29" t="n"/>
      <c r="Q467" s="67">
        <f>IF(base!O467&lt;&gt;"",VLOOKUP(O467,de_para!$A$1:$B$31,2,0)*base!P467,0)</f>
        <v/>
      </c>
      <c r="R467" s="38" t="n"/>
      <c r="S467" s="29" t="n"/>
      <c r="T467" s="67">
        <f>IF(base!R467&lt;&gt;"",VLOOKUP(R467,de_para!$A$1:$B$31,2,0)*base!S467,0)</f>
        <v/>
      </c>
      <c r="U467" s="68">
        <f>H467+K467+N467+Q467+T467</f>
        <v/>
      </c>
    </row>
    <row r="468">
      <c r="A468" s="29" t="n"/>
      <c r="B468" s="29" t="n"/>
      <c r="C468" s="29" t="n"/>
      <c r="D468" s="29" t="n"/>
      <c r="E468" s="29" t="n"/>
      <c r="F468" s="29" t="n"/>
      <c r="G468" s="29" t="n"/>
      <c r="H468" s="67">
        <f>IF(base!F468&lt;&gt;"",VLOOKUP(F468,de_para!$A$1:$B$31,2,0)*base!G468,0)</f>
        <v/>
      </c>
      <c r="I468" s="38" t="n"/>
      <c r="J468" s="29" t="n"/>
      <c r="K468" s="67">
        <f>IF(base!I468&lt;&gt;"",VLOOKUP(I468,de_para!$A$1:$B$31,2,0)*base!J468,0)</f>
        <v/>
      </c>
      <c r="L468" s="38" t="n"/>
      <c r="M468" s="29" t="n"/>
      <c r="N468" s="67">
        <f>IF(base!L468&lt;&gt;"",VLOOKUP(L468,de_para!$A$1:$B$31,2,0)*base!M468,0)</f>
        <v/>
      </c>
      <c r="O468" s="38" t="n"/>
      <c r="P468" s="29" t="n"/>
      <c r="Q468" s="67">
        <f>IF(base!O468&lt;&gt;"",VLOOKUP(O468,de_para!$A$1:$B$31,2,0)*base!P468,0)</f>
        <v/>
      </c>
      <c r="R468" s="38" t="n"/>
      <c r="S468" s="29" t="n"/>
      <c r="T468" s="67">
        <f>IF(base!R468&lt;&gt;"",VLOOKUP(R468,de_para!$A$1:$B$31,2,0)*base!S468,0)</f>
        <v/>
      </c>
      <c r="U468" s="68">
        <f>H468+K468+N468+Q468+T468</f>
        <v/>
      </c>
    </row>
    <row r="469">
      <c r="A469" s="29" t="n"/>
      <c r="B469" s="29" t="n"/>
      <c r="C469" s="29" t="n"/>
      <c r="D469" s="29" t="n"/>
      <c r="E469" s="29" t="n"/>
      <c r="F469" s="29" t="n"/>
      <c r="G469" s="29" t="n"/>
      <c r="H469" s="67">
        <f>IF(base!F469&lt;&gt;"",VLOOKUP(F469,de_para!$A$1:$B$31,2,0)*base!G469,0)</f>
        <v/>
      </c>
      <c r="I469" s="38" t="n"/>
      <c r="J469" s="29" t="n"/>
      <c r="K469" s="67">
        <f>IF(base!I469&lt;&gt;"",VLOOKUP(I469,de_para!$A$1:$B$31,2,0)*base!J469,0)</f>
        <v/>
      </c>
      <c r="L469" s="38" t="n"/>
      <c r="M469" s="29" t="n"/>
      <c r="N469" s="67">
        <f>IF(base!L469&lt;&gt;"",VLOOKUP(L469,de_para!$A$1:$B$31,2,0)*base!M469,0)</f>
        <v/>
      </c>
      <c r="O469" s="38" t="n"/>
      <c r="P469" s="29" t="n"/>
      <c r="Q469" s="67">
        <f>IF(base!O469&lt;&gt;"",VLOOKUP(O469,de_para!$A$1:$B$31,2,0)*base!P469,0)</f>
        <v/>
      </c>
      <c r="R469" s="38" t="n"/>
      <c r="S469" s="29" t="n"/>
      <c r="T469" s="67">
        <f>IF(base!R469&lt;&gt;"",VLOOKUP(R469,de_para!$A$1:$B$31,2,0)*base!S469,0)</f>
        <v/>
      </c>
      <c r="U469" s="68">
        <f>H469+K469+N469+Q469+T469</f>
        <v/>
      </c>
    </row>
    <row r="470">
      <c r="A470" s="29" t="n"/>
      <c r="B470" s="29" t="n"/>
      <c r="C470" s="29" t="n"/>
      <c r="D470" s="29" t="n"/>
      <c r="E470" s="29" t="n"/>
      <c r="F470" s="29" t="n"/>
      <c r="G470" s="29" t="n"/>
      <c r="H470" s="67">
        <f>IF(base!F470&lt;&gt;"",VLOOKUP(F470,de_para!$A$1:$B$31,2,0)*base!G470,0)</f>
        <v/>
      </c>
      <c r="I470" s="38" t="n"/>
      <c r="J470" s="29" t="n"/>
      <c r="K470" s="67">
        <f>IF(base!I470&lt;&gt;"",VLOOKUP(I470,de_para!$A$1:$B$31,2,0)*base!J470,0)</f>
        <v/>
      </c>
      <c r="L470" s="38" t="n"/>
      <c r="M470" s="29" t="n"/>
      <c r="N470" s="67">
        <f>IF(base!L470&lt;&gt;"",VLOOKUP(L470,de_para!$A$1:$B$31,2,0)*base!M470,0)</f>
        <v/>
      </c>
      <c r="O470" s="38" t="n"/>
      <c r="P470" s="29" t="n"/>
      <c r="Q470" s="67">
        <f>IF(base!O470&lt;&gt;"",VLOOKUP(O470,de_para!$A$1:$B$31,2,0)*base!P470,0)</f>
        <v/>
      </c>
      <c r="R470" s="38" t="n"/>
      <c r="S470" s="29" t="n"/>
      <c r="T470" s="67">
        <f>IF(base!R470&lt;&gt;"",VLOOKUP(R470,de_para!$A$1:$B$31,2,0)*base!S470,0)</f>
        <v/>
      </c>
      <c r="U470" s="68">
        <f>H470+K470+N470+Q470+T470</f>
        <v/>
      </c>
    </row>
    <row r="471">
      <c r="A471" s="29" t="n"/>
      <c r="B471" s="29" t="n"/>
      <c r="C471" s="29" t="n"/>
      <c r="D471" s="29" t="n"/>
      <c r="E471" s="29" t="n"/>
      <c r="F471" s="29" t="n"/>
      <c r="G471" s="29" t="n"/>
      <c r="H471" s="67">
        <f>IF(base!F471&lt;&gt;"",VLOOKUP(F471,de_para!$A$1:$B$31,2,0)*base!G471,0)</f>
        <v/>
      </c>
      <c r="I471" s="38" t="n"/>
      <c r="J471" s="29" t="n"/>
      <c r="K471" s="67">
        <f>IF(base!I471&lt;&gt;"",VLOOKUP(I471,de_para!$A$1:$B$31,2,0)*base!J471,0)</f>
        <v/>
      </c>
      <c r="L471" s="38" t="n"/>
      <c r="M471" s="29" t="n"/>
      <c r="N471" s="67">
        <f>IF(base!L471&lt;&gt;"",VLOOKUP(L471,de_para!$A$1:$B$31,2,0)*base!M471,0)</f>
        <v/>
      </c>
      <c r="O471" s="38" t="n"/>
      <c r="P471" s="29" t="n"/>
      <c r="Q471" s="67">
        <f>IF(base!O471&lt;&gt;"",VLOOKUP(O471,de_para!$A$1:$B$31,2,0)*base!P471,0)</f>
        <v/>
      </c>
      <c r="R471" s="38" t="n"/>
      <c r="S471" s="29" t="n"/>
      <c r="T471" s="67">
        <f>IF(base!R471&lt;&gt;"",VLOOKUP(R471,de_para!$A$1:$B$31,2,0)*base!S471,0)</f>
        <v/>
      </c>
      <c r="U471" s="68">
        <f>H471+K471+N471+Q471+T471</f>
        <v/>
      </c>
    </row>
    <row r="472">
      <c r="A472" s="29" t="n"/>
      <c r="B472" s="29" t="n"/>
      <c r="C472" s="29" t="n"/>
      <c r="D472" s="29" t="n"/>
      <c r="E472" s="29" t="n"/>
      <c r="F472" s="29" t="n"/>
      <c r="G472" s="29" t="n"/>
      <c r="H472" s="67">
        <f>IF(base!F472&lt;&gt;"",VLOOKUP(F472,de_para!$A$1:$B$31,2,0)*base!G472,0)</f>
        <v/>
      </c>
      <c r="I472" s="38" t="n"/>
      <c r="J472" s="29" t="n"/>
      <c r="K472" s="67">
        <f>IF(base!I472&lt;&gt;"",VLOOKUP(I472,de_para!$A$1:$B$31,2,0)*base!J472,0)</f>
        <v/>
      </c>
      <c r="L472" s="38" t="n"/>
      <c r="M472" s="29" t="n"/>
      <c r="N472" s="67">
        <f>IF(base!L472&lt;&gt;"",VLOOKUP(L472,de_para!$A$1:$B$31,2,0)*base!M472,0)</f>
        <v/>
      </c>
      <c r="O472" s="38" t="n"/>
      <c r="P472" s="29" t="n"/>
      <c r="Q472" s="67">
        <f>IF(base!O472&lt;&gt;"",VLOOKUP(O472,de_para!$A$1:$B$31,2,0)*base!P472,0)</f>
        <v/>
      </c>
      <c r="R472" s="38" t="n"/>
      <c r="S472" s="29" t="n"/>
      <c r="T472" s="67">
        <f>IF(base!R472&lt;&gt;"",VLOOKUP(R472,de_para!$A$1:$B$31,2,0)*base!S472,0)</f>
        <v/>
      </c>
      <c r="U472" s="68">
        <f>H472+K472+N472+Q472+T472</f>
        <v/>
      </c>
    </row>
    <row r="473">
      <c r="A473" s="29" t="n"/>
      <c r="B473" s="29" t="n"/>
      <c r="C473" s="29" t="n"/>
      <c r="D473" s="29" t="n"/>
      <c r="E473" s="29" t="n"/>
      <c r="F473" s="29" t="n"/>
      <c r="G473" s="29" t="n"/>
      <c r="H473" s="67">
        <f>IF(base!F473&lt;&gt;"",VLOOKUP(F473,de_para!$A$1:$B$31,2,0)*base!G473,0)</f>
        <v/>
      </c>
      <c r="I473" s="38" t="n"/>
      <c r="J473" s="29" t="n"/>
      <c r="K473" s="67">
        <f>IF(base!I473&lt;&gt;"",VLOOKUP(I473,de_para!$A$1:$B$31,2,0)*base!J473,0)</f>
        <v/>
      </c>
      <c r="L473" s="38" t="n"/>
      <c r="M473" s="29" t="n"/>
      <c r="N473" s="67">
        <f>IF(base!L473&lt;&gt;"",VLOOKUP(L473,de_para!$A$1:$B$31,2,0)*base!M473,0)</f>
        <v/>
      </c>
      <c r="O473" s="38" t="n"/>
      <c r="P473" s="29" t="n"/>
      <c r="Q473" s="67">
        <f>IF(base!O473&lt;&gt;"",VLOOKUP(O473,de_para!$A$1:$B$31,2,0)*base!P473,0)</f>
        <v/>
      </c>
      <c r="R473" s="38" t="n"/>
      <c r="S473" s="29" t="n"/>
      <c r="T473" s="67">
        <f>IF(base!R473&lt;&gt;"",VLOOKUP(R473,de_para!$A$1:$B$31,2,0)*base!S473,0)</f>
        <v/>
      </c>
      <c r="U473" s="68">
        <f>H473+K473+N473+Q473+T473</f>
        <v/>
      </c>
    </row>
    <row r="474">
      <c r="A474" s="29" t="n"/>
      <c r="B474" s="29" t="n"/>
      <c r="C474" s="29" t="n"/>
      <c r="D474" s="29" t="n"/>
      <c r="E474" s="29" t="n"/>
      <c r="F474" s="29" t="n"/>
      <c r="G474" s="29" t="n"/>
      <c r="H474" s="67">
        <f>IF(base!F474&lt;&gt;"",VLOOKUP(F474,de_para!$A$1:$B$31,2,0)*base!G474,0)</f>
        <v/>
      </c>
      <c r="I474" s="38" t="n"/>
      <c r="J474" s="29" t="n"/>
      <c r="K474" s="67">
        <f>IF(base!I474&lt;&gt;"",VLOOKUP(I474,de_para!$A$1:$B$31,2,0)*base!J474,0)</f>
        <v/>
      </c>
      <c r="L474" s="38" t="n"/>
      <c r="M474" s="29" t="n"/>
      <c r="N474" s="67">
        <f>IF(base!L474&lt;&gt;"",VLOOKUP(L474,de_para!$A$1:$B$31,2,0)*base!M474,0)</f>
        <v/>
      </c>
      <c r="O474" s="38" t="n"/>
      <c r="P474" s="29" t="n"/>
      <c r="Q474" s="67">
        <f>IF(base!O474&lt;&gt;"",VLOOKUP(O474,de_para!$A$1:$B$31,2,0)*base!P474,0)</f>
        <v/>
      </c>
      <c r="R474" s="38" t="n"/>
      <c r="S474" s="29" t="n"/>
      <c r="T474" s="67">
        <f>IF(base!R474&lt;&gt;"",VLOOKUP(R474,de_para!$A$1:$B$31,2,0)*base!S474,0)</f>
        <v/>
      </c>
      <c r="U474" s="68">
        <f>H474+K474+N474+Q474+T474</f>
        <v/>
      </c>
    </row>
    <row r="475">
      <c r="A475" s="29" t="n"/>
      <c r="B475" s="29" t="n"/>
      <c r="C475" s="29" t="n"/>
      <c r="D475" s="29" t="n"/>
      <c r="E475" s="29" t="n"/>
      <c r="F475" s="29" t="n"/>
      <c r="G475" s="29" t="n"/>
      <c r="H475" s="67">
        <f>IF(base!F475&lt;&gt;"",VLOOKUP(F475,de_para!$A$1:$B$31,2,0)*base!G475,0)</f>
        <v/>
      </c>
      <c r="I475" s="38" t="n"/>
      <c r="J475" s="29" t="n"/>
      <c r="K475" s="67">
        <f>IF(base!I475&lt;&gt;"",VLOOKUP(I475,de_para!$A$1:$B$31,2,0)*base!J475,0)</f>
        <v/>
      </c>
      <c r="L475" s="38" t="n"/>
      <c r="M475" s="29" t="n"/>
      <c r="N475" s="67">
        <f>IF(base!L475&lt;&gt;"",VLOOKUP(L475,de_para!$A$1:$B$31,2,0)*base!M475,0)</f>
        <v/>
      </c>
      <c r="O475" s="38" t="n"/>
      <c r="P475" s="29" t="n"/>
      <c r="Q475" s="67">
        <f>IF(base!O475&lt;&gt;"",VLOOKUP(O475,de_para!$A$1:$B$31,2,0)*base!P475,0)</f>
        <v/>
      </c>
      <c r="R475" s="38" t="n"/>
      <c r="S475" s="29" t="n"/>
      <c r="T475" s="67">
        <f>IF(base!R475&lt;&gt;"",VLOOKUP(R475,de_para!$A$1:$B$31,2,0)*base!S475,0)</f>
        <v/>
      </c>
      <c r="U475" s="68">
        <f>H475+K475+N475+Q475+T475</f>
        <v/>
      </c>
    </row>
    <row r="476">
      <c r="A476" s="29" t="n"/>
      <c r="B476" s="29" t="n"/>
      <c r="C476" s="29" t="n"/>
      <c r="D476" s="29" t="n"/>
      <c r="E476" s="29" t="n"/>
      <c r="F476" s="29" t="n"/>
      <c r="G476" s="29" t="n"/>
      <c r="H476" s="67">
        <f>IF(base!F476&lt;&gt;"",VLOOKUP(F476,de_para!$A$1:$B$31,2,0)*base!G476,0)</f>
        <v/>
      </c>
      <c r="I476" s="38" t="n"/>
      <c r="J476" s="29" t="n"/>
      <c r="K476" s="67">
        <f>IF(base!I476&lt;&gt;"",VLOOKUP(I476,de_para!$A$1:$B$31,2,0)*base!J476,0)</f>
        <v/>
      </c>
      <c r="L476" s="38" t="n"/>
      <c r="M476" s="29" t="n"/>
      <c r="N476" s="67">
        <f>IF(base!L476&lt;&gt;"",VLOOKUP(L476,de_para!$A$1:$B$31,2,0)*base!M476,0)</f>
        <v/>
      </c>
      <c r="O476" s="38" t="n"/>
      <c r="P476" s="29" t="n"/>
      <c r="Q476" s="67">
        <f>IF(base!O476&lt;&gt;"",VLOOKUP(O476,de_para!$A$1:$B$31,2,0)*base!P476,0)</f>
        <v/>
      </c>
      <c r="R476" s="38" t="n"/>
      <c r="S476" s="29" t="n"/>
      <c r="T476" s="67">
        <f>IF(base!R476&lt;&gt;"",VLOOKUP(R476,de_para!$A$1:$B$31,2,0)*base!S476,0)</f>
        <v/>
      </c>
      <c r="U476" s="68">
        <f>H476+K476+N476+Q476+T476</f>
        <v/>
      </c>
    </row>
    <row r="477">
      <c r="A477" s="29" t="n"/>
      <c r="B477" s="29" t="n"/>
      <c r="C477" s="29" t="n"/>
      <c r="D477" s="29" t="n"/>
      <c r="E477" s="29" t="n"/>
      <c r="F477" s="29" t="n"/>
      <c r="G477" s="29" t="n"/>
      <c r="H477" s="67">
        <f>IF(base!F477&lt;&gt;"",VLOOKUP(F477,de_para!$A$1:$B$31,2,0)*base!G477,0)</f>
        <v/>
      </c>
      <c r="I477" s="38" t="n"/>
      <c r="J477" s="29" t="n"/>
      <c r="K477" s="67">
        <f>IF(base!I477&lt;&gt;"",VLOOKUP(I477,de_para!$A$1:$B$31,2,0)*base!J477,0)</f>
        <v/>
      </c>
      <c r="L477" s="38" t="n"/>
      <c r="M477" s="29" t="n"/>
      <c r="N477" s="67">
        <f>IF(base!L477&lt;&gt;"",VLOOKUP(L477,de_para!$A$1:$B$31,2,0)*base!M477,0)</f>
        <v/>
      </c>
      <c r="O477" s="38" t="n"/>
      <c r="P477" s="29" t="n"/>
      <c r="Q477" s="67">
        <f>IF(base!O477&lt;&gt;"",VLOOKUP(O477,de_para!$A$1:$B$31,2,0)*base!P477,0)</f>
        <v/>
      </c>
      <c r="R477" s="38" t="n"/>
      <c r="S477" s="29" t="n"/>
      <c r="T477" s="67">
        <f>IF(base!R477&lt;&gt;"",VLOOKUP(R477,de_para!$A$1:$B$31,2,0)*base!S477,0)</f>
        <v/>
      </c>
      <c r="U477" s="68">
        <f>H477+K477+N477+Q477+T477</f>
        <v/>
      </c>
    </row>
    <row r="478">
      <c r="A478" s="29" t="n"/>
      <c r="B478" s="29" t="n"/>
      <c r="C478" s="29" t="n"/>
      <c r="D478" s="29" t="n"/>
      <c r="E478" s="29" t="n"/>
      <c r="F478" s="29" t="n"/>
      <c r="G478" s="29" t="n"/>
      <c r="H478" s="67">
        <f>IF(base!F478&lt;&gt;"",VLOOKUP(F478,de_para!$A$1:$B$31,2,0)*base!G478,0)</f>
        <v/>
      </c>
      <c r="I478" s="38" t="n"/>
      <c r="J478" s="29" t="n"/>
      <c r="K478" s="67">
        <f>IF(base!I478&lt;&gt;"",VLOOKUP(I478,de_para!$A$1:$B$31,2,0)*base!J478,0)</f>
        <v/>
      </c>
      <c r="L478" s="38" t="n"/>
      <c r="M478" s="29" t="n"/>
      <c r="N478" s="67">
        <f>IF(base!L478&lt;&gt;"",VLOOKUP(L478,de_para!$A$1:$B$31,2,0)*base!M478,0)</f>
        <v/>
      </c>
      <c r="O478" s="38" t="n"/>
      <c r="P478" s="29" t="n"/>
      <c r="Q478" s="67">
        <f>IF(base!O478&lt;&gt;"",VLOOKUP(O478,de_para!$A$1:$B$31,2,0)*base!P478,0)</f>
        <v/>
      </c>
      <c r="R478" s="38" t="n"/>
      <c r="S478" s="29" t="n"/>
      <c r="T478" s="67">
        <f>IF(base!R478&lt;&gt;"",VLOOKUP(R478,de_para!$A$1:$B$31,2,0)*base!S478,0)</f>
        <v/>
      </c>
      <c r="U478" s="68">
        <f>H478+K478+N478+Q478+T478</f>
        <v/>
      </c>
    </row>
    <row r="479">
      <c r="A479" s="29" t="n"/>
      <c r="B479" s="29" t="n"/>
      <c r="C479" s="29" t="n"/>
      <c r="D479" s="29" t="n"/>
      <c r="E479" s="29" t="n"/>
      <c r="F479" s="29" t="n"/>
      <c r="G479" s="29" t="n"/>
      <c r="H479" s="67">
        <f>IF(base!F479&lt;&gt;"",VLOOKUP(F479,de_para!$A$1:$B$31,2,0)*base!G479,0)</f>
        <v/>
      </c>
      <c r="I479" s="38" t="n"/>
      <c r="J479" s="29" t="n"/>
      <c r="K479" s="67">
        <f>IF(base!I479&lt;&gt;"",VLOOKUP(I479,de_para!$A$1:$B$31,2,0)*base!J479,0)</f>
        <v/>
      </c>
      <c r="L479" s="38" t="n"/>
      <c r="M479" s="29" t="n"/>
      <c r="N479" s="67">
        <f>IF(base!L479&lt;&gt;"",VLOOKUP(L479,de_para!$A$1:$B$31,2,0)*base!M479,0)</f>
        <v/>
      </c>
      <c r="O479" s="38" t="n"/>
      <c r="P479" s="29" t="n"/>
      <c r="Q479" s="67">
        <f>IF(base!O479&lt;&gt;"",VLOOKUP(O479,de_para!$A$1:$B$31,2,0)*base!P479,0)</f>
        <v/>
      </c>
      <c r="R479" s="38" t="n"/>
      <c r="S479" s="29" t="n"/>
      <c r="T479" s="67">
        <f>IF(base!R479&lt;&gt;"",VLOOKUP(R479,de_para!$A$1:$B$31,2,0)*base!S479,0)</f>
        <v/>
      </c>
      <c r="U479" s="68">
        <f>H479+K479+N479+Q479+T479</f>
        <v/>
      </c>
    </row>
    <row r="480">
      <c r="A480" s="29" t="n"/>
      <c r="B480" s="29" t="n"/>
      <c r="C480" s="29" t="n"/>
      <c r="D480" s="29" t="n"/>
      <c r="E480" s="29" t="n"/>
      <c r="F480" s="29" t="n"/>
      <c r="G480" s="29" t="n"/>
      <c r="H480" s="67">
        <f>IF(base!F480&lt;&gt;"",VLOOKUP(F480,de_para!$A$1:$B$31,2,0)*base!G480,0)</f>
        <v/>
      </c>
      <c r="I480" s="38" t="n"/>
      <c r="J480" s="29" t="n"/>
      <c r="K480" s="67">
        <f>IF(base!I480&lt;&gt;"",VLOOKUP(I480,de_para!$A$1:$B$31,2,0)*base!J480,0)</f>
        <v/>
      </c>
      <c r="L480" s="38" t="n"/>
      <c r="M480" s="29" t="n"/>
      <c r="N480" s="67">
        <f>IF(base!L480&lt;&gt;"",VLOOKUP(L480,de_para!$A$1:$B$31,2,0)*base!M480,0)</f>
        <v/>
      </c>
      <c r="O480" s="38" t="n"/>
      <c r="P480" s="29" t="n"/>
      <c r="Q480" s="67">
        <f>IF(base!O480&lt;&gt;"",VLOOKUP(O480,de_para!$A$1:$B$31,2,0)*base!P480,0)</f>
        <v/>
      </c>
      <c r="R480" s="38" t="n"/>
      <c r="S480" s="29" t="n"/>
      <c r="T480" s="67">
        <f>IF(base!R480&lt;&gt;"",VLOOKUP(R480,de_para!$A$1:$B$31,2,0)*base!S480,0)</f>
        <v/>
      </c>
      <c r="U480" s="68">
        <f>H480+K480+N480+Q480+T480</f>
        <v/>
      </c>
    </row>
    <row r="481">
      <c r="A481" s="29" t="n"/>
      <c r="B481" s="29" t="n"/>
      <c r="C481" s="29" t="n"/>
      <c r="D481" s="29" t="n"/>
      <c r="E481" s="29" t="n"/>
      <c r="F481" s="29" t="n"/>
      <c r="G481" s="29" t="n"/>
      <c r="H481" s="67">
        <f>IF(base!F481&lt;&gt;"",VLOOKUP(F481,de_para!$A$1:$B$31,2,0)*base!G481,0)</f>
        <v/>
      </c>
      <c r="I481" s="38" t="n"/>
      <c r="J481" s="29" t="n"/>
      <c r="K481" s="67">
        <f>IF(base!I481&lt;&gt;"",VLOOKUP(I481,de_para!$A$1:$B$31,2,0)*base!J481,0)</f>
        <v/>
      </c>
      <c r="L481" s="38" t="n"/>
      <c r="M481" s="29" t="n"/>
      <c r="N481" s="67">
        <f>IF(base!L481&lt;&gt;"",VLOOKUP(L481,de_para!$A$1:$B$31,2,0)*base!M481,0)</f>
        <v/>
      </c>
      <c r="O481" s="38" t="n"/>
      <c r="P481" s="29" t="n"/>
      <c r="Q481" s="67">
        <f>IF(base!O481&lt;&gt;"",VLOOKUP(O481,de_para!$A$1:$B$31,2,0)*base!P481,0)</f>
        <v/>
      </c>
      <c r="R481" s="38" t="n"/>
      <c r="S481" s="29" t="n"/>
      <c r="T481" s="67">
        <f>IF(base!R481&lt;&gt;"",VLOOKUP(R481,de_para!$A$1:$B$31,2,0)*base!S481,0)</f>
        <v/>
      </c>
      <c r="U481" s="68">
        <f>H481+K481+N481+Q481+T481</f>
        <v/>
      </c>
    </row>
    <row r="482">
      <c r="A482" s="29" t="n"/>
      <c r="B482" s="29" t="n"/>
      <c r="C482" s="29" t="n"/>
      <c r="D482" s="29" t="n"/>
      <c r="E482" s="29" t="n"/>
      <c r="F482" s="29" t="n"/>
      <c r="G482" s="29" t="n"/>
      <c r="H482" s="67">
        <f>IF(base!F482&lt;&gt;"",VLOOKUP(F482,de_para!$A$1:$B$31,2,0)*base!G482,0)</f>
        <v/>
      </c>
      <c r="I482" s="38" t="n"/>
      <c r="J482" s="29" t="n"/>
      <c r="K482" s="67">
        <f>IF(base!I482&lt;&gt;"",VLOOKUP(I482,de_para!$A$1:$B$31,2,0)*base!J482,0)</f>
        <v/>
      </c>
      <c r="L482" s="38" t="n"/>
      <c r="M482" s="29" t="n"/>
      <c r="N482" s="67">
        <f>IF(base!L482&lt;&gt;"",VLOOKUP(L482,de_para!$A$1:$B$31,2,0)*base!M482,0)</f>
        <v/>
      </c>
      <c r="O482" s="38" t="n"/>
      <c r="P482" s="29" t="n"/>
      <c r="Q482" s="67">
        <f>IF(base!O482&lt;&gt;"",VLOOKUP(O482,de_para!$A$1:$B$31,2,0)*base!P482,0)</f>
        <v/>
      </c>
      <c r="R482" s="38" t="n"/>
      <c r="S482" s="29" t="n"/>
      <c r="T482" s="67">
        <f>IF(base!R482&lt;&gt;"",VLOOKUP(R482,de_para!$A$1:$B$31,2,0)*base!S482,0)</f>
        <v/>
      </c>
      <c r="U482" s="68">
        <f>H482+K482+N482+Q482+T482</f>
        <v/>
      </c>
    </row>
    <row r="483">
      <c r="A483" s="29" t="n"/>
      <c r="B483" s="29" t="n"/>
      <c r="C483" s="29" t="n"/>
      <c r="D483" s="29" t="n"/>
      <c r="E483" s="29" t="n"/>
      <c r="F483" s="29" t="n"/>
      <c r="G483" s="29" t="n"/>
      <c r="H483" s="67">
        <f>IF(base!F483&lt;&gt;"",VLOOKUP(F483,de_para!$A$1:$B$31,2,0)*base!G483,0)</f>
        <v/>
      </c>
      <c r="I483" s="38" t="n"/>
      <c r="J483" s="29" t="n"/>
      <c r="K483" s="67">
        <f>IF(base!I483&lt;&gt;"",VLOOKUP(I483,de_para!$A$1:$B$31,2,0)*base!J483,0)</f>
        <v/>
      </c>
      <c r="L483" s="38" t="n"/>
      <c r="M483" s="29" t="n"/>
      <c r="N483" s="67">
        <f>IF(base!L483&lt;&gt;"",VLOOKUP(L483,de_para!$A$1:$B$31,2,0)*base!M483,0)</f>
        <v/>
      </c>
      <c r="O483" s="38" t="n"/>
      <c r="P483" s="29" t="n"/>
      <c r="Q483" s="67">
        <f>IF(base!O483&lt;&gt;"",VLOOKUP(O483,de_para!$A$1:$B$31,2,0)*base!P483,0)</f>
        <v/>
      </c>
      <c r="R483" s="38" t="n"/>
      <c r="S483" s="29" t="n"/>
      <c r="T483" s="67">
        <f>IF(base!R483&lt;&gt;"",VLOOKUP(R483,de_para!$A$1:$B$31,2,0)*base!S483,0)</f>
        <v/>
      </c>
      <c r="U483" s="68">
        <f>H483+K483+N483+Q483+T483</f>
        <v/>
      </c>
    </row>
    <row r="484">
      <c r="A484" s="29" t="n"/>
      <c r="B484" s="29" t="n"/>
      <c r="C484" s="29" t="n"/>
      <c r="D484" s="29" t="n"/>
      <c r="E484" s="29" t="n"/>
      <c r="F484" s="29" t="n"/>
      <c r="G484" s="29" t="n"/>
      <c r="H484" s="67">
        <f>IF(base!F484&lt;&gt;"",VLOOKUP(F484,de_para!$A$1:$B$31,2,0)*base!G484,0)</f>
        <v/>
      </c>
      <c r="I484" s="38" t="n"/>
      <c r="J484" s="29" t="n"/>
      <c r="K484" s="67">
        <f>IF(base!I484&lt;&gt;"",VLOOKUP(I484,de_para!$A$1:$B$31,2,0)*base!J484,0)</f>
        <v/>
      </c>
      <c r="L484" s="38" t="n"/>
      <c r="M484" s="29" t="n"/>
      <c r="N484" s="67">
        <f>IF(base!L484&lt;&gt;"",VLOOKUP(L484,de_para!$A$1:$B$31,2,0)*base!M484,0)</f>
        <v/>
      </c>
      <c r="O484" s="38" t="n"/>
      <c r="P484" s="29" t="n"/>
      <c r="Q484" s="67">
        <f>IF(base!O484&lt;&gt;"",VLOOKUP(O484,de_para!$A$1:$B$31,2,0)*base!P484,0)</f>
        <v/>
      </c>
      <c r="R484" s="38" t="n"/>
      <c r="S484" s="29" t="n"/>
      <c r="T484" s="67">
        <f>IF(base!R484&lt;&gt;"",VLOOKUP(R484,de_para!$A$1:$B$31,2,0)*base!S484,0)</f>
        <v/>
      </c>
      <c r="U484" s="68">
        <f>H484+K484+N484+Q484+T484</f>
        <v/>
      </c>
    </row>
    <row r="485">
      <c r="A485" s="29" t="n"/>
      <c r="B485" s="29" t="n"/>
      <c r="C485" s="29" t="n"/>
      <c r="D485" s="29" t="n"/>
      <c r="E485" s="29" t="n"/>
      <c r="F485" s="29" t="n"/>
      <c r="G485" s="29" t="n"/>
      <c r="H485" s="67">
        <f>IF(base!F485&lt;&gt;"",VLOOKUP(F485,de_para!$A$1:$B$31,2,0)*base!G485,0)</f>
        <v/>
      </c>
      <c r="I485" s="38" t="n"/>
      <c r="J485" s="29" t="n"/>
      <c r="K485" s="67">
        <f>IF(base!I485&lt;&gt;"",VLOOKUP(I485,de_para!$A$1:$B$31,2,0)*base!J485,0)</f>
        <v/>
      </c>
      <c r="L485" s="38" t="n"/>
      <c r="M485" s="29" t="n"/>
      <c r="N485" s="67">
        <f>IF(base!L485&lt;&gt;"",VLOOKUP(L485,de_para!$A$1:$B$31,2,0)*base!M485,0)</f>
        <v/>
      </c>
      <c r="O485" s="38" t="n"/>
      <c r="P485" s="29" t="n"/>
      <c r="Q485" s="67">
        <f>IF(base!O485&lt;&gt;"",VLOOKUP(O485,de_para!$A$1:$B$31,2,0)*base!P485,0)</f>
        <v/>
      </c>
      <c r="R485" s="38" t="n"/>
      <c r="S485" s="29" t="n"/>
      <c r="T485" s="67">
        <f>IF(base!R485&lt;&gt;"",VLOOKUP(R485,de_para!$A$1:$B$31,2,0)*base!S485,0)</f>
        <v/>
      </c>
      <c r="U485" s="68">
        <f>H485+K485+N485+Q485+T485</f>
        <v/>
      </c>
    </row>
    <row r="486">
      <c r="A486" s="29" t="n"/>
      <c r="B486" s="29" t="n"/>
      <c r="C486" s="29" t="n"/>
      <c r="D486" s="29" t="n"/>
      <c r="E486" s="29" t="n"/>
      <c r="F486" s="29" t="n"/>
      <c r="G486" s="29" t="n"/>
      <c r="H486" s="67">
        <f>IF(base!F486&lt;&gt;"",VLOOKUP(F486,de_para!$A$1:$B$31,2,0)*base!G486,0)</f>
        <v/>
      </c>
      <c r="I486" s="38" t="n"/>
      <c r="J486" s="29" t="n"/>
      <c r="K486" s="67">
        <f>IF(base!I486&lt;&gt;"",VLOOKUP(I486,de_para!$A$1:$B$31,2,0)*base!J486,0)</f>
        <v/>
      </c>
      <c r="L486" s="38" t="n"/>
      <c r="M486" s="29" t="n"/>
      <c r="N486" s="67">
        <f>IF(base!L486&lt;&gt;"",VLOOKUP(L486,de_para!$A$1:$B$31,2,0)*base!M486,0)</f>
        <v/>
      </c>
      <c r="O486" s="38" t="n"/>
      <c r="P486" s="29" t="n"/>
      <c r="Q486" s="67">
        <f>IF(base!O486&lt;&gt;"",VLOOKUP(O486,de_para!$A$1:$B$31,2,0)*base!P486,0)</f>
        <v/>
      </c>
      <c r="R486" s="38" t="n"/>
      <c r="S486" s="29" t="n"/>
      <c r="T486" s="67">
        <f>IF(base!R486&lt;&gt;"",VLOOKUP(R486,de_para!$A$1:$B$31,2,0)*base!S486,0)</f>
        <v/>
      </c>
      <c r="U486" s="68">
        <f>H486+K486+N486+Q486+T486</f>
        <v/>
      </c>
    </row>
    <row r="487">
      <c r="A487" s="29" t="n"/>
      <c r="B487" s="29" t="n"/>
      <c r="C487" s="29" t="n"/>
      <c r="D487" s="29" t="n"/>
      <c r="E487" s="29" t="n"/>
      <c r="F487" s="29" t="n"/>
      <c r="G487" s="29" t="n"/>
      <c r="H487" s="67">
        <f>IF(base!F487&lt;&gt;"",VLOOKUP(F487,de_para!$A$1:$B$31,2,0)*base!G487,0)</f>
        <v/>
      </c>
      <c r="I487" s="38" t="n"/>
      <c r="J487" s="29" t="n"/>
      <c r="K487" s="67">
        <f>IF(base!I487&lt;&gt;"",VLOOKUP(I487,de_para!$A$1:$B$31,2,0)*base!J487,0)</f>
        <v/>
      </c>
      <c r="L487" s="38" t="n"/>
      <c r="M487" s="29" t="n"/>
      <c r="N487" s="67">
        <f>IF(base!L487&lt;&gt;"",VLOOKUP(L487,de_para!$A$1:$B$31,2,0)*base!M487,0)</f>
        <v/>
      </c>
      <c r="O487" s="38" t="n"/>
      <c r="P487" s="29" t="n"/>
      <c r="Q487" s="67">
        <f>IF(base!O487&lt;&gt;"",VLOOKUP(O487,de_para!$A$1:$B$31,2,0)*base!P487,0)</f>
        <v/>
      </c>
      <c r="R487" s="38" t="n"/>
      <c r="S487" s="29" t="n"/>
      <c r="T487" s="67">
        <f>IF(base!R487&lt;&gt;"",VLOOKUP(R487,de_para!$A$1:$B$31,2,0)*base!S487,0)</f>
        <v/>
      </c>
      <c r="U487" s="68">
        <f>H487+K487+N487+Q487+T487</f>
        <v/>
      </c>
    </row>
    <row r="488">
      <c r="A488" s="29" t="n"/>
      <c r="B488" s="29" t="n"/>
      <c r="C488" s="29" t="n"/>
      <c r="D488" s="29" t="n"/>
      <c r="E488" s="29" t="n"/>
      <c r="F488" s="29" t="n"/>
      <c r="G488" s="29" t="n"/>
      <c r="H488" s="67">
        <f>IF(base!F488&lt;&gt;"",VLOOKUP(F488,de_para!$A$1:$B$31,2,0)*base!G488,0)</f>
        <v/>
      </c>
      <c r="I488" s="38" t="n"/>
      <c r="J488" s="29" t="n"/>
      <c r="K488" s="67">
        <f>IF(base!I488&lt;&gt;"",VLOOKUP(I488,de_para!$A$1:$B$31,2,0)*base!J488,0)</f>
        <v/>
      </c>
      <c r="L488" s="38" t="n"/>
      <c r="M488" s="29" t="n"/>
      <c r="N488" s="67">
        <f>IF(base!L488&lt;&gt;"",VLOOKUP(L488,de_para!$A$1:$B$31,2,0)*base!M488,0)</f>
        <v/>
      </c>
      <c r="O488" s="38" t="n"/>
      <c r="P488" s="29" t="n"/>
      <c r="Q488" s="67">
        <f>IF(base!O488&lt;&gt;"",VLOOKUP(O488,de_para!$A$1:$B$31,2,0)*base!P488,0)</f>
        <v/>
      </c>
      <c r="R488" s="38" t="n"/>
      <c r="S488" s="29" t="n"/>
      <c r="T488" s="67">
        <f>IF(base!R488&lt;&gt;"",VLOOKUP(R488,de_para!$A$1:$B$31,2,0)*base!S488,0)</f>
        <v/>
      </c>
      <c r="U488" s="68">
        <f>H488+K488+N488+Q488+T488</f>
        <v/>
      </c>
    </row>
    <row r="489">
      <c r="A489" s="29" t="n"/>
      <c r="B489" s="29" t="n"/>
      <c r="C489" s="29" t="n"/>
      <c r="D489" s="29" t="n"/>
      <c r="E489" s="29" t="n"/>
      <c r="F489" s="29" t="n"/>
      <c r="G489" s="29" t="n"/>
      <c r="H489" s="67">
        <f>IF(base!F489&lt;&gt;"",VLOOKUP(F489,de_para!$A$1:$B$31,2,0)*base!G489,0)</f>
        <v/>
      </c>
      <c r="I489" s="38" t="n"/>
      <c r="J489" s="29" t="n"/>
      <c r="K489" s="67">
        <f>IF(base!I489&lt;&gt;"",VLOOKUP(I489,de_para!$A$1:$B$31,2,0)*base!J489,0)</f>
        <v/>
      </c>
      <c r="L489" s="38" t="n"/>
      <c r="M489" s="29" t="n"/>
      <c r="N489" s="67">
        <f>IF(base!L489&lt;&gt;"",VLOOKUP(L489,de_para!$A$1:$B$31,2,0)*base!M489,0)</f>
        <v/>
      </c>
      <c r="O489" s="38" t="n"/>
      <c r="P489" s="29" t="n"/>
      <c r="Q489" s="67">
        <f>IF(base!O489&lt;&gt;"",VLOOKUP(O489,de_para!$A$1:$B$31,2,0)*base!P489,0)</f>
        <v/>
      </c>
      <c r="R489" s="38" t="n"/>
      <c r="S489" s="29" t="n"/>
      <c r="T489" s="67">
        <f>IF(base!R489&lt;&gt;"",VLOOKUP(R489,de_para!$A$1:$B$31,2,0)*base!S489,0)</f>
        <v/>
      </c>
      <c r="U489" s="68">
        <f>H489+K489+N489+Q489+T489</f>
        <v/>
      </c>
    </row>
    <row r="490">
      <c r="A490" s="29" t="n"/>
      <c r="B490" s="29" t="n"/>
      <c r="C490" s="29" t="n"/>
      <c r="D490" s="29" t="n"/>
      <c r="E490" s="29" t="n"/>
      <c r="F490" s="29" t="n"/>
      <c r="G490" s="29" t="n"/>
      <c r="H490" s="67">
        <f>IF(base!F490&lt;&gt;"",VLOOKUP(F490,de_para!$A$1:$B$31,2,0)*base!G490,0)</f>
        <v/>
      </c>
      <c r="I490" s="38" t="n"/>
      <c r="J490" s="29" t="n"/>
      <c r="K490" s="67">
        <f>IF(base!I490&lt;&gt;"",VLOOKUP(I490,de_para!$A$1:$B$31,2,0)*base!J490,0)</f>
        <v/>
      </c>
      <c r="L490" s="38" t="n"/>
      <c r="M490" s="29" t="n"/>
      <c r="N490" s="67">
        <f>IF(base!L490&lt;&gt;"",VLOOKUP(L490,de_para!$A$1:$B$31,2,0)*base!M490,0)</f>
        <v/>
      </c>
      <c r="O490" s="38" t="n"/>
      <c r="P490" s="29" t="n"/>
      <c r="Q490" s="67">
        <f>IF(base!O490&lt;&gt;"",VLOOKUP(O490,de_para!$A$1:$B$31,2,0)*base!P490,0)</f>
        <v/>
      </c>
      <c r="R490" s="38" t="n"/>
      <c r="S490" s="29" t="n"/>
      <c r="T490" s="67">
        <f>IF(base!R490&lt;&gt;"",VLOOKUP(R490,de_para!$A$1:$B$31,2,0)*base!S490,0)</f>
        <v/>
      </c>
      <c r="U490" s="68">
        <f>H490+K490+N490+Q490+T490</f>
        <v/>
      </c>
    </row>
    <row r="491">
      <c r="A491" s="29" t="n"/>
      <c r="B491" s="29" t="n"/>
      <c r="C491" s="29" t="n"/>
      <c r="D491" s="29" t="n"/>
      <c r="E491" s="29" t="n"/>
      <c r="F491" s="29" t="n"/>
      <c r="G491" s="29" t="n"/>
      <c r="H491" s="67">
        <f>IF(base!F491&lt;&gt;"",VLOOKUP(F491,de_para!$A$1:$B$31,2,0)*base!G491,0)</f>
        <v/>
      </c>
      <c r="I491" s="38" t="n"/>
      <c r="J491" s="29" t="n"/>
      <c r="K491" s="67">
        <f>IF(base!I491&lt;&gt;"",VLOOKUP(I491,de_para!$A$1:$B$31,2,0)*base!J491,0)</f>
        <v/>
      </c>
      <c r="L491" s="38" t="n"/>
      <c r="M491" s="29" t="n"/>
      <c r="N491" s="67">
        <f>IF(base!L491&lt;&gt;"",VLOOKUP(L491,de_para!$A$1:$B$31,2,0)*base!M491,0)</f>
        <v/>
      </c>
      <c r="O491" s="38" t="n"/>
      <c r="P491" s="29" t="n"/>
      <c r="Q491" s="67">
        <f>IF(base!O491&lt;&gt;"",VLOOKUP(O491,de_para!$A$1:$B$31,2,0)*base!P491,0)</f>
        <v/>
      </c>
      <c r="R491" s="38" t="n"/>
      <c r="S491" s="29" t="n"/>
      <c r="T491" s="67">
        <f>IF(base!R491&lt;&gt;"",VLOOKUP(R491,de_para!$A$1:$B$31,2,0)*base!S491,0)</f>
        <v/>
      </c>
      <c r="U491" s="68">
        <f>H491+K491+N491+Q491+T491</f>
        <v/>
      </c>
    </row>
    <row r="492">
      <c r="A492" s="29" t="n"/>
      <c r="B492" s="29" t="n"/>
      <c r="C492" s="29" t="n"/>
      <c r="D492" s="29" t="n"/>
      <c r="E492" s="29" t="n"/>
      <c r="F492" s="29" t="n"/>
      <c r="G492" s="29" t="n"/>
      <c r="H492" s="67">
        <f>IF(base!F492&lt;&gt;"",VLOOKUP(F492,de_para!$A$1:$B$31,2,0)*base!G492,0)</f>
        <v/>
      </c>
      <c r="I492" s="38" t="n"/>
      <c r="J492" s="29" t="n"/>
      <c r="K492" s="67">
        <f>IF(base!I492&lt;&gt;"",VLOOKUP(I492,de_para!$A$1:$B$31,2,0)*base!J492,0)</f>
        <v/>
      </c>
      <c r="L492" s="38" t="n"/>
      <c r="M492" s="29" t="n"/>
      <c r="N492" s="67">
        <f>IF(base!L492&lt;&gt;"",VLOOKUP(L492,de_para!$A$1:$B$31,2,0)*base!M492,0)</f>
        <v/>
      </c>
      <c r="O492" s="38" t="n"/>
      <c r="P492" s="29" t="n"/>
      <c r="Q492" s="67">
        <f>IF(base!O492&lt;&gt;"",VLOOKUP(O492,de_para!$A$1:$B$31,2,0)*base!P492,0)</f>
        <v/>
      </c>
      <c r="R492" s="38" t="n"/>
      <c r="S492" s="29" t="n"/>
      <c r="T492" s="67">
        <f>IF(base!R492&lt;&gt;"",VLOOKUP(R492,de_para!$A$1:$B$31,2,0)*base!S492,0)</f>
        <v/>
      </c>
      <c r="U492" s="68">
        <f>H492+K492+N492+Q492+T492</f>
        <v/>
      </c>
    </row>
    <row r="493">
      <c r="A493" s="29" t="n"/>
      <c r="B493" s="29" t="n"/>
      <c r="C493" s="29" t="n"/>
      <c r="D493" s="29" t="n"/>
      <c r="E493" s="29" t="n"/>
      <c r="F493" s="29" t="n"/>
      <c r="G493" s="29" t="n"/>
      <c r="H493" s="67">
        <f>IF(base!F493&lt;&gt;"",VLOOKUP(F493,de_para!$A$1:$B$31,2,0)*base!G493,0)</f>
        <v/>
      </c>
      <c r="I493" s="38" t="n"/>
      <c r="J493" s="29" t="n"/>
      <c r="K493" s="67">
        <f>IF(base!I493&lt;&gt;"",VLOOKUP(I493,de_para!$A$1:$B$31,2,0)*base!J493,0)</f>
        <v/>
      </c>
      <c r="L493" s="38" t="n"/>
      <c r="M493" s="29" t="n"/>
      <c r="N493" s="67">
        <f>IF(base!L493&lt;&gt;"",VLOOKUP(L493,de_para!$A$1:$B$31,2,0)*base!M493,0)</f>
        <v/>
      </c>
      <c r="O493" s="38" t="n"/>
      <c r="P493" s="29" t="n"/>
      <c r="Q493" s="67">
        <f>IF(base!O493&lt;&gt;"",VLOOKUP(O493,de_para!$A$1:$B$31,2,0)*base!P493,0)</f>
        <v/>
      </c>
      <c r="R493" s="38" t="n"/>
      <c r="S493" s="29" t="n"/>
      <c r="T493" s="67">
        <f>IF(base!R493&lt;&gt;"",VLOOKUP(R493,de_para!$A$1:$B$31,2,0)*base!S493,0)</f>
        <v/>
      </c>
      <c r="U493" s="68">
        <f>H493+K493+N493+Q493+T493</f>
        <v/>
      </c>
    </row>
    <row r="494">
      <c r="A494" s="29" t="n"/>
      <c r="B494" s="29" t="n"/>
      <c r="C494" s="29" t="n"/>
      <c r="D494" s="29" t="n"/>
      <c r="E494" s="29" t="n"/>
      <c r="F494" s="29" t="n"/>
      <c r="G494" s="29" t="n"/>
      <c r="H494" s="67">
        <f>IF(base!F494&lt;&gt;"",VLOOKUP(F494,de_para!$A$1:$B$31,2,0)*base!G494,0)</f>
        <v/>
      </c>
      <c r="I494" s="38" t="n"/>
      <c r="J494" s="29" t="n"/>
      <c r="K494" s="67">
        <f>IF(base!I494&lt;&gt;"",VLOOKUP(I494,de_para!$A$1:$B$31,2,0)*base!J494,0)</f>
        <v/>
      </c>
      <c r="L494" s="38" t="n"/>
      <c r="M494" s="29" t="n"/>
      <c r="N494" s="67">
        <f>IF(base!L494&lt;&gt;"",VLOOKUP(L494,de_para!$A$1:$B$31,2,0)*base!M494,0)</f>
        <v/>
      </c>
      <c r="O494" s="38" t="n"/>
      <c r="P494" s="29" t="n"/>
      <c r="Q494" s="67">
        <f>IF(base!O494&lt;&gt;"",VLOOKUP(O494,de_para!$A$1:$B$31,2,0)*base!P494,0)</f>
        <v/>
      </c>
      <c r="R494" s="38" t="n"/>
      <c r="S494" s="29" t="n"/>
      <c r="T494" s="67">
        <f>IF(base!R494&lt;&gt;"",VLOOKUP(R494,de_para!$A$1:$B$31,2,0)*base!S494,0)</f>
        <v/>
      </c>
      <c r="U494" s="68">
        <f>H494+K494+N494+Q494+T494</f>
        <v/>
      </c>
    </row>
    <row r="495">
      <c r="A495" s="29" t="n"/>
      <c r="B495" s="29" t="n"/>
      <c r="C495" s="29" t="n"/>
      <c r="D495" s="29" t="n"/>
      <c r="E495" s="29" t="n"/>
      <c r="F495" s="29" t="n"/>
      <c r="G495" s="29" t="n"/>
      <c r="H495" s="67">
        <f>IF(base!F495&lt;&gt;"",VLOOKUP(F495,de_para!$A$1:$B$31,2,0)*base!G495,0)</f>
        <v/>
      </c>
      <c r="I495" s="38" t="n"/>
      <c r="J495" s="29" t="n"/>
      <c r="K495" s="67">
        <f>IF(base!I495&lt;&gt;"",VLOOKUP(I495,de_para!$A$1:$B$31,2,0)*base!J495,0)</f>
        <v/>
      </c>
      <c r="L495" s="38" t="n"/>
      <c r="M495" s="29" t="n"/>
      <c r="N495" s="67">
        <f>IF(base!L495&lt;&gt;"",VLOOKUP(L495,de_para!$A$1:$B$31,2,0)*base!M495,0)</f>
        <v/>
      </c>
      <c r="O495" s="38" t="n"/>
      <c r="P495" s="29" t="n"/>
      <c r="Q495" s="67">
        <f>IF(base!O495&lt;&gt;"",VLOOKUP(O495,de_para!$A$1:$B$31,2,0)*base!P495,0)</f>
        <v/>
      </c>
      <c r="R495" s="38" t="n"/>
      <c r="S495" s="29" t="n"/>
      <c r="T495" s="67">
        <f>IF(base!R495&lt;&gt;"",VLOOKUP(R495,de_para!$A$1:$B$31,2,0)*base!S495,0)</f>
        <v/>
      </c>
      <c r="U495" s="68">
        <f>H495+K495+N495+Q495+T495</f>
        <v/>
      </c>
    </row>
    <row r="496">
      <c r="A496" s="29" t="n"/>
      <c r="B496" s="29" t="n"/>
      <c r="C496" s="29" t="n"/>
      <c r="D496" s="29" t="n"/>
      <c r="E496" s="29" t="n"/>
      <c r="F496" s="29" t="n"/>
      <c r="G496" s="29" t="n"/>
      <c r="H496" s="67">
        <f>IF(base!F496&lt;&gt;"",VLOOKUP(F496,de_para!$A$1:$B$31,2,0)*base!G496,0)</f>
        <v/>
      </c>
      <c r="I496" s="38" t="n"/>
      <c r="J496" s="29" t="n"/>
      <c r="K496" s="67">
        <f>IF(base!I496&lt;&gt;"",VLOOKUP(I496,de_para!$A$1:$B$31,2,0)*base!J496,0)</f>
        <v/>
      </c>
      <c r="L496" s="38" t="n"/>
      <c r="M496" s="29" t="n"/>
      <c r="N496" s="67">
        <f>IF(base!L496&lt;&gt;"",VLOOKUP(L496,de_para!$A$1:$B$31,2,0)*base!M496,0)</f>
        <v/>
      </c>
      <c r="O496" s="38" t="n"/>
      <c r="P496" s="29" t="n"/>
      <c r="Q496" s="67">
        <f>IF(base!O496&lt;&gt;"",VLOOKUP(O496,de_para!$A$1:$B$31,2,0)*base!P496,0)</f>
        <v/>
      </c>
      <c r="R496" s="38" t="n"/>
      <c r="S496" s="29" t="n"/>
      <c r="T496" s="67">
        <f>IF(base!R496&lt;&gt;"",VLOOKUP(R496,de_para!$A$1:$B$31,2,0)*base!S496,0)</f>
        <v/>
      </c>
      <c r="U496" s="68">
        <f>H496+K496+N496+Q496+T496</f>
        <v/>
      </c>
    </row>
    <row r="497">
      <c r="A497" s="29" t="n"/>
      <c r="B497" s="29" t="n"/>
      <c r="C497" s="29" t="n"/>
      <c r="D497" s="29" t="n"/>
      <c r="E497" s="29" t="n"/>
      <c r="F497" s="29" t="n"/>
      <c r="G497" s="29" t="n"/>
      <c r="H497" s="67">
        <f>IF(base!F497&lt;&gt;"",VLOOKUP(F497,de_para!$A$1:$B$31,2,0)*base!G497,0)</f>
        <v/>
      </c>
      <c r="I497" s="38" t="n"/>
      <c r="J497" s="29" t="n"/>
      <c r="K497" s="67">
        <f>IF(base!I497&lt;&gt;"",VLOOKUP(I497,de_para!$A$1:$B$31,2,0)*base!J497,0)</f>
        <v/>
      </c>
      <c r="L497" s="38" t="n"/>
      <c r="M497" s="29" t="n"/>
      <c r="N497" s="67">
        <f>IF(base!L497&lt;&gt;"",VLOOKUP(L497,de_para!$A$1:$B$31,2,0)*base!M497,0)</f>
        <v/>
      </c>
      <c r="O497" s="38" t="n"/>
      <c r="P497" s="29" t="n"/>
      <c r="Q497" s="67">
        <f>IF(base!O497&lt;&gt;"",VLOOKUP(O497,de_para!$A$1:$B$31,2,0)*base!P497,0)</f>
        <v/>
      </c>
      <c r="R497" s="38" t="n"/>
      <c r="S497" s="29" t="n"/>
      <c r="T497" s="67">
        <f>IF(base!R497&lt;&gt;"",VLOOKUP(R497,de_para!$A$1:$B$31,2,0)*base!S497,0)</f>
        <v/>
      </c>
      <c r="U497" s="68">
        <f>H497+K497+N497+Q497+T497</f>
        <v/>
      </c>
    </row>
    <row r="498">
      <c r="A498" s="29" t="n"/>
      <c r="B498" s="29" t="n"/>
      <c r="C498" s="29" t="n"/>
      <c r="D498" s="29" t="n"/>
      <c r="E498" s="29" t="n"/>
      <c r="F498" s="29" t="n"/>
      <c r="G498" s="29" t="n"/>
      <c r="H498" s="67">
        <f>IF(base!F498&lt;&gt;"",VLOOKUP(F498,de_para!$A$1:$B$31,2,0)*base!G498,0)</f>
        <v/>
      </c>
      <c r="I498" s="38" t="n"/>
      <c r="J498" s="29" t="n"/>
      <c r="K498" s="67">
        <f>IF(base!I498&lt;&gt;"",VLOOKUP(I498,de_para!$A$1:$B$31,2,0)*base!J498,0)</f>
        <v/>
      </c>
      <c r="L498" s="38" t="n"/>
      <c r="M498" s="29" t="n"/>
      <c r="N498" s="67">
        <f>IF(base!L498&lt;&gt;"",VLOOKUP(L498,de_para!$A$1:$B$31,2,0)*base!M498,0)</f>
        <v/>
      </c>
      <c r="O498" s="38" t="n"/>
      <c r="P498" s="29" t="n"/>
      <c r="Q498" s="67">
        <f>IF(base!O498&lt;&gt;"",VLOOKUP(O498,de_para!$A$1:$B$31,2,0)*base!P498,0)</f>
        <v/>
      </c>
      <c r="R498" s="38" t="n"/>
      <c r="S498" s="29" t="n"/>
      <c r="T498" s="67">
        <f>IF(base!R498&lt;&gt;"",VLOOKUP(R498,de_para!$A$1:$B$31,2,0)*base!S498,0)</f>
        <v/>
      </c>
      <c r="U498" s="68">
        <f>H498+K498+N498+Q498+T498</f>
        <v/>
      </c>
    </row>
    <row r="499">
      <c r="A499" s="29" t="n"/>
      <c r="B499" s="29" t="n"/>
      <c r="C499" s="29" t="n"/>
      <c r="D499" s="29" t="n"/>
      <c r="E499" s="29" t="n"/>
      <c r="F499" s="29" t="n"/>
      <c r="G499" s="29" t="n"/>
      <c r="H499" s="67">
        <f>IF(base!F499&lt;&gt;"",VLOOKUP(F499,de_para!$A$1:$B$31,2,0)*base!G499,0)</f>
        <v/>
      </c>
      <c r="I499" s="38" t="n"/>
      <c r="J499" s="29" t="n"/>
      <c r="K499" s="67">
        <f>IF(base!I499&lt;&gt;"",VLOOKUP(I499,de_para!$A$1:$B$31,2,0)*base!J499,0)</f>
        <v/>
      </c>
      <c r="L499" s="38" t="n"/>
      <c r="M499" s="29" t="n"/>
      <c r="N499" s="67">
        <f>IF(base!L499&lt;&gt;"",VLOOKUP(L499,de_para!$A$1:$B$31,2,0)*base!M499,0)</f>
        <v/>
      </c>
      <c r="O499" s="38" t="n"/>
      <c r="P499" s="29" t="n"/>
      <c r="Q499" s="67">
        <f>IF(base!O499&lt;&gt;"",VLOOKUP(O499,de_para!$A$1:$B$31,2,0)*base!P499,0)</f>
        <v/>
      </c>
      <c r="R499" s="38" t="n"/>
      <c r="S499" s="29" t="n"/>
      <c r="T499" s="67">
        <f>IF(base!R499&lt;&gt;"",VLOOKUP(R499,de_para!$A$1:$B$31,2,0)*base!S499,0)</f>
        <v/>
      </c>
      <c r="U499" s="68">
        <f>H499+K499+N499+Q499+T499</f>
        <v/>
      </c>
    </row>
    <row r="500">
      <c r="A500" s="29" t="n"/>
      <c r="B500" s="29" t="n"/>
      <c r="C500" s="29" t="n"/>
      <c r="D500" s="29" t="n"/>
      <c r="E500" s="29" t="n"/>
      <c r="F500" s="29" t="n"/>
      <c r="G500" s="29" t="n"/>
      <c r="H500" s="67">
        <f>IF(base!F500&lt;&gt;"",VLOOKUP(F500,de_para!$A$1:$B$31,2,0)*base!G500,0)</f>
        <v/>
      </c>
      <c r="I500" s="38" t="n"/>
      <c r="J500" s="29" t="n"/>
      <c r="K500" s="67">
        <f>IF(base!I500&lt;&gt;"",VLOOKUP(I500,de_para!$A$1:$B$31,2,0)*base!J500,0)</f>
        <v/>
      </c>
      <c r="L500" s="38" t="n"/>
      <c r="M500" s="29" t="n"/>
      <c r="N500" s="67">
        <f>IF(base!L500&lt;&gt;"",VLOOKUP(L500,de_para!$A$1:$B$31,2,0)*base!M500,0)</f>
        <v/>
      </c>
      <c r="O500" s="38" t="n"/>
      <c r="P500" s="29" t="n"/>
      <c r="Q500" s="67">
        <f>IF(base!O500&lt;&gt;"",VLOOKUP(O500,de_para!$A$1:$B$31,2,0)*base!P500,0)</f>
        <v/>
      </c>
      <c r="R500" s="38" t="n"/>
      <c r="S500" s="29" t="n"/>
      <c r="T500" s="67">
        <f>IF(base!R500&lt;&gt;"",VLOOKUP(R500,de_para!$A$1:$B$31,2,0)*base!S500,0)</f>
        <v/>
      </c>
      <c r="U500" s="68">
        <f>H500+K500+N500+Q500+T500</f>
        <v/>
      </c>
    </row>
    <row r="501">
      <c r="A501" s="29" t="n"/>
      <c r="B501" s="29" t="n"/>
      <c r="C501" s="29" t="n"/>
      <c r="D501" s="29" t="n"/>
      <c r="E501" s="29" t="n"/>
      <c r="F501" s="29" t="n"/>
      <c r="G501" s="29" t="n"/>
      <c r="H501" s="67">
        <f>IF(base!F501&lt;&gt;"",VLOOKUP(F501,de_para!$A$1:$B$31,2,0)*base!G501,0)</f>
        <v/>
      </c>
      <c r="I501" s="38" t="n"/>
      <c r="J501" s="29" t="n"/>
      <c r="K501" s="67">
        <f>IF(base!I501&lt;&gt;"",VLOOKUP(I501,de_para!$A$1:$B$31,2,0)*base!J501,0)</f>
        <v/>
      </c>
      <c r="L501" s="38" t="n"/>
      <c r="M501" s="29" t="n"/>
      <c r="N501" s="67">
        <f>IF(base!L501&lt;&gt;"",VLOOKUP(L501,de_para!$A$1:$B$31,2,0)*base!M501,0)</f>
        <v/>
      </c>
      <c r="O501" s="38" t="n"/>
      <c r="P501" s="29" t="n"/>
      <c r="Q501" s="67">
        <f>IF(base!O501&lt;&gt;"",VLOOKUP(O501,de_para!$A$1:$B$31,2,0)*base!P501,0)</f>
        <v/>
      </c>
      <c r="R501" s="38" t="n"/>
      <c r="S501" s="29" t="n"/>
      <c r="T501" s="67">
        <f>IF(base!R501&lt;&gt;"",VLOOKUP(R501,de_para!$A$1:$B$31,2,0)*base!S501,0)</f>
        <v/>
      </c>
      <c r="U501" s="68">
        <f>H501+K501+N501+Q501+T501</f>
        <v/>
      </c>
    </row>
    <row r="502">
      <c r="A502" s="29" t="n"/>
      <c r="B502" s="29" t="n"/>
      <c r="C502" s="29" t="n"/>
      <c r="D502" s="29" t="n"/>
      <c r="E502" s="29" t="n"/>
      <c r="F502" s="29" t="n"/>
      <c r="G502" s="29" t="n"/>
      <c r="H502" s="67">
        <f>IF(base!F502&lt;&gt;"",VLOOKUP(F502,de_para!$A$1:$B$31,2,0)*base!G502,0)</f>
        <v/>
      </c>
      <c r="I502" s="38" t="n"/>
      <c r="J502" s="29" t="n"/>
      <c r="K502" s="67">
        <f>IF(base!I502&lt;&gt;"",VLOOKUP(I502,de_para!$A$1:$B$31,2,0)*base!J502,0)</f>
        <v/>
      </c>
      <c r="L502" s="38" t="n"/>
      <c r="M502" s="29" t="n"/>
      <c r="N502" s="67">
        <f>IF(base!L502&lt;&gt;"",VLOOKUP(L502,de_para!$A$1:$B$31,2,0)*base!M502,0)</f>
        <v/>
      </c>
      <c r="O502" s="38" t="n"/>
      <c r="P502" s="29" t="n"/>
      <c r="Q502" s="67">
        <f>IF(base!O502&lt;&gt;"",VLOOKUP(O502,de_para!$A$1:$B$31,2,0)*base!P502,0)</f>
        <v/>
      </c>
      <c r="R502" s="38" t="n"/>
      <c r="S502" s="29" t="n"/>
      <c r="T502" s="67">
        <f>IF(base!R502&lt;&gt;"",VLOOKUP(R502,de_para!$A$1:$B$31,2,0)*base!S502,0)</f>
        <v/>
      </c>
      <c r="U502" s="68">
        <f>H502+K502+N502+Q502+T502</f>
        <v/>
      </c>
    </row>
    <row r="503">
      <c r="A503" s="29" t="n"/>
      <c r="B503" s="29" t="n"/>
      <c r="C503" s="29" t="n"/>
      <c r="D503" s="29" t="n"/>
      <c r="E503" s="29" t="n"/>
      <c r="F503" s="29" t="n"/>
      <c r="G503" s="29" t="n"/>
      <c r="H503" s="67">
        <f>IF(base!F503&lt;&gt;"",VLOOKUP(F503,de_para!$A$1:$B$31,2,0)*base!G503,0)</f>
        <v/>
      </c>
      <c r="I503" s="38" t="n"/>
      <c r="J503" s="29" t="n"/>
      <c r="K503" s="67">
        <f>IF(base!I503&lt;&gt;"",VLOOKUP(I503,de_para!$A$1:$B$31,2,0)*base!J503,0)</f>
        <v/>
      </c>
      <c r="L503" s="38" t="n"/>
      <c r="M503" s="29" t="n"/>
      <c r="N503" s="67">
        <f>IF(base!L503&lt;&gt;"",VLOOKUP(L503,de_para!$A$1:$B$31,2,0)*base!M503,0)</f>
        <v/>
      </c>
      <c r="O503" s="38" t="n"/>
      <c r="P503" s="29" t="n"/>
      <c r="Q503" s="67">
        <f>IF(base!O503&lt;&gt;"",VLOOKUP(O503,de_para!$A$1:$B$31,2,0)*base!P503,0)</f>
        <v/>
      </c>
      <c r="R503" s="38" t="n"/>
      <c r="S503" s="29" t="n"/>
      <c r="T503" s="67">
        <f>IF(base!R503&lt;&gt;"",VLOOKUP(R503,de_para!$A$1:$B$31,2,0)*base!S503,0)</f>
        <v/>
      </c>
      <c r="U503" s="68">
        <f>H503+K503+N503+Q503+T503</f>
        <v/>
      </c>
    </row>
    <row r="504">
      <c r="A504" s="29" t="n"/>
      <c r="B504" s="29" t="n"/>
      <c r="C504" s="29" t="n"/>
      <c r="D504" s="29" t="n"/>
      <c r="E504" s="29" t="n"/>
      <c r="F504" s="29" t="n"/>
      <c r="G504" s="29" t="n"/>
      <c r="H504" s="67">
        <f>IF(base!F504&lt;&gt;"",VLOOKUP(F504,de_para!$A$1:$B$31,2,0)*base!G504,0)</f>
        <v/>
      </c>
      <c r="I504" s="38" t="n"/>
      <c r="J504" s="29" t="n"/>
      <c r="K504" s="67">
        <f>IF(base!I504&lt;&gt;"",VLOOKUP(I504,de_para!$A$1:$B$31,2,0)*base!J504,0)</f>
        <v/>
      </c>
      <c r="L504" s="38" t="n"/>
      <c r="M504" s="29" t="n"/>
      <c r="N504" s="67">
        <f>IF(base!L504&lt;&gt;"",VLOOKUP(L504,de_para!$A$1:$B$31,2,0)*base!M504,0)</f>
        <v/>
      </c>
      <c r="O504" s="38" t="n"/>
      <c r="P504" s="29" t="n"/>
      <c r="Q504" s="67">
        <f>IF(base!O504&lt;&gt;"",VLOOKUP(O504,de_para!$A$1:$B$31,2,0)*base!P504,0)</f>
        <v/>
      </c>
      <c r="R504" s="38" t="n"/>
      <c r="S504" s="29" t="n"/>
      <c r="T504" s="67">
        <f>IF(base!R504&lt;&gt;"",VLOOKUP(R504,de_para!$A$1:$B$31,2,0)*base!S504,0)</f>
        <v/>
      </c>
      <c r="U504" s="68">
        <f>H504+K504+N504+Q504+T504</f>
        <v/>
      </c>
    </row>
    <row r="505">
      <c r="A505" s="29" t="n"/>
      <c r="B505" s="29" t="n"/>
      <c r="C505" s="29" t="n"/>
      <c r="D505" s="29" t="n"/>
      <c r="E505" s="29" t="n"/>
      <c r="F505" s="29" t="n"/>
      <c r="G505" s="29" t="n"/>
      <c r="H505" s="67">
        <f>IF(base!F505&lt;&gt;"",VLOOKUP(F505,de_para!$A$1:$B$31,2,0)*base!G505,0)</f>
        <v/>
      </c>
      <c r="I505" s="38" t="n"/>
      <c r="J505" s="29" t="n"/>
      <c r="K505" s="67">
        <f>IF(base!I505&lt;&gt;"",VLOOKUP(I505,de_para!$A$1:$B$31,2,0)*base!J505,0)</f>
        <v/>
      </c>
      <c r="L505" s="38" t="n"/>
      <c r="M505" s="29" t="n"/>
      <c r="N505" s="67">
        <f>IF(base!L505&lt;&gt;"",VLOOKUP(L505,de_para!$A$1:$B$31,2,0)*base!M505,0)</f>
        <v/>
      </c>
      <c r="O505" s="38" t="n"/>
      <c r="P505" s="29" t="n"/>
      <c r="Q505" s="67">
        <f>IF(base!O505&lt;&gt;"",VLOOKUP(O505,de_para!$A$1:$B$31,2,0)*base!P505,0)</f>
        <v/>
      </c>
      <c r="R505" s="38" t="n"/>
      <c r="S505" s="29" t="n"/>
      <c r="T505" s="67">
        <f>IF(base!R505&lt;&gt;"",VLOOKUP(R505,de_para!$A$1:$B$31,2,0)*base!S505,0)</f>
        <v/>
      </c>
      <c r="U505" s="68">
        <f>H505+K505+N505+Q505+T505</f>
        <v/>
      </c>
    </row>
    <row r="506">
      <c r="A506" s="29" t="n"/>
      <c r="B506" s="29" t="n"/>
      <c r="C506" s="29" t="n"/>
      <c r="D506" s="29" t="n"/>
      <c r="E506" s="29" t="n"/>
      <c r="F506" s="29" t="n"/>
      <c r="G506" s="29" t="n"/>
      <c r="H506" s="67">
        <f>IF(base!F506&lt;&gt;"",VLOOKUP(F506,de_para!$A$1:$B$31,2,0)*base!G506,0)</f>
        <v/>
      </c>
      <c r="I506" s="38" t="n"/>
      <c r="J506" s="29" t="n"/>
      <c r="K506" s="67">
        <f>IF(base!I506&lt;&gt;"",VLOOKUP(I506,de_para!$A$1:$B$31,2,0)*base!J506,0)</f>
        <v/>
      </c>
      <c r="L506" s="38" t="n"/>
      <c r="M506" s="29" t="n"/>
      <c r="N506" s="67">
        <f>IF(base!L506&lt;&gt;"",VLOOKUP(L506,de_para!$A$1:$B$31,2,0)*base!M506,0)</f>
        <v/>
      </c>
      <c r="O506" s="38" t="n"/>
      <c r="P506" s="29" t="n"/>
      <c r="Q506" s="67">
        <f>IF(base!O506&lt;&gt;"",VLOOKUP(O506,de_para!$A$1:$B$31,2,0)*base!P506,0)</f>
        <v/>
      </c>
      <c r="R506" s="38" t="n"/>
      <c r="S506" s="29" t="n"/>
      <c r="T506" s="67">
        <f>IF(base!R506&lt;&gt;"",VLOOKUP(R506,de_para!$A$1:$B$31,2,0)*base!S506,0)</f>
        <v/>
      </c>
      <c r="U506" s="68">
        <f>H506+K506+N506+Q506+T506</f>
        <v/>
      </c>
    </row>
    <row r="507">
      <c r="A507" s="29" t="n"/>
      <c r="B507" s="29" t="n"/>
      <c r="C507" s="29" t="n"/>
      <c r="D507" s="29" t="n"/>
      <c r="E507" s="29" t="n"/>
      <c r="F507" s="29" t="n"/>
      <c r="G507" s="29" t="n"/>
      <c r="H507" s="67">
        <f>IF(base!F507&lt;&gt;"",VLOOKUP(F507,de_para!$A$1:$B$31,2,0)*base!G507,0)</f>
        <v/>
      </c>
      <c r="I507" s="38" t="n"/>
      <c r="J507" s="29" t="n"/>
      <c r="K507" s="67">
        <f>IF(base!I507&lt;&gt;"",VLOOKUP(I507,de_para!$A$1:$B$31,2,0)*base!J507,0)</f>
        <v/>
      </c>
      <c r="L507" s="38" t="n"/>
      <c r="M507" s="29" t="n"/>
      <c r="N507" s="67">
        <f>IF(base!L507&lt;&gt;"",VLOOKUP(L507,de_para!$A$1:$B$31,2,0)*base!M507,0)</f>
        <v/>
      </c>
      <c r="O507" s="38" t="n"/>
      <c r="P507" s="29" t="n"/>
      <c r="Q507" s="67">
        <f>IF(base!O507&lt;&gt;"",VLOOKUP(O507,de_para!$A$1:$B$31,2,0)*base!P507,0)</f>
        <v/>
      </c>
      <c r="R507" s="38" t="n"/>
      <c r="S507" s="29" t="n"/>
      <c r="T507" s="67">
        <f>IF(base!R507&lt;&gt;"",VLOOKUP(R507,de_para!$A$1:$B$31,2,0)*base!S507,0)</f>
        <v/>
      </c>
      <c r="U507" s="68">
        <f>H507+K507+N507+Q507+T507</f>
        <v/>
      </c>
    </row>
    <row r="508">
      <c r="A508" s="29" t="n"/>
      <c r="B508" s="29" t="n"/>
      <c r="C508" s="29" t="n"/>
      <c r="D508" s="29" t="n"/>
      <c r="E508" s="29" t="n"/>
      <c r="F508" s="29" t="n"/>
      <c r="G508" s="29" t="n"/>
      <c r="H508" s="67">
        <f>IF(base!F508&lt;&gt;"",VLOOKUP(F508,de_para!$A$1:$B$31,2,0)*base!G508,0)</f>
        <v/>
      </c>
      <c r="I508" s="38" t="n"/>
      <c r="J508" s="29" t="n"/>
      <c r="K508" s="67">
        <f>IF(base!I508&lt;&gt;"",VLOOKUP(I508,de_para!$A$1:$B$31,2,0)*base!J508,0)</f>
        <v/>
      </c>
      <c r="L508" s="38" t="n"/>
      <c r="M508" s="29" t="n"/>
      <c r="N508" s="67">
        <f>IF(base!L508&lt;&gt;"",VLOOKUP(L508,de_para!$A$1:$B$31,2,0)*base!M508,0)</f>
        <v/>
      </c>
      <c r="O508" s="38" t="n"/>
      <c r="P508" s="29" t="n"/>
      <c r="Q508" s="67">
        <f>IF(base!O508&lt;&gt;"",VLOOKUP(O508,de_para!$A$1:$B$31,2,0)*base!P508,0)</f>
        <v/>
      </c>
      <c r="R508" s="38" t="n"/>
      <c r="S508" s="29" t="n"/>
      <c r="T508" s="67">
        <f>IF(base!R508&lt;&gt;"",VLOOKUP(R508,de_para!$A$1:$B$31,2,0)*base!S508,0)</f>
        <v/>
      </c>
      <c r="U508" s="68">
        <f>H508+K508+N508+Q508+T508</f>
        <v/>
      </c>
    </row>
    <row r="509">
      <c r="A509" s="29" t="n"/>
      <c r="B509" s="29" t="n"/>
      <c r="C509" s="29" t="n"/>
      <c r="D509" s="29" t="n"/>
      <c r="E509" s="29" t="n"/>
      <c r="F509" s="29" t="n"/>
      <c r="G509" s="29" t="n"/>
      <c r="H509" s="67">
        <f>IF(base!F509&lt;&gt;"",VLOOKUP(F509,de_para!$A$1:$B$31,2,0)*base!G509,0)</f>
        <v/>
      </c>
      <c r="I509" s="38" t="n"/>
      <c r="J509" s="29" t="n"/>
      <c r="K509" s="67">
        <f>IF(base!I509&lt;&gt;"",VLOOKUP(I509,de_para!$A$1:$B$31,2,0)*base!J509,0)</f>
        <v/>
      </c>
      <c r="L509" s="38" t="n"/>
      <c r="M509" s="29" t="n"/>
      <c r="N509" s="67">
        <f>IF(base!L509&lt;&gt;"",VLOOKUP(L509,de_para!$A$1:$B$31,2,0)*base!M509,0)</f>
        <v/>
      </c>
      <c r="O509" s="38" t="n"/>
      <c r="P509" s="29" t="n"/>
      <c r="Q509" s="67">
        <f>IF(base!O509&lt;&gt;"",VLOOKUP(O509,de_para!$A$1:$B$31,2,0)*base!P509,0)</f>
        <v/>
      </c>
      <c r="R509" s="38" t="n"/>
      <c r="S509" s="29" t="n"/>
      <c r="T509" s="67">
        <f>IF(base!R509&lt;&gt;"",VLOOKUP(R509,de_para!$A$1:$B$31,2,0)*base!S509,0)</f>
        <v/>
      </c>
      <c r="U509" s="68">
        <f>H509+K509+N509+Q509+T509</f>
        <v/>
      </c>
    </row>
    <row r="510">
      <c r="A510" s="29" t="n"/>
      <c r="B510" s="29" t="n"/>
      <c r="C510" s="29" t="n"/>
      <c r="D510" s="29" t="n"/>
      <c r="E510" s="29" t="n"/>
      <c r="F510" s="29" t="n"/>
      <c r="G510" s="29" t="n"/>
      <c r="H510" s="67">
        <f>IF(base!F510&lt;&gt;"",VLOOKUP(F510,de_para!$A$1:$B$31,2,0)*base!G510,0)</f>
        <v/>
      </c>
      <c r="I510" s="38" t="n"/>
      <c r="J510" s="29" t="n"/>
      <c r="K510" s="67">
        <f>IF(base!I510&lt;&gt;"",VLOOKUP(I510,de_para!$A$1:$B$31,2,0)*base!J510,0)</f>
        <v/>
      </c>
      <c r="L510" s="38" t="n"/>
      <c r="M510" s="29" t="n"/>
      <c r="N510" s="67">
        <f>IF(base!L510&lt;&gt;"",VLOOKUP(L510,de_para!$A$1:$B$31,2,0)*base!M510,0)</f>
        <v/>
      </c>
      <c r="O510" s="38" t="n"/>
      <c r="P510" s="29" t="n"/>
      <c r="Q510" s="67">
        <f>IF(base!O510&lt;&gt;"",VLOOKUP(O510,de_para!$A$1:$B$31,2,0)*base!P510,0)</f>
        <v/>
      </c>
      <c r="R510" s="38" t="n"/>
      <c r="S510" s="29" t="n"/>
      <c r="T510" s="67">
        <f>IF(base!R510&lt;&gt;"",VLOOKUP(R510,de_para!$A$1:$B$31,2,0)*base!S510,0)</f>
        <v/>
      </c>
      <c r="U510" s="68">
        <f>H510+K510+N510+Q510+T510</f>
        <v/>
      </c>
    </row>
    <row r="511">
      <c r="A511" s="29" t="n"/>
      <c r="B511" s="29" t="n"/>
      <c r="C511" s="29" t="n"/>
      <c r="D511" s="29" t="n"/>
      <c r="E511" s="29" t="n"/>
      <c r="F511" s="29" t="n"/>
      <c r="G511" s="29" t="n"/>
      <c r="H511" s="67">
        <f>IF(base!F511&lt;&gt;"",VLOOKUP(F511,de_para!$A$1:$B$31,2,0)*base!G511,0)</f>
        <v/>
      </c>
      <c r="I511" s="38" t="n"/>
      <c r="J511" s="29" t="n"/>
      <c r="K511" s="67">
        <f>IF(base!I511&lt;&gt;"",VLOOKUP(I511,de_para!$A$1:$B$31,2,0)*base!J511,0)</f>
        <v/>
      </c>
      <c r="L511" s="38" t="n"/>
      <c r="M511" s="29" t="n"/>
      <c r="N511" s="67">
        <f>IF(base!L511&lt;&gt;"",VLOOKUP(L511,de_para!$A$1:$B$31,2,0)*base!M511,0)</f>
        <v/>
      </c>
      <c r="O511" s="38" t="n"/>
      <c r="P511" s="29" t="n"/>
      <c r="Q511" s="67">
        <f>IF(base!O511&lt;&gt;"",VLOOKUP(O511,de_para!$A$1:$B$31,2,0)*base!P511,0)</f>
        <v/>
      </c>
      <c r="R511" s="38" t="n"/>
      <c r="S511" s="29" t="n"/>
      <c r="T511" s="67">
        <f>IF(base!R511&lt;&gt;"",VLOOKUP(R511,de_para!$A$1:$B$31,2,0)*base!S511,0)</f>
        <v/>
      </c>
      <c r="U511" s="68">
        <f>H511+K511+N511+Q511+T511</f>
        <v/>
      </c>
    </row>
    <row r="512">
      <c r="A512" s="29" t="n"/>
      <c r="B512" s="29" t="n"/>
      <c r="C512" s="29" t="n"/>
      <c r="D512" s="29" t="n"/>
      <c r="E512" s="29" t="n"/>
      <c r="F512" s="29" t="n"/>
      <c r="G512" s="29" t="n"/>
      <c r="H512" s="67">
        <f>IF(base!F512&lt;&gt;"",VLOOKUP(F512,de_para!$A$1:$B$31,2,0)*base!G512,0)</f>
        <v/>
      </c>
      <c r="I512" s="38" t="n"/>
      <c r="J512" s="29" t="n"/>
      <c r="K512" s="67">
        <f>IF(base!I512&lt;&gt;"",VLOOKUP(I512,de_para!$A$1:$B$31,2,0)*base!J512,0)</f>
        <v/>
      </c>
      <c r="L512" s="38" t="n"/>
      <c r="M512" s="29" t="n"/>
      <c r="N512" s="67">
        <f>IF(base!L512&lt;&gt;"",VLOOKUP(L512,de_para!$A$1:$B$31,2,0)*base!M512,0)</f>
        <v/>
      </c>
      <c r="O512" s="38" t="n"/>
      <c r="P512" s="29" t="n"/>
      <c r="Q512" s="67">
        <f>IF(base!O512&lt;&gt;"",VLOOKUP(O512,de_para!$A$1:$B$31,2,0)*base!P512,0)</f>
        <v/>
      </c>
      <c r="R512" s="38" t="n"/>
      <c r="S512" s="29" t="n"/>
      <c r="T512" s="67">
        <f>IF(base!R512&lt;&gt;"",VLOOKUP(R512,de_para!$A$1:$B$31,2,0)*base!S512,0)</f>
        <v/>
      </c>
      <c r="U512" s="68">
        <f>H512+K512+N512+Q512+T512</f>
        <v/>
      </c>
    </row>
    <row r="513">
      <c r="A513" s="29" t="n"/>
      <c r="B513" s="29" t="n"/>
      <c r="C513" s="29" t="n"/>
      <c r="D513" s="29" t="n"/>
      <c r="E513" s="29" t="n"/>
      <c r="F513" s="29" t="n"/>
      <c r="G513" s="29" t="n"/>
      <c r="H513" s="67">
        <f>IF(base!F513&lt;&gt;"",VLOOKUP(F513,de_para!$A$1:$B$31,2,0)*base!G513,0)</f>
        <v/>
      </c>
      <c r="I513" s="38" t="n"/>
      <c r="J513" s="29" t="n"/>
      <c r="K513" s="67">
        <f>IF(base!I513&lt;&gt;"",VLOOKUP(I513,de_para!$A$1:$B$31,2,0)*base!J513,0)</f>
        <v/>
      </c>
      <c r="L513" s="38" t="n"/>
      <c r="M513" s="29" t="n"/>
      <c r="N513" s="67">
        <f>IF(base!L513&lt;&gt;"",VLOOKUP(L513,de_para!$A$1:$B$31,2,0)*base!M513,0)</f>
        <v/>
      </c>
      <c r="O513" s="38" t="n"/>
      <c r="P513" s="29" t="n"/>
      <c r="Q513" s="67">
        <f>IF(base!O513&lt;&gt;"",VLOOKUP(O513,de_para!$A$1:$B$31,2,0)*base!P513,0)</f>
        <v/>
      </c>
      <c r="R513" s="38" t="n"/>
      <c r="S513" s="29" t="n"/>
      <c r="T513" s="67">
        <f>IF(base!R513&lt;&gt;"",VLOOKUP(R513,de_para!$A$1:$B$31,2,0)*base!S513,0)</f>
        <v/>
      </c>
      <c r="U513" s="68">
        <f>H513+K513+N513+Q513+T513</f>
        <v/>
      </c>
    </row>
    <row r="514">
      <c r="A514" s="29" t="n"/>
      <c r="B514" s="29" t="n"/>
      <c r="C514" s="29" t="n"/>
      <c r="D514" s="29" t="n"/>
      <c r="E514" s="29" t="n"/>
      <c r="F514" s="29" t="n"/>
      <c r="G514" s="29" t="n"/>
      <c r="H514" s="67">
        <f>IF(base!F514&lt;&gt;"",VLOOKUP(F514,de_para!$A$1:$B$31,2,0)*base!G514,0)</f>
        <v/>
      </c>
      <c r="I514" s="38" t="n"/>
      <c r="J514" s="29" t="n"/>
      <c r="K514" s="67">
        <f>IF(base!I514&lt;&gt;"",VLOOKUP(I514,de_para!$A$1:$B$31,2,0)*base!J514,0)</f>
        <v/>
      </c>
      <c r="L514" s="38" t="n"/>
      <c r="M514" s="29" t="n"/>
      <c r="N514" s="67">
        <f>IF(base!L514&lt;&gt;"",VLOOKUP(L514,de_para!$A$1:$B$31,2,0)*base!M514,0)</f>
        <v/>
      </c>
      <c r="O514" s="38" t="n"/>
      <c r="P514" s="29" t="n"/>
      <c r="Q514" s="67">
        <f>IF(base!O514&lt;&gt;"",VLOOKUP(O514,de_para!$A$1:$B$31,2,0)*base!P514,0)</f>
        <v/>
      </c>
      <c r="R514" s="38" t="n"/>
      <c r="S514" s="29" t="n"/>
      <c r="T514" s="67">
        <f>IF(base!R514&lt;&gt;"",VLOOKUP(R514,de_para!$A$1:$B$31,2,0)*base!S514,0)</f>
        <v/>
      </c>
      <c r="U514" s="68">
        <f>H514+K514+N514+Q514+T514</f>
        <v/>
      </c>
    </row>
    <row r="515">
      <c r="A515" s="29" t="n"/>
      <c r="B515" s="29" t="n"/>
      <c r="C515" s="29" t="n"/>
      <c r="D515" s="29" t="n"/>
      <c r="E515" s="29" t="n"/>
      <c r="F515" s="29" t="n"/>
      <c r="G515" s="29" t="n"/>
      <c r="H515" s="67">
        <f>IF(base!F515&lt;&gt;"",VLOOKUP(F515,de_para!$A$1:$B$31,2,0)*base!G515,0)</f>
        <v/>
      </c>
      <c r="I515" s="38" t="n"/>
      <c r="J515" s="29" t="n"/>
      <c r="K515" s="67">
        <f>IF(base!I515&lt;&gt;"",VLOOKUP(I515,de_para!$A$1:$B$31,2,0)*base!J515,0)</f>
        <v/>
      </c>
      <c r="L515" s="38" t="n"/>
      <c r="M515" s="29" t="n"/>
      <c r="N515" s="67">
        <f>IF(base!L515&lt;&gt;"",VLOOKUP(L515,de_para!$A$1:$B$31,2,0)*base!M515,0)</f>
        <v/>
      </c>
      <c r="O515" s="38" t="n"/>
      <c r="P515" s="29" t="n"/>
      <c r="Q515" s="67">
        <f>IF(base!O515&lt;&gt;"",VLOOKUP(O515,de_para!$A$1:$B$31,2,0)*base!P515,0)</f>
        <v/>
      </c>
      <c r="R515" s="38" t="n"/>
      <c r="S515" s="29" t="n"/>
      <c r="T515" s="67">
        <f>IF(base!R515&lt;&gt;"",VLOOKUP(R515,de_para!$A$1:$B$31,2,0)*base!S515,0)</f>
        <v/>
      </c>
      <c r="U515" s="68">
        <f>H515+K515+N515+Q515+T515</f>
        <v/>
      </c>
    </row>
    <row r="516">
      <c r="A516" s="29" t="n"/>
      <c r="B516" s="29" t="n"/>
      <c r="C516" s="29" t="n"/>
      <c r="D516" s="29" t="n"/>
      <c r="E516" s="29" t="n"/>
      <c r="F516" s="29" t="n"/>
      <c r="G516" s="29" t="n"/>
      <c r="H516" s="67">
        <f>IF(base!F516&lt;&gt;"",VLOOKUP(F516,de_para!$A$1:$B$31,2,0)*base!G516,0)</f>
        <v/>
      </c>
      <c r="I516" s="38" t="n"/>
      <c r="J516" s="29" t="n"/>
      <c r="K516" s="67">
        <f>IF(base!I516&lt;&gt;"",VLOOKUP(I516,de_para!$A$1:$B$31,2,0)*base!J516,0)</f>
        <v/>
      </c>
      <c r="L516" s="38" t="n"/>
      <c r="M516" s="29" t="n"/>
      <c r="N516" s="67">
        <f>IF(base!L516&lt;&gt;"",VLOOKUP(L516,de_para!$A$1:$B$31,2,0)*base!M516,0)</f>
        <v/>
      </c>
      <c r="O516" s="38" t="n"/>
      <c r="P516" s="29" t="n"/>
      <c r="Q516" s="67">
        <f>IF(base!O516&lt;&gt;"",VLOOKUP(O516,de_para!$A$1:$B$31,2,0)*base!P516,0)</f>
        <v/>
      </c>
      <c r="R516" s="38" t="n"/>
      <c r="S516" s="29" t="n"/>
      <c r="T516" s="67">
        <f>IF(base!R516&lt;&gt;"",VLOOKUP(R516,de_para!$A$1:$B$31,2,0)*base!S516,0)</f>
        <v/>
      </c>
      <c r="U516" s="68">
        <f>H516+K516+N516+Q516+T516</f>
        <v/>
      </c>
    </row>
    <row r="517">
      <c r="A517" s="29" t="n"/>
      <c r="B517" s="29" t="n"/>
      <c r="C517" s="29" t="n"/>
      <c r="D517" s="29" t="n"/>
      <c r="E517" s="29" t="n"/>
      <c r="F517" s="29" t="n"/>
      <c r="G517" s="29" t="n"/>
      <c r="H517" s="67">
        <f>IF(base!F517&lt;&gt;"",VLOOKUP(F517,de_para!$A$1:$B$31,2,0)*base!G517,0)</f>
        <v/>
      </c>
      <c r="I517" s="38" t="n"/>
      <c r="J517" s="29" t="n"/>
      <c r="K517" s="67">
        <f>IF(base!I517&lt;&gt;"",VLOOKUP(I517,de_para!$A$1:$B$31,2,0)*base!J517,0)</f>
        <v/>
      </c>
      <c r="L517" s="38" t="n"/>
      <c r="M517" s="29" t="n"/>
      <c r="N517" s="67">
        <f>IF(base!L517&lt;&gt;"",VLOOKUP(L517,de_para!$A$1:$B$31,2,0)*base!M517,0)</f>
        <v/>
      </c>
      <c r="O517" s="38" t="n"/>
      <c r="P517" s="29" t="n"/>
      <c r="Q517" s="67">
        <f>IF(base!O517&lt;&gt;"",VLOOKUP(O517,de_para!$A$1:$B$31,2,0)*base!P517,0)</f>
        <v/>
      </c>
      <c r="R517" s="38" t="n"/>
      <c r="S517" s="29" t="n"/>
      <c r="T517" s="67">
        <f>IF(base!R517&lt;&gt;"",VLOOKUP(R517,de_para!$A$1:$B$31,2,0)*base!S517,0)</f>
        <v/>
      </c>
      <c r="U517" s="68">
        <f>H517+K517+N517+Q517+T517</f>
        <v/>
      </c>
    </row>
    <row r="518">
      <c r="A518" s="29" t="n"/>
      <c r="B518" s="29" t="n"/>
      <c r="C518" s="29" t="n"/>
      <c r="D518" s="29" t="n"/>
      <c r="E518" s="29" t="n"/>
      <c r="F518" s="29" t="n"/>
      <c r="G518" s="29" t="n"/>
      <c r="H518" s="67">
        <f>IF(base!F518&lt;&gt;"",VLOOKUP(F518,de_para!$A$1:$B$31,2,0)*base!G518,0)</f>
        <v/>
      </c>
      <c r="I518" s="38" t="n"/>
      <c r="J518" s="29" t="n"/>
      <c r="K518" s="67">
        <f>IF(base!I518&lt;&gt;"",VLOOKUP(I518,de_para!$A$1:$B$31,2,0)*base!J518,0)</f>
        <v/>
      </c>
      <c r="L518" s="38" t="n"/>
      <c r="M518" s="29" t="n"/>
      <c r="N518" s="67">
        <f>IF(base!L518&lt;&gt;"",VLOOKUP(L518,de_para!$A$1:$B$31,2,0)*base!M518,0)</f>
        <v/>
      </c>
      <c r="O518" s="38" t="n"/>
      <c r="P518" s="29" t="n"/>
      <c r="Q518" s="67">
        <f>IF(base!O518&lt;&gt;"",VLOOKUP(O518,de_para!$A$1:$B$31,2,0)*base!P518,0)</f>
        <v/>
      </c>
      <c r="R518" s="38" t="n"/>
      <c r="S518" s="29" t="n"/>
      <c r="T518" s="67">
        <f>IF(base!R518&lt;&gt;"",VLOOKUP(R518,de_para!$A$1:$B$31,2,0)*base!S518,0)</f>
        <v/>
      </c>
      <c r="U518" s="68">
        <f>H518+K518+N518+Q518+T518</f>
        <v/>
      </c>
    </row>
    <row r="519">
      <c r="A519" s="29" t="n"/>
      <c r="B519" s="29" t="n"/>
      <c r="C519" s="29" t="n"/>
      <c r="D519" s="29" t="n"/>
      <c r="E519" s="29" t="n"/>
      <c r="F519" s="29" t="n"/>
      <c r="G519" s="29" t="n"/>
      <c r="H519" s="67">
        <f>IF(base!F519&lt;&gt;"",VLOOKUP(F519,de_para!$A$1:$B$31,2,0)*base!G519,0)</f>
        <v/>
      </c>
      <c r="I519" s="38" t="n"/>
      <c r="J519" s="29" t="n"/>
      <c r="K519" s="67">
        <f>IF(base!I519&lt;&gt;"",VLOOKUP(I519,de_para!$A$1:$B$31,2,0)*base!J519,0)</f>
        <v/>
      </c>
      <c r="L519" s="38" t="n"/>
      <c r="M519" s="29" t="n"/>
      <c r="N519" s="67">
        <f>IF(base!L519&lt;&gt;"",VLOOKUP(L519,de_para!$A$1:$B$31,2,0)*base!M519,0)</f>
        <v/>
      </c>
      <c r="O519" s="38" t="n"/>
      <c r="P519" s="29" t="n"/>
      <c r="Q519" s="67">
        <f>IF(base!O519&lt;&gt;"",VLOOKUP(O519,de_para!$A$1:$B$31,2,0)*base!P519,0)</f>
        <v/>
      </c>
      <c r="R519" s="38" t="n"/>
      <c r="S519" s="29" t="n"/>
      <c r="T519" s="67">
        <f>IF(base!R519&lt;&gt;"",VLOOKUP(R519,de_para!$A$1:$B$31,2,0)*base!S519,0)</f>
        <v/>
      </c>
      <c r="U519" s="68">
        <f>H519+K519+N519+Q519+T519</f>
        <v/>
      </c>
    </row>
    <row r="520">
      <c r="A520" s="29" t="n"/>
      <c r="B520" s="29" t="n"/>
      <c r="C520" s="29" t="n"/>
      <c r="D520" s="29" t="n"/>
      <c r="E520" s="29" t="n"/>
      <c r="F520" s="29" t="n"/>
      <c r="G520" s="29" t="n"/>
      <c r="H520" s="67">
        <f>IF(base!F520&lt;&gt;"",VLOOKUP(F520,de_para!$A$1:$B$31,2,0)*base!G520,0)</f>
        <v/>
      </c>
      <c r="I520" s="38" t="n"/>
      <c r="J520" s="29" t="n"/>
      <c r="K520" s="67">
        <f>IF(base!I520&lt;&gt;"",VLOOKUP(I520,de_para!$A$1:$B$31,2,0)*base!J520,0)</f>
        <v/>
      </c>
      <c r="L520" s="38" t="n"/>
      <c r="M520" s="29" t="n"/>
      <c r="N520" s="67">
        <f>IF(base!L520&lt;&gt;"",VLOOKUP(L520,de_para!$A$1:$B$31,2,0)*base!M520,0)</f>
        <v/>
      </c>
      <c r="O520" s="38" t="n"/>
      <c r="P520" s="29" t="n"/>
      <c r="Q520" s="67">
        <f>IF(base!O520&lt;&gt;"",VLOOKUP(O520,de_para!$A$1:$B$31,2,0)*base!P520,0)</f>
        <v/>
      </c>
      <c r="R520" s="38" t="n"/>
      <c r="S520" s="29" t="n"/>
      <c r="T520" s="67">
        <f>IF(base!R520&lt;&gt;"",VLOOKUP(R520,de_para!$A$1:$B$31,2,0)*base!S520,0)</f>
        <v/>
      </c>
      <c r="U520" s="68">
        <f>H520+K520+N520+Q520+T520</f>
        <v/>
      </c>
    </row>
    <row r="521">
      <c r="A521" s="29" t="n"/>
      <c r="B521" s="29" t="n"/>
      <c r="C521" s="29" t="n"/>
      <c r="D521" s="29" t="n"/>
      <c r="E521" s="29" t="n"/>
      <c r="F521" s="29" t="n"/>
      <c r="G521" s="29" t="n"/>
      <c r="H521" s="67">
        <f>IF(base!F521&lt;&gt;"",VLOOKUP(F521,de_para!$A$1:$B$31,2,0)*base!G521,0)</f>
        <v/>
      </c>
      <c r="I521" s="38" t="n"/>
      <c r="J521" s="29" t="n"/>
      <c r="K521" s="67">
        <f>IF(base!I521&lt;&gt;"",VLOOKUP(I521,de_para!$A$1:$B$31,2,0)*base!J521,0)</f>
        <v/>
      </c>
      <c r="L521" s="38" t="n"/>
      <c r="M521" s="29" t="n"/>
      <c r="N521" s="67">
        <f>IF(base!L521&lt;&gt;"",VLOOKUP(L521,de_para!$A$1:$B$31,2,0)*base!M521,0)</f>
        <v/>
      </c>
      <c r="O521" s="38" t="n"/>
      <c r="P521" s="29" t="n"/>
      <c r="Q521" s="67">
        <f>IF(base!O521&lt;&gt;"",VLOOKUP(O521,de_para!$A$1:$B$31,2,0)*base!P521,0)</f>
        <v/>
      </c>
      <c r="R521" s="38" t="n"/>
      <c r="S521" s="29" t="n"/>
      <c r="T521" s="67">
        <f>IF(base!R521&lt;&gt;"",VLOOKUP(R521,de_para!$A$1:$B$31,2,0)*base!S521,0)</f>
        <v/>
      </c>
      <c r="U521" s="68">
        <f>H521+K521+N521+Q521+T521</f>
        <v/>
      </c>
    </row>
    <row r="522">
      <c r="A522" s="29" t="n"/>
      <c r="B522" s="29" t="n"/>
      <c r="C522" s="29" t="n"/>
      <c r="D522" s="29" t="n"/>
      <c r="E522" s="29" t="n"/>
      <c r="F522" s="29" t="n"/>
      <c r="G522" s="29" t="n"/>
      <c r="H522" s="67">
        <f>IF(base!F522&lt;&gt;"",VLOOKUP(F522,de_para!$A$1:$B$31,2,0)*base!G522,0)</f>
        <v/>
      </c>
      <c r="I522" s="38" t="n"/>
      <c r="J522" s="29" t="n"/>
      <c r="K522" s="67">
        <f>IF(base!I522&lt;&gt;"",VLOOKUP(I522,de_para!$A$1:$B$31,2,0)*base!J522,0)</f>
        <v/>
      </c>
      <c r="L522" s="38" t="n"/>
      <c r="M522" s="29" t="n"/>
      <c r="N522" s="67">
        <f>IF(base!L522&lt;&gt;"",VLOOKUP(L522,de_para!$A$1:$B$31,2,0)*base!M522,0)</f>
        <v/>
      </c>
      <c r="O522" s="38" t="n"/>
      <c r="P522" s="29" t="n"/>
      <c r="Q522" s="67">
        <f>IF(base!O522&lt;&gt;"",VLOOKUP(O522,de_para!$A$1:$B$31,2,0)*base!P522,0)</f>
        <v/>
      </c>
      <c r="R522" s="38" t="n"/>
      <c r="S522" s="29" t="n"/>
      <c r="T522" s="67">
        <f>IF(base!R522&lt;&gt;"",VLOOKUP(R522,de_para!$A$1:$B$31,2,0)*base!S522,0)</f>
        <v/>
      </c>
      <c r="U522" s="68">
        <f>H522+K522+N522+Q522+T522</f>
        <v/>
      </c>
    </row>
    <row r="523">
      <c r="A523" s="29" t="n"/>
      <c r="B523" s="29" t="n"/>
      <c r="C523" s="29" t="n"/>
      <c r="D523" s="29" t="n"/>
      <c r="E523" s="29" t="n"/>
      <c r="F523" s="29" t="n"/>
      <c r="G523" s="29" t="n"/>
      <c r="H523" s="67">
        <f>IF(base!F523&lt;&gt;"",VLOOKUP(F523,de_para!$A$1:$B$31,2,0)*base!G523,0)</f>
        <v/>
      </c>
      <c r="I523" s="38" t="n"/>
      <c r="J523" s="29" t="n"/>
      <c r="K523" s="67">
        <f>IF(base!I523&lt;&gt;"",VLOOKUP(I523,de_para!$A$1:$B$31,2,0)*base!J523,0)</f>
        <v/>
      </c>
      <c r="L523" s="38" t="n"/>
      <c r="M523" s="29" t="n"/>
      <c r="N523" s="67">
        <f>IF(base!L523&lt;&gt;"",VLOOKUP(L523,de_para!$A$1:$B$31,2,0)*base!M523,0)</f>
        <v/>
      </c>
      <c r="O523" s="38" t="n"/>
      <c r="P523" s="29" t="n"/>
      <c r="Q523" s="67">
        <f>IF(base!O523&lt;&gt;"",VLOOKUP(O523,de_para!$A$1:$B$31,2,0)*base!P523,0)</f>
        <v/>
      </c>
      <c r="R523" s="38" t="n"/>
      <c r="S523" s="29" t="n"/>
      <c r="T523" s="67">
        <f>IF(base!R523&lt;&gt;"",VLOOKUP(R523,de_para!$A$1:$B$31,2,0)*base!S523,0)</f>
        <v/>
      </c>
      <c r="U523" s="68">
        <f>H523+K523+N523+Q523+T523</f>
        <v/>
      </c>
    </row>
    <row r="524">
      <c r="A524" s="29" t="n"/>
      <c r="B524" s="29" t="n"/>
      <c r="C524" s="29" t="n"/>
      <c r="D524" s="29" t="n"/>
      <c r="E524" s="29" t="n"/>
      <c r="F524" s="29" t="n"/>
      <c r="G524" s="29" t="n"/>
      <c r="H524" s="67">
        <f>IF(base!F524&lt;&gt;"",VLOOKUP(F524,de_para!$A$1:$B$31,2,0)*base!G524,0)</f>
        <v/>
      </c>
      <c r="I524" s="38" t="n"/>
      <c r="J524" s="29" t="n"/>
      <c r="K524" s="67">
        <f>IF(base!I524&lt;&gt;"",VLOOKUP(I524,de_para!$A$1:$B$31,2,0)*base!J524,0)</f>
        <v/>
      </c>
      <c r="L524" s="38" t="n"/>
      <c r="M524" s="29" t="n"/>
      <c r="N524" s="67">
        <f>IF(base!L524&lt;&gt;"",VLOOKUP(L524,de_para!$A$1:$B$31,2,0)*base!M524,0)</f>
        <v/>
      </c>
      <c r="O524" s="38" t="n"/>
      <c r="P524" s="29" t="n"/>
      <c r="Q524" s="67">
        <f>IF(base!O524&lt;&gt;"",VLOOKUP(O524,de_para!$A$1:$B$31,2,0)*base!P524,0)</f>
        <v/>
      </c>
      <c r="R524" s="38" t="n"/>
      <c r="S524" s="29" t="n"/>
      <c r="T524" s="67">
        <f>IF(base!R524&lt;&gt;"",VLOOKUP(R524,de_para!$A$1:$B$31,2,0)*base!S524,0)</f>
        <v/>
      </c>
      <c r="U524" s="68">
        <f>H524+K524+N524+Q524+T524</f>
        <v/>
      </c>
    </row>
    <row r="525">
      <c r="A525" s="29" t="n"/>
      <c r="B525" s="29" t="n"/>
      <c r="C525" s="29" t="n"/>
      <c r="D525" s="29" t="n"/>
      <c r="E525" s="29" t="n"/>
      <c r="F525" s="29" t="n"/>
      <c r="G525" s="29" t="n"/>
      <c r="H525" s="67">
        <f>IF(base!F525&lt;&gt;"",VLOOKUP(F525,de_para!$A$1:$B$31,2,0)*base!G525,0)</f>
        <v/>
      </c>
      <c r="I525" s="38" t="n"/>
      <c r="J525" s="29" t="n"/>
      <c r="K525" s="67">
        <f>IF(base!I525&lt;&gt;"",VLOOKUP(I525,de_para!$A$1:$B$31,2,0)*base!J525,0)</f>
        <v/>
      </c>
      <c r="L525" s="38" t="n"/>
      <c r="M525" s="29" t="n"/>
      <c r="N525" s="67">
        <f>IF(base!L525&lt;&gt;"",VLOOKUP(L525,de_para!$A$1:$B$31,2,0)*base!M525,0)</f>
        <v/>
      </c>
      <c r="O525" s="38" t="n"/>
      <c r="P525" s="29" t="n"/>
      <c r="Q525" s="67">
        <f>IF(base!O525&lt;&gt;"",VLOOKUP(O525,de_para!$A$1:$B$31,2,0)*base!P525,0)</f>
        <v/>
      </c>
      <c r="R525" s="38" t="n"/>
      <c r="S525" s="29" t="n"/>
      <c r="T525" s="67">
        <f>IF(base!R525&lt;&gt;"",VLOOKUP(R525,de_para!$A$1:$B$31,2,0)*base!S525,0)</f>
        <v/>
      </c>
      <c r="U525" s="68">
        <f>H525+K525+N525+Q525+T525</f>
        <v/>
      </c>
    </row>
    <row r="526">
      <c r="A526" s="29" t="n"/>
      <c r="B526" s="29" t="n"/>
      <c r="C526" s="29" t="n"/>
      <c r="D526" s="29" t="n"/>
      <c r="E526" s="29" t="n"/>
      <c r="F526" s="29" t="n"/>
      <c r="G526" s="29" t="n"/>
      <c r="H526" s="67">
        <f>IF(base!F526&lt;&gt;"",VLOOKUP(F526,de_para!$A$1:$B$31,2,0)*base!G526,0)</f>
        <v/>
      </c>
      <c r="I526" s="38" t="n"/>
      <c r="J526" s="29" t="n"/>
      <c r="K526" s="67">
        <f>IF(base!I526&lt;&gt;"",VLOOKUP(I526,de_para!$A$1:$B$31,2,0)*base!J526,0)</f>
        <v/>
      </c>
      <c r="L526" s="38" t="n"/>
      <c r="M526" s="29" t="n"/>
      <c r="N526" s="67">
        <f>IF(base!L526&lt;&gt;"",VLOOKUP(L526,de_para!$A$1:$B$31,2,0)*base!M526,0)</f>
        <v/>
      </c>
      <c r="O526" s="38" t="n"/>
      <c r="P526" s="29" t="n"/>
      <c r="Q526" s="67">
        <f>IF(base!O526&lt;&gt;"",VLOOKUP(O526,de_para!$A$1:$B$31,2,0)*base!P526,0)</f>
        <v/>
      </c>
      <c r="R526" s="38" t="n"/>
      <c r="S526" s="29" t="n"/>
      <c r="T526" s="67">
        <f>IF(base!R526&lt;&gt;"",VLOOKUP(R526,de_para!$A$1:$B$31,2,0)*base!S526,0)</f>
        <v/>
      </c>
      <c r="U526" s="68">
        <f>H526+K526+N526+Q526+T526</f>
        <v/>
      </c>
    </row>
    <row r="527">
      <c r="A527" s="29" t="n"/>
      <c r="B527" s="29" t="n"/>
      <c r="C527" s="29" t="n"/>
      <c r="D527" s="29" t="n"/>
      <c r="E527" s="29" t="n"/>
      <c r="F527" s="29" t="n"/>
      <c r="G527" s="29" t="n"/>
      <c r="H527" s="67">
        <f>IF(base!F527&lt;&gt;"",VLOOKUP(F527,de_para!$A$1:$B$31,2,0)*base!G527,0)</f>
        <v/>
      </c>
      <c r="I527" s="38" t="n"/>
      <c r="J527" s="29" t="n"/>
      <c r="K527" s="67">
        <f>IF(base!I527&lt;&gt;"",VLOOKUP(I527,de_para!$A$1:$B$31,2,0)*base!J527,0)</f>
        <v/>
      </c>
      <c r="L527" s="38" t="n"/>
      <c r="M527" s="29" t="n"/>
      <c r="N527" s="67">
        <f>IF(base!L527&lt;&gt;"",VLOOKUP(L527,de_para!$A$1:$B$31,2,0)*base!M527,0)</f>
        <v/>
      </c>
      <c r="O527" s="38" t="n"/>
      <c r="P527" s="29" t="n"/>
      <c r="Q527" s="67">
        <f>IF(base!O527&lt;&gt;"",VLOOKUP(O527,de_para!$A$1:$B$31,2,0)*base!P527,0)</f>
        <v/>
      </c>
      <c r="R527" s="38" t="n"/>
      <c r="S527" s="29" t="n"/>
      <c r="T527" s="67">
        <f>IF(base!R527&lt;&gt;"",VLOOKUP(R527,de_para!$A$1:$B$31,2,0)*base!S527,0)</f>
        <v/>
      </c>
      <c r="U527" s="68">
        <f>H527+K527+N527+Q527+T527</f>
        <v/>
      </c>
    </row>
    <row r="528">
      <c r="A528" s="29" t="n"/>
      <c r="B528" s="29" t="n"/>
      <c r="C528" s="29" t="n"/>
      <c r="D528" s="29" t="n"/>
      <c r="E528" s="29" t="n"/>
      <c r="F528" s="29" t="n"/>
      <c r="G528" s="29" t="n"/>
      <c r="H528" s="67">
        <f>IF(base!F528&lt;&gt;"",VLOOKUP(F528,de_para!$A$1:$B$31,2,0)*base!G528,0)</f>
        <v/>
      </c>
      <c r="I528" s="38" t="n"/>
      <c r="J528" s="29" t="n"/>
      <c r="K528" s="67">
        <f>IF(base!I528&lt;&gt;"",VLOOKUP(I528,de_para!$A$1:$B$31,2,0)*base!J528,0)</f>
        <v/>
      </c>
      <c r="L528" s="38" t="n"/>
      <c r="M528" s="29" t="n"/>
      <c r="N528" s="67">
        <f>IF(base!L528&lt;&gt;"",VLOOKUP(L528,de_para!$A$1:$B$31,2,0)*base!M528,0)</f>
        <v/>
      </c>
      <c r="O528" s="38" t="n"/>
      <c r="P528" s="29" t="n"/>
      <c r="Q528" s="67">
        <f>IF(base!O528&lt;&gt;"",VLOOKUP(O528,de_para!$A$1:$B$31,2,0)*base!P528,0)</f>
        <v/>
      </c>
      <c r="R528" s="38" t="n"/>
      <c r="S528" s="29" t="n"/>
      <c r="T528" s="67">
        <f>IF(base!R528&lt;&gt;"",VLOOKUP(R528,de_para!$A$1:$B$31,2,0)*base!S528,0)</f>
        <v/>
      </c>
      <c r="U528" s="68">
        <f>H528+K528+N528+Q528+T528</f>
        <v/>
      </c>
    </row>
    <row r="529">
      <c r="A529" s="29" t="n"/>
      <c r="B529" s="29" t="n"/>
      <c r="C529" s="29" t="n"/>
      <c r="D529" s="29" t="n"/>
      <c r="E529" s="29" t="n"/>
      <c r="F529" s="29" t="n"/>
      <c r="G529" s="29" t="n"/>
      <c r="H529" s="67">
        <f>IF(base!F529&lt;&gt;"",VLOOKUP(F529,de_para!$A$1:$B$31,2,0)*base!G529,0)</f>
        <v/>
      </c>
      <c r="I529" s="38" t="n"/>
      <c r="J529" s="29" t="n"/>
      <c r="K529" s="67">
        <f>IF(base!I529&lt;&gt;"",VLOOKUP(I529,de_para!$A$1:$B$31,2,0)*base!J529,0)</f>
        <v/>
      </c>
      <c r="L529" s="38" t="n"/>
      <c r="M529" s="29" t="n"/>
      <c r="N529" s="67">
        <f>IF(base!L529&lt;&gt;"",VLOOKUP(L529,de_para!$A$1:$B$31,2,0)*base!M529,0)</f>
        <v/>
      </c>
      <c r="O529" s="38" t="n"/>
      <c r="P529" s="29" t="n"/>
      <c r="Q529" s="67">
        <f>IF(base!O529&lt;&gt;"",VLOOKUP(O529,de_para!$A$1:$B$31,2,0)*base!P529,0)</f>
        <v/>
      </c>
      <c r="R529" s="38" t="n"/>
      <c r="S529" s="29" t="n"/>
      <c r="T529" s="67">
        <f>IF(base!R529&lt;&gt;"",VLOOKUP(R529,de_para!$A$1:$B$31,2,0)*base!S529,0)</f>
        <v/>
      </c>
      <c r="U529" s="68">
        <f>H529+K529+N529+Q529+T529</f>
        <v/>
      </c>
    </row>
    <row r="530">
      <c r="A530" s="29" t="n"/>
      <c r="B530" s="29" t="n"/>
      <c r="C530" s="29" t="n"/>
      <c r="D530" s="29" t="n"/>
      <c r="E530" s="29" t="n"/>
      <c r="F530" s="29" t="n"/>
      <c r="G530" s="29" t="n"/>
      <c r="H530" s="67">
        <f>IF(base!F530&lt;&gt;"",VLOOKUP(F530,de_para!$A$1:$B$31,2,0)*base!G530,0)</f>
        <v/>
      </c>
      <c r="I530" s="38" t="n"/>
      <c r="J530" s="29" t="n"/>
      <c r="K530" s="67">
        <f>IF(base!I530&lt;&gt;"",VLOOKUP(I530,de_para!$A$1:$B$31,2,0)*base!J530,0)</f>
        <v/>
      </c>
      <c r="L530" s="38" t="n"/>
      <c r="M530" s="29" t="n"/>
      <c r="N530" s="67">
        <f>IF(base!L530&lt;&gt;"",VLOOKUP(L530,de_para!$A$1:$B$31,2,0)*base!M530,0)</f>
        <v/>
      </c>
      <c r="O530" s="38" t="n"/>
      <c r="P530" s="29" t="n"/>
      <c r="Q530" s="67">
        <f>IF(base!O530&lt;&gt;"",VLOOKUP(O530,de_para!$A$1:$B$31,2,0)*base!P530,0)</f>
        <v/>
      </c>
      <c r="R530" s="38" t="n"/>
      <c r="S530" s="29" t="n"/>
      <c r="T530" s="67">
        <f>IF(base!R530&lt;&gt;"",VLOOKUP(R530,de_para!$A$1:$B$31,2,0)*base!S530,0)</f>
        <v/>
      </c>
      <c r="U530" s="68">
        <f>H530+K530+N530+Q530+T530</f>
        <v/>
      </c>
    </row>
    <row r="531">
      <c r="A531" s="29" t="n"/>
      <c r="B531" s="29" t="n"/>
      <c r="C531" s="29" t="n"/>
      <c r="D531" s="29" t="n"/>
      <c r="E531" s="29" t="n"/>
      <c r="F531" s="29" t="n"/>
      <c r="G531" s="29" t="n"/>
      <c r="H531" s="67">
        <f>IF(base!F531&lt;&gt;"",VLOOKUP(F531,de_para!$A$1:$B$31,2,0)*base!G531,0)</f>
        <v/>
      </c>
      <c r="I531" s="38" t="n"/>
      <c r="J531" s="29" t="n"/>
      <c r="K531" s="67">
        <f>IF(base!I531&lt;&gt;"",VLOOKUP(I531,de_para!$A$1:$B$31,2,0)*base!J531,0)</f>
        <v/>
      </c>
      <c r="L531" s="38" t="n"/>
      <c r="M531" s="29" t="n"/>
      <c r="N531" s="67">
        <f>IF(base!L531&lt;&gt;"",VLOOKUP(L531,de_para!$A$1:$B$31,2,0)*base!M531,0)</f>
        <v/>
      </c>
      <c r="O531" s="38" t="n"/>
      <c r="P531" s="29" t="n"/>
      <c r="Q531" s="67">
        <f>IF(base!O531&lt;&gt;"",VLOOKUP(O531,de_para!$A$1:$B$31,2,0)*base!P531,0)</f>
        <v/>
      </c>
      <c r="R531" s="38" t="n"/>
      <c r="S531" s="29" t="n"/>
      <c r="T531" s="67">
        <f>IF(base!R531&lt;&gt;"",VLOOKUP(R531,de_para!$A$1:$B$31,2,0)*base!S531,0)</f>
        <v/>
      </c>
      <c r="U531" s="68">
        <f>H531+K531+N531+Q531+T531</f>
        <v/>
      </c>
    </row>
    <row r="532">
      <c r="A532" s="29" t="n"/>
      <c r="B532" s="29" t="n"/>
      <c r="C532" s="29" t="n"/>
      <c r="D532" s="29" t="n"/>
      <c r="E532" s="29" t="n"/>
      <c r="F532" s="29" t="n"/>
      <c r="G532" s="29" t="n"/>
      <c r="H532" s="67">
        <f>IF(base!F532&lt;&gt;"",VLOOKUP(F532,de_para!$A$1:$B$31,2,0)*base!G532,0)</f>
        <v/>
      </c>
      <c r="I532" s="38" t="n"/>
      <c r="J532" s="29" t="n"/>
      <c r="K532" s="67">
        <f>IF(base!I532&lt;&gt;"",VLOOKUP(I532,de_para!$A$1:$B$31,2,0)*base!J532,0)</f>
        <v/>
      </c>
      <c r="L532" s="38" t="n"/>
      <c r="M532" s="29" t="n"/>
      <c r="N532" s="67">
        <f>IF(base!L532&lt;&gt;"",VLOOKUP(L532,de_para!$A$1:$B$31,2,0)*base!M532,0)</f>
        <v/>
      </c>
      <c r="O532" s="38" t="n"/>
      <c r="P532" s="29" t="n"/>
      <c r="Q532" s="67">
        <f>IF(base!O532&lt;&gt;"",VLOOKUP(O532,de_para!$A$1:$B$31,2,0)*base!P532,0)</f>
        <v/>
      </c>
      <c r="R532" s="38" t="n"/>
      <c r="S532" s="29" t="n"/>
      <c r="T532" s="67">
        <f>IF(base!R532&lt;&gt;"",VLOOKUP(R532,de_para!$A$1:$B$31,2,0)*base!S532,0)</f>
        <v/>
      </c>
      <c r="U532" s="68">
        <f>H532+K532+N532+Q532+T532</f>
        <v/>
      </c>
    </row>
    <row r="533">
      <c r="A533" s="29" t="n"/>
      <c r="B533" s="29" t="n"/>
      <c r="C533" s="29" t="n"/>
      <c r="D533" s="29" t="n"/>
      <c r="E533" s="29" t="n"/>
      <c r="F533" s="29" t="n"/>
      <c r="G533" s="29" t="n"/>
      <c r="H533" s="67">
        <f>IF(base!F533&lt;&gt;"",VLOOKUP(F533,de_para!$A$1:$B$31,2,0)*base!G533,0)</f>
        <v/>
      </c>
      <c r="I533" s="38" t="n"/>
      <c r="J533" s="29" t="n"/>
      <c r="K533" s="67">
        <f>IF(base!I533&lt;&gt;"",VLOOKUP(I533,de_para!$A$1:$B$31,2,0)*base!J533,0)</f>
        <v/>
      </c>
      <c r="L533" s="38" t="n"/>
      <c r="M533" s="29" t="n"/>
      <c r="N533" s="67">
        <f>IF(base!L533&lt;&gt;"",VLOOKUP(L533,de_para!$A$1:$B$31,2,0)*base!M533,0)</f>
        <v/>
      </c>
      <c r="O533" s="38" t="n"/>
      <c r="P533" s="29" t="n"/>
      <c r="Q533" s="67">
        <f>IF(base!O533&lt;&gt;"",VLOOKUP(O533,de_para!$A$1:$B$31,2,0)*base!P533,0)</f>
        <v/>
      </c>
      <c r="R533" s="38" t="n"/>
      <c r="S533" s="29" t="n"/>
      <c r="T533" s="67">
        <f>IF(base!R533&lt;&gt;"",VLOOKUP(R533,de_para!$A$1:$B$31,2,0)*base!S533,0)</f>
        <v/>
      </c>
      <c r="U533" s="68">
        <f>H533+K533+N533+Q533+T533</f>
        <v/>
      </c>
    </row>
    <row r="534">
      <c r="A534" s="29" t="n"/>
      <c r="B534" s="29" t="n"/>
      <c r="C534" s="29" t="n"/>
      <c r="D534" s="29" t="n"/>
      <c r="E534" s="29" t="n"/>
      <c r="F534" s="29" t="n"/>
      <c r="G534" s="29" t="n"/>
      <c r="H534" s="67">
        <f>IF(base!F534&lt;&gt;"",VLOOKUP(F534,de_para!$A$1:$B$31,2,0)*base!G534,0)</f>
        <v/>
      </c>
      <c r="I534" s="38" t="n"/>
      <c r="J534" s="29" t="n"/>
      <c r="K534" s="67">
        <f>IF(base!I534&lt;&gt;"",VLOOKUP(I534,de_para!$A$1:$B$31,2,0)*base!J534,0)</f>
        <v/>
      </c>
      <c r="L534" s="38" t="n"/>
      <c r="M534" s="29" t="n"/>
      <c r="N534" s="67">
        <f>IF(base!L534&lt;&gt;"",VLOOKUP(L534,de_para!$A$1:$B$31,2,0)*base!M534,0)</f>
        <v/>
      </c>
      <c r="O534" s="38" t="n"/>
      <c r="P534" s="29" t="n"/>
      <c r="Q534" s="67">
        <f>IF(base!O534&lt;&gt;"",VLOOKUP(O534,de_para!$A$1:$B$31,2,0)*base!P534,0)</f>
        <v/>
      </c>
      <c r="R534" s="38" t="n"/>
      <c r="S534" s="29" t="n"/>
      <c r="T534" s="67">
        <f>IF(base!R534&lt;&gt;"",VLOOKUP(R534,de_para!$A$1:$B$31,2,0)*base!S534,0)</f>
        <v/>
      </c>
      <c r="U534" s="68">
        <f>H534+K534+N534+Q534+T534</f>
        <v/>
      </c>
    </row>
    <row r="535">
      <c r="A535" s="29" t="n"/>
      <c r="B535" s="29" t="n"/>
      <c r="C535" s="29" t="n"/>
      <c r="D535" s="29" t="n"/>
      <c r="E535" s="29" t="n"/>
      <c r="F535" s="29" t="n"/>
      <c r="G535" s="29" t="n"/>
      <c r="H535" s="67">
        <f>IF(base!F535&lt;&gt;"",VLOOKUP(F535,de_para!$A$1:$B$31,2,0)*base!G535,0)</f>
        <v/>
      </c>
      <c r="I535" s="38" t="n"/>
      <c r="J535" s="29" t="n"/>
      <c r="K535" s="67">
        <f>IF(base!I535&lt;&gt;"",VLOOKUP(I535,de_para!$A$1:$B$31,2,0)*base!J535,0)</f>
        <v/>
      </c>
      <c r="L535" s="38" t="n"/>
      <c r="M535" s="29" t="n"/>
      <c r="N535" s="67">
        <f>IF(base!L535&lt;&gt;"",VLOOKUP(L535,de_para!$A$1:$B$31,2,0)*base!M535,0)</f>
        <v/>
      </c>
      <c r="O535" s="38" t="n"/>
      <c r="P535" s="29" t="n"/>
      <c r="Q535" s="67">
        <f>IF(base!O535&lt;&gt;"",VLOOKUP(O535,de_para!$A$1:$B$31,2,0)*base!P535,0)</f>
        <v/>
      </c>
      <c r="R535" s="38" t="n"/>
      <c r="S535" s="29" t="n"/>
      <c r="T535" s="67">
        <f>IF(base!R535&lt;&gt;"",VLOOKUP(R535,de_para!$A$1:$B$31,2,0)*base!S535,0)</f>
        <v/>
      </c>
      <c r="U535" s="68">
        <f>H535+K535+N535+Q535+T535</f>
        <v/>
      </c>
    </row>
    <row r="536">
      <c r="A536" s="29" t="n"/>
      <c r="B536" s="29" t="n"/>
      <c r="C536" s="29" t="n"/>
      <c r="D536" s="29" t="n"/>
      <c r="E536" s="29" t="n"/>
      <c r="F536" s="29" t="n"/>
      <c r="G536" s="29" t="n"/>
      <c r="H536" s="67">
        <f>IF(base!F536&lt;&gt;"",VLOOKUP(F536,de_para!$A$1:$B$31,2,0)*base!G536,0)</f>
        <v/>
      </c>
      <c r="I536" s="38" t="n"/>
      <c r="J536" s="29" t="n"/>
      <c r="K536" s="67">
        <f>IF(base!I536&lt;&gt;"",VLOOKUP(I536,de_para!$A$1:$B$31,2,0)*base!J536,0)</f>
        <v/>
      </c>
      <c r="L536" s="38" t="n"/>
      <c r="M536" s="29" t="n"/>
      <c r="N536" s="67">
        <f>IF(base!L536&lt;&gt;"",VLOOKUP(L536,de_para!$A$1:$B$31,2,0)*base!M536,0)</f>
        <v/>
      </c>
      <c r="O536" s="38" t="n"/>
      <c r="P536" s="29" t="n"/>
      <c r="Q536" s="67">
        <f>IF(base!O536&lt;&gt;"",VLOOKUP(O536,de_para!$A$1:$B$31,2,0)*base!P536,0)</f>
        <v/>
      </c>
      <c r="R536" s="38" t="n"/>
      <c r="S536" s="29" t="n"/>
      <c r="T536" s="67">
        <f>IF(base!R536&lt;&gt;"",VLOOKUP(R536,de_para!$A$1:$B$31,2,0)*base!S536,0)</f>
        <v/>
      </c>
      <c r="U536" s="68">
        <f>H536+K536+N536+Q536+T536</f>
        <v/>
      </c>
    </row>
    <row r="537">
      <c r="A537" s="29" t="n"/>
      <c r="B537" s="29" t="n"/>
      <c r="C537" s="29" t="n"/>
      <c r="D537" s="29" t="n"/>
      <c r="E537" s="29" t="n"/>
      <c r="F537" s="29" t="n"/>
      <c r="G537" s="29" t="n"/>
      <c r="H537" s="67">
        <f>IF(base!F537&lt;&gt;"",VLOOKUP(F537,de_para!$A$1:$B$31,2,0)*base!G537,0)</f>
        <v/>
      </c>
      <c r="I537" s="38" t="n"/>
      <c r="J537" s="29" t="n"/>
      <c r="K537" s="67">
        <f>IF(base!I537&lt;&gt;"",VLOOKUP(I537,de_para!$A$1:$B$31,2,0)*base!J537,0)</f>
        <v/>
      </c>
      <c r="L537" s="38" t="n"/>
      <c r="M537" s="29" t="n"/>
      <c r="N537" s="67">
        <f>IF(base!L537&lt;&gt;"",VLOOKUP(L537,de_para!$A$1:$B$31,2,0)*base!M537,0)</f>
        <v/>
      </c>
      <c r="O537" s="38" t="n"/>
      <c r="P537" s="29" t="n"/>
      <c r="Q537" s="67">
        <f>IF(base!O537&lt;&gt;"",VLOOKUP(O537,de_para!$A$1:$B$31,2,0)*base!P537,0)</f>
        <v/>
      </c>
      <c r="R537" s="38" t="n"/>
      <c r="S537" s="29" t="n"/>
      <c r="T537" s="67">
        <f>IF(base!R537&lt;&gt;"",VLOOKUP(R537,de_para!$A$1:$B$31,2,0)*base!S537,0)</f>
        <v/>
      </c>
      <c r="U537" s="68">
        <f>H537+K537+N537+Q537+T537</f>
        <v/>
      </c>
    </row>
    <row r="538">
      <c r="A538" s="29" t="n"/>
      <c r="B538" s="29" t="n"/>
      <c r="C538" s="29" t="n"/>
      <c r="D538" s="29" t="n"/>
      <c r="E538" s="29" t="n"/>
      <c r="F538" s="29" t="n"/>
      <c r="G538" s="29" t="n"/>
      <c r="H538" s="67">
        <f>IF(base!F538&lt;&gt;"",VLOOKUP(F538,de_para!$A$1:$B$31,2,0)*base!G538,0)</f>
        <v/>
      </c>
      <c r="I538" s="38" t="n"/>
      <c r="J538" s="29" t="n"/>
      <c r="K538" s="67">
        <f>IF(base!I538&lt;&gt;"",VLOOKUP(I538,de_para!$A$1:$B$31,2,0)*base!J538,0)</f>
        <v/>
      </c>
      <c r="L538" s="38" t="n"/>
      <c r="M538" s="29" t="n"/>
      <c r="N538" s="67">
        <f>IF(base!L538&lt;&gt;"",VLOOKUP(L538,de_para!$A$1:$B$31,2,0)*base!M538,0)</f>
        <v/>
      </c>
      <c r="O538" s="38" t="n"/>
      <c r="P538" s="29" t="n"/>
      <c r="Q538" s="67">
        <f>IF(base!O538&lt;&gt;"",VLOOKUP(O538,de_para!$A$1:$B$31,2,0)*base!P538,0)</f>
        <v/>
      </c>
      <c r="R538" s="38" t="n"/>
      <c r="S538" s="29" t="n"/>
      <c r="T538" s="67">
        <f>IF(base!R538&lt;&gt;"",VLOOKUP(R538,de_para!$A$1:$B$31,2,0)*base!S538,0)</f>
        <v/>
      </c>
      <c r="U538" s="68">
        <f>H538+K538+N538+Q538+T538</f>
        <v/>
      </c>
    </row>
    <row r="539">
      <c r="A539" s="29" t="n"/>
      <c r="B539" s="29" t="n"/>
      <c r="C539" s="29" t="n"/>
      <c r="D539" s="29" t="n"/>
      <c r="E539" s="29" t="n"/>
      <c r="F539" s="29" t="n"/>
      <c r="G539" s="29" t="n"/>
      <c r="H539" s="67">
        <f>IF(base!F539&lt;&gt;"",VLOOKUP(F539,de_para!$A$1:$B$31,2,0)*base!G539,0)</f>
        <v/>
      </c>
      <c r="I539" s="38" t="n"/>
      <c r="J539" s="29" t="n"/>
      <c r="K539" s="67">
        <f>IF(base!I539&lt;&gt;"",VLOOKUP(I539,de_para!$A$1:$B$31,2,0)*base!J539,0)</f>
        <v/>
      </c>
      <c r="L539" s="38" t="n"/>
      <c r="M539" s="29" t="n"/>
      <c r="N539" s="67">
        <f>IF(base!L539&lt;&gt;"",VLOOKUP(L539,de_para!$A$1:$B$31,2,0)*base!M539,0)</f>
        <v/>
      </c>
      <c r="O539" s="38" t="n"/>
      <c r="P539" s="29" t="n"/>
      <c r="Q539" s="67">
        <f>IF(base!O539&lt;&gt;"",VLOOKUP(O539,de_para!$A$1:$B$31,2,0)*base!P539,0)</f>
        <v/>
      </c>
      <c r="R539" s="38" t="n"/>
      <c r="S539" s="29" t="n"/>
      <c r="T539" s="67">
        <f>IF(base!R539&lt;&gt;"",VLOOKUP(R539,de_para!$A$1:$B$31,2,0)*base!S539,0)</f>
        <v/>
      </c>
      <c r="U539" s="68">
        <f>H539+K539+N539+Q539+T539</f>
        <v/>
      </c>
    </row>
    <row r="540">
      <c r="A540" s="29" t="n"/>
      <c r="B540" s="29" t="n"/>
      <c r="C540" s="29" t="n"/>
      <c r="D540" s="29" t="n"/>
      <c r="E540" s="29" t="n"/>
      <c r="F540" s="29" t="n"/>
      <c r="G540" s="29" t="n"/>
      <c r="H540" s="67">
        <f>IF(base!F540&lt;&gt;"",VLOOKUP(F540,de_para!$A$1:$B$31,2,0)*base!G540,0)</f>
        <v/>
      </c>
      <c r="I540" s="38" t="n"/>
      <c r="J540" s="29" t="n"/>
      <c r="K540" s="67">
        <f>IF(base!I540&lt;&gt;"",VLOOKUP(I540,de_para!$A$1:$B$31,2,0)*base!J540,0)</f>
        <v/>
      </c>
      <c r="L540" s="38" t="n"/>
      <c r="M540" s="29" t="n"/>
      <c r="N540" s="67">
        <f>IF(base!L540&lt;&gt;"",VLOOKUP(L540,de_para!$A$1:$B$31,2,0)*base!M540,0)</f>
        <v/>
      </c>
      <c r="O540" s="38" t="n"/>
      <c r="P540" s="29" t="n"/>
      <c r="Q540" s="67">
        <f>IF(base!O540&lt;&gt;"",VLOOKUP(O540,de_para!$A$1:$B$31,2,0)*base!P540,0)</f>
        <v/>
      </c>
      <c r="R540" s="38" t="n"/>
      <c r="S540" s="29" t="n"/>
      <c r="T540" s="67">
        <f>IF(base!R540&lt;&gt;"",VLOOKUP(R540,de_para!$A$1:$B$31,2,0)*base!S540,0)</f>
        <v/>
      </c>
      <c r="U540" s="68">
        <f>H540+K540+N540+Q540+T540</f>
        <v/>
      </c>
    </row>
    <row r="541">
      <c r="A541" s="29" t="n"/>
      <c r="B541" s="29" t="n"/>
      <c r="C541" s="29" t="n"/>
      <c r="D541" s="29" t="n"/>
      <c r="E541" s="29" t="n"/>
      <c r="F541" s="29" t="n"/>
      <c r="G541" s="29" t="n"/>
      <c r="H541" s="67">
        <f>IF(base!F541&lt;&gt;"",VLOOKUP(F541,de_para!$A$1:$B$31,2,0)*base!G541,0)</f>
        <v/>
      </c>
      <c r="I541" s="38" t="n"/>
      <c r="J541" s="29" t="n"/>
      <c r="K541" s="67">
        <f>IF(base!I541&lt;&gt;"",VLOOKUP(I541,de_para!$A$1:$B$31,2,0)*base!J541,0)</f>
        <v/>
      </c>
      <c r="L541" s="38" t="n"/>
      <c r="M541" s="29" t="n"/>
      <c r="N541" s="67">
        <f>IF(base!L541&lt;&gt;"",VLOOKUP(L541,de_para!$A$1:$B$31,2,0)*base!M541,0)</f>
        <v/>
      </c>
      <c r="O541" s="38" t="n"/>
      <c r="P541" s="29" t="n"/>
      <c r="Q541" s="67">
        <f>IF(base!O541&lt;&gt;"",VLOOKUP(O541,de_para!$A$1:$B$31,2,0)*base!P541,0)</f>
        <v/>
      </c>
      <c r="R541" s="38" t="n"/>
      <c r="S541" s="29" t="n"/>
      <c r="T541" s="67">
        <f>IF(base!R541&lt;&gt;"",VLOOKUP(R541,de_para!$A$1:$B$31,2,0)*base!S541,0)</f>
        <v/>
      </c>
      <c r="U541" s="68">
        <f>H541+K541+N541+Q541+T541</f>
        <v/>
      </c>
    </row>
    <row r="542">
      <c r="A542" s="29" t="n"/>
      <c r="B542" s="29" t="n"/>
      <c r="C542" s="29" t="n"/>
      <c r="D542" s="29" t="n"/>
      <c r="E542" s="29" t="n"/>
      <c r="F542" s="29" t="n"/>
      <c r="G542" s="29" t="n"/>
      <c r="H542" s="67">
        <f>IF(base!F542&lt;&gt;"",VLOOKUP(F542,de_para!$A$1:$B$31,2,0)*base!G542,0)</f>
        <v/>
      </c>
      <c r="I542" s="38" t="n"/>
      <c r="J542" s="29" t="n"/>
      <c r="K542" s="67">
        <f>IF(base!I542&lt;&gt;"",VLOOKUP(I542,de_para!$A$1:$B$31,2,0)*base!J542,0)</f>
        <v/>
      </c>
      <c r="L542" s="38" t="n"/>
      <c r="M542" s="29" t="n"/>
      <c r="N542" s="67">
        <f>IF(base!L542&lt;&gt;"",VLOOKUP(L542,de_para!$A$1:$B$31,2,0)*base!M542,0)</f>
        <v/>
      </c>
      <c r="O542" s="38" t="n"/>
      <c r="P542" s="29" t="n"/>
      <c r="Q542" s="67">
        <f>IF(base!O542&lt;&gt;"",VLOOKUP(O542,de_para!$A$1:$B$31,2,0)*base!P542,0)</f>
        <v/>
      </c>
      <c r="R542" s="38" t="n"/>
      <c r="S542" s="29" t="n"/>
      <c r="T542" s="67">
        <f>IF(base!R542&lt;&gt;"",VLOOKUP(R542,de_para!$A$1:$B$31,2,0)*base!S542,0)</f>
        <v/>
      </c>
      <c r="U542" s="68">
        <f>H542+K542+N542+Q542+T542</f>
        <v/>
      </c>
    </row>
    <row r="543">
      <c r="A543" s="29" t="n"/>
      <c r="B543" s="29" t="n"/>
      <c r="C543" s="29" t="n"/>
      <c r="D543" s="29" t="n"/>
      <c r="E543" s="29" t="n"/>
      <c r="F543" s="29" t="n"/>
      <c r="G543" s="29" t="n"/>
      <c r="H543" s="67">
        <f>IF(base!F543&lt;&gt;"",VLOOKUP(F543,de_para!$A$1:$B$31,2,0)*base!G543,0)</f>
        <v/>
      </c>
      <c r="I543" s="38" t="n"/>
      <c r="J543" s="29" t="n"/>
      <c r="K543" s="67">
        <f>IF(base!I543&lt;&gt;"",VLOOKUP(I543,de_para!$A$1:$B$31,2,0)*base!J543,0)</f>
        <v/>
      </c>
      <c r="L543" s="38" t="n"/>
      <c r="M543" s="29" t="n"/>
      <c r="N543" s="67">
        <f>IF(base!L543&lt;&gt;"",VLOOKUP(L543,de_para!$A$1:$B$31,2,0)*base!M543,0)</f>
        <v/>
      </c>
      <c r="O543" s="38" t="n"/>
      <c r="P543" s="29" t="n"/>
      <c r="Q543" s="67">
        <f>IF(base!O543&lt;&gt;"",VLOOKUP(O543,de_para!$A$1:$B$31,2,0)*base!P543,0)</f>
        <v/>
      </c>
      <c r="R543" s="38" t="n"/>
      <c r="S543" s="29" t="n"/>
      <c r="T543" s="67">
        <f>IF(base!R543&lt;&gt;"",VLOOKUP(R543,de_para!$A$1:$B$31,2,0)*base!S543,0)</f>
        <v/>
      </c>
      <c r="U543" s="68">
        <f>H543+K543+N543+Q543+T543</f>
        <v/>
      </c>
    </row>
    <row r="544">
      <c r="A544" s="29" t="n"/>
      <c r="B544" s="29" t="n"/>
      <c r="C544" s="29" t="n"/>
      <c r="D544" s="29" t="n"/>
      <c r="E544" s="29" t="n"/>
      <c r="F544" s="29" t="n"/>
      <c r="G544" s="29" t="n"/>
      <c r="H544" s="67">
        <f>IF(base!F544&lt;&gt;"",VLOOKUP(F544,de_para!$A$1:$B$31,2,0)*base!G544,0)</f>
        <v/>
      </c>
      <c r="I544" s="38" t="n"/>
      <c r="J544" s="29" t="n"/>
      <c r="K544" s="67">
        <f>IF(base!I544&lt;&gt;"",VLOOKUP(I544,de_para!$A$1:$B$31,2,0)*base!J544,0)</f>
        <v/>
      </c>
      <c r="L544" s="38" t="n"/>
      <c r="M544" s="29" t="n"/>
      <c r="N544" s="67">
        <f>IF(base!L544&lt;&gt;"",VLOOKUP(L544,de_para!$A$1:$B$31,2,0)*base!M544,0)</f>
        <v/>
      </c>
      <c r="O544" s="38" t="n"/>
      <c r="P544" s="29" t="n"/>
      <c r="Q544" s="67">
        <f>IF(base!O544&lt;&gt;"",VLOOKUP(O544,de_para!$A$1:$B$31,2,0)*base!P544,0)</f>
        <v/>
      </c>
      <c r="R544" s="38" t="n"/>
      <c r="S544" s="29" t="n"/>
      <c r="T544" s="67">
        <f>IF(base!R544&lt;&gt;"",VLOOKUP(R544,de_para!$A$1:$B$31,2,0)*base!S544,0)</f>
        <v/>
      </c>
      <c r="U544" s="68">
        <f>H544+K544+N544+Q544+T544</f>
        <v/>
      </c>
    </row>
    <row r="545">
      <c r="A545" s="29" t="n"/>
      <c r="B545" s="29" t="n"/>
      <c r="C545" s="29" t="n"/>
      <c r="D545" s="29" t="n"/>
      <c r="E545" s="29" t="n"/>
      <c r="F545" s="29" t="n"/>
      <c r="G545" s="29" t="n"/>
      <c r="H545" s="67">
        <f>IF(base!F545&lt;&gt;"",VLOOKUP(F545,de_para!$A$1:$B$31,2,0)*base!G545,0)</f>
        <v/>
      </c>
      <c r="I545" s="38" t="n"/>
      <c r="J545" s="29" t="n"/>
      <c r="K545" s="67">
        <f>IF(base!I545&lt;&gt;"",VLOOKUP(I545,de_para!$A$1:$B$31,2,0)*base!J545,0)</f>
        <v/>
      </c>
      <c r="L545" s="38" t="n"/>
      <c r="M545" s="29" t="n"/>
      <c r="N545" s="67">
        <f>IF(base!L545&lt;&gt;"",VLOOKUP(L545,de_para!$A$1:$B$31,2,0)*base!M545,0)</f>
        <v/>
      </c>
      <c r="O545" s="38" t="n"/>
      <c r="P545" s="29" t="n"/>
      <c r="Q545" s="67">
        <f>IF(base!O545&lt;&gt;"",VLOOKUP(O545,de_para!$A$1:$B$31,2,0)*base!P545,0)</f>
        <v/>
      </c>
      <c r="R545" s="38" t="n"/>
      <c r="S545" s="29" t="n"/>
      <c r="T545" s="67">
        <f>IF(base!R545&lt;&gt;"",VLOOKUP(R545,de_para!$A$1:$B$31,2,0)*base!S545,0)</f>
        <v/>
      </c>
      <c r="U545" s="68">
        <f>H545+K545+N545+Q545+T545</f>
        <v/>
      </c>
    </row>
    <row r="546">
      <c r="A546" s="29" t="n"/>
      <c r="B546" s="29" t="n"/>
      <c r="C546" s="29" t="n"/>
      <c r="D546" s="29" t="n"/>
      <c r="E546" s="29" t="n"/>
      <c r="F546" s="29" t="n"/>
      <c r="G546" s="29" t="n"/>
      <c r="H546" s="67">
        <f>IF(base!F546&lt;&gt;"",VLOOKUP(F546,de_para!$A$1:$B$31,2,0)*base!G546,0)</f>
        <v/>
      </c>
      <c r="I546" s="38" t="n"/>
      <c r="J546" s="29" t="n"/>
      <c r="K546" s="67">
        <f>IF(base!I546&lt;&gt;"",VLOOKUP(I546,de_para!$A$1:$B$31,2,0)*base!J546,0)</f>
        <v/>
      </c>
      <c r="L546" s="38" t="n"/>
      <c r="M546" s="29" t="n"/>
      <c r="N546" s="67">
        <f>IF(base!L546&lt;&gt;"",VLOOKUP(L546,de_para!$A$1:$B$31,2,0)*base!M546,0)</f>
        <v/>
      </c>
      <c r="O546" s="38" t="n"/>
      <c r="P546" s="29" t="n"/>
      <c r="Q546" s="67">
        <f>IF(base!O546&lt;&gt;"",VLOOKUP(O546,de_para!$A$1:$B$31,2,0)*base!P546,0)</f>
        <v/>
      </c>
      <c r="R546" s="38" t="n"/>
      <c r="S546" s="29" t="n"/>
      <c r="T546" s="67">
        <f>IF(base!R546&lt;&gt;"",VLOOKUP(R546,de_para!$A$1:$B$31,2,0)*base!S546,0)</f>
        <v/>
      </c>
      <c r="U546" s="68">
        <f>H546+K546+N546+Q546+T546</f>
        <v/>
      </c>
    </row>
    <row r="547">
      <c r="A547" s="29" t="n"/>
      <c r="B547" s="29" t="n"/>
      <c r="C547" s="29" t="n"/>
      <c r="D547" s="29" t="n"/>
      <c r="E547" s="29" t="n"/>
      <c r="F547" s="29" t="n"/>
      <c r="G547" s="29" t="n"/>
      <c r="H547" s="67">
        <f>IF(base!F547&lt;&gt;"",VLOOKUP(F547,de_para!$A$1:$B$31,2,0)*base!G547,0)</f>
        <v/>
      </c>
      <c r="I547" s="38" t="n"/>
      <c r="J547" s="29" t="n"/>
      <c r="K547" s="67">
        <f>IF(base!I547&lt;&gt;"",VLOOKUP(I547,de_para!$A$1:$B$31,2,0)*base!J547,0)</f>
        <v/>
      </c>
      <c r="L547" s="38" t="n"/>
      <c r="M547" s="29" t="n"/>
      <c r="N547" s="67">
        <f>IF(base!L547&lt;&gt;"",VLOOKUP(L547,de_para!$A$1:$B$31,2,0)*base!M547,0)</f>
        <v/>
      </c>
      <c r="O547" s="38" t="n"/>
      <c r="P547" s="29" t="n"/>
      <c r="Q547" s="67">
        <f>IF(base!O547&lt;&gt;"",VLOOKUP(O547,de_para!$A$1:$B$31,2,0)*base!P547,0)</f>
        <v/>
      </c>
      <c r="R547" s="38" t="n"/>
      <c r="S547" s="29" t="n"/>
      <c r="T547" s="67">
        <f>IF(base!R547&lt;&gt;"",VLOOKUP(R547,de_para!$A$1:$B$31,2,0)*base!S547,0)</f>
        <v/>
      </c>
      <c r="U547" s="68">
        <f>H547+K547+N547+Q547+T547</f>
        <v/>
      </c>
    </row>
    <row r="548">
      <c r="A548" s="29" t="n"/>
      <c r="B548" s="29" t="n"/>
      <c r="C548" s="29" t="n"/>
      <c r="D548" s="29" t="n"/>
      <c r="E548" s="29" t="n"/>
      <c r="F548" s="29" t="n"/>
      <c r="G548" s="29" t="n"/>
      <c r="H548" s="67">
        <f>IF(base!F548&lt;&gt;"",VLOOKUP(F548,de_para!$A$1:$B$31,2,0)*base!G548,0)</f>
        <v/>
      </c>
      <c r="I548" s="38" t="n"/>
      <c r="J548" s="29" t="n"/>
      <c r="K548" s="67">
        <f>IF(base!I548&lt;&gt;"",VLOOKUP(I548,de_para!$A$1:$B$31,2,0)*base!J548,0)</f>
        <v/>
      </c>
      <c r="L548" s="38" t="n"/>
      <c r="M548" s="29" t="n"/>
      <c r="N548" s="67">
        <f>IF(base!L548&lt;&gt;"",VLOOKUP(L548,de_para!$A$1:$B$31,2,0)*base!M548,0)</f>
        <v/>
      </c>
      <c r="O548" s="38" t="n"/>
      <c r="P548" s="29" t="n"/>
      <c r="Q548" s="67">
        <f>IF(base!O548&lt;&gt;"",VLOOKUP(O548,de_para!$A$1:$B$31,2,0)*base!P548,0)</f>
        <v/>
      </c>
      <c r="R548" s="38" t="n"/>
      <c r="S548" s="29" t="n"/>
      <c r="T548" s="67">
        <f>IF(base!R548&lt;&gt;"",VLOOKUP(R548,de_para!$A$1:$B$31,2,0)*base!S548,0)</f>
        <v/>
      </c>
      <c r="U548" s="68">
        <f>H548+K548+N548+Q548+T548</f>
        <v/>
      </c>
    </row>
    <row r="549">
      <c r="A549" s="29" t="n"/>
      <c r="B549" s="29" t="n"/>
      <c r="C549" s="29" t="n"/>
      <c r="D549" s="29" t="n"/>
      <c r="E549" s="29" t="n"/>
      <c r="F549" s="29" t="n"/>
      <c r="G549" s="29" t="n"/>
      <c r="H549" s="67">
        <f>IF(base!F549&lt;&gt;"",VLOOKUP(F549,de_para!$A$1:$B$31,2,0)*base!G549,0)</f>
        <v/>
      </c>
      <c r="I549" s="38" t="n"/>
      <c r="J549" s="29" t="n"/>
      <c r="K549" s="67">
        <f>IF(base!I549&lt;&gt;"",VLOOKUP(I549,de_para!$A$1:$B$31,2,0)*base!J549,0)</f>
        <v/>
      </c>
      <c r="L549" s="38" t="n"/>
      <c r="M549" s="29" t="n"/>
      <c r="N549" s="67">
        <f>IF(base!L549&lt;&gt;"",VLOOKUP(L549,de_para!$A$1:$B$31,2,0)*base!M549,0)</f>
        <v/>
      </c>
      <c r="O549" s="38" t="n"/>
      <c r="P549" s="29" t="n"/>
      <c r="Q549" s="67">
        <f>IF(base!O549&lt;&gt;"",VLOOKUP(O549,de_para!$A$1:$B$31,2,0)*base!P549,0)</f>
        <v/>
      </c>
      <c r="R549" s="38" t="n"/>
      <c r="S549" s="29" t="n"/>
      <c r="T549" s="67">
        <f>IF(base!R549&lt;&gt;"",VLOOKUP(R549,de_para!$A$1:$B$31,2,0)*base!S549,0)</f>
        <v/>
      </c>
      <c r="U549" s="68">
        <f>H549+K549+N549+Q549+T549</f>
        <v/>
      </c>
    </row>
    <row r="550">
      <c r="A550" s="29" t="n"/>
      <c r="B550" s="29" t="n"/>
      <c r="C550" s="29" t="n"/>
      <c r="D550" s="29" t="n"/>
      <c r="E550" s="29" t="n"/>
      <c r="F550" s="29" t="n"/>
      <c r="G550" s="29" t="n"/>
      <c r="H550" s="67">
        <f>IF(base!F550&lt;&gt;"",VLOOKUP(F550,de_para!$A$1:$B$31,2,0)*base!G550,0)</f>
        <v/>
      </c>
      <c r="I550" s="38" t="n"/>
      <c r="J550" s="29" t="n"/>
      <c r="K550" s="67">
        <f>IF(base!I550&lt;&gt;"",VLOOKUP(I550,de_para!$A$1:$B$31,2,0)*base!J550,0)</f>
        <v/>
      </c>
      <c r="L550" s="38" t="n"/>
      <c r="M550" s="29" t="n"/>
      <c r="N550" s="67">
        <f>IF(base!L550&lt;&gt;"",VLOOKUP(L550,de_para!$A$1:$B$31,2,0)*base!M550,0)</f>
        <v/>
      </c>
      <c r="O550" s="38" t="n"/>
      <c r="P550" s="29" t="n"/>
      <c r="Q550" s="67">
        <f>IF(base!O550&lt;&gt;"",VLOOKUP(O550,de_para!$A$1:$B$31,2,0)*base!P550,0)</f>
        <v/>
      </c>
      <c r="R550" s="38" t="n"/>
      <c r="S550" s="29" t="n"/>
      <c r="T550" s="67">
        <f>IF(base!R550&lt;&gt;"",VLOOKUP(R550,de_para!$A$1:$B$31,2,0)*base!S550,0)</f>
        <v/>
      </c>
      <c r="U550" s="68">
        <f>H550+K550+N550+Q550+T550</f>
        <v/>
      </c>
    </row>
    <row r="551">
      <c r="A551" s="29" t="n"/>
      <c r="B551" s="29" t="n"/>
      <c r="C551" s="29" t="n"/>
      <c r="D551" s="29" t="n"/>
      <c r="E551" s="29" t="n"/>
      <c r="F551" s="29" t="n"/>
      <c r="G551" s="29" t="n"/>
      <c r="H551" s="67">
        <f>IF(base!F551&lt;&gt;"",VLOOKUP(F551,de_para!$A$1:$B$31,2,0)*base!G551,0)</f>
        <v/>
      </c>
      <c r="I551" s="38" t="n"/>
      <c r="J551" s="29" t="n"/>
      <c r="K551" s="67">
        <f>IF(base!I551&lt;&gt;"",VLOOKUP(I551,de_para!$A$1:$B$31,2,0)*base!J551,0)</f>
        <v/>
      </c>
      <c r="L551" s="38" t="n"/>
      <c r="M551" s="29" t="n"/>
      <c r="N551" s="67">
        <f>IF(base!L551&lt;&gt;"",VLOOKUP(L551,de_para!$A$1:$B$31,2,0)*base!M551,0)</f>
        <v/>
      </c>
      <c r="O551" s="38" t="n"/>
      <c r="P551" s="29" t="n"/>
      <c r="Q551" s="67">
        <f>IF(base!O551&lt;&gt;"",VLOOKUP(O551,de_para!$A$1:$B$31,2,0)*base!P551,0)</f>
        <v/>
      </c>
      <c r="R551" s="38" t="n"/>
      <c r="S551" s="29" t="n"/>
      <c r="T551" s="67">
        <f>IF(base!R551&lt;&gt;"",VLOOKUP(R551,de_para!$A$1:$B$31,2,0)*base!S551,0)</f>
        <v/>
      </c>
      <c r="U551" s="68">
        <f>H551+K551+N551+Q551+T551</f>
        <v/>
      </c>
    </row>
    <row r="552">
      <c r="A552" s="29" t="n"/>
      <c r="B552" s="29" t="n"/>
      <c r="C552" s="29" t="n"/>
      <c r="D552" s="29" t="n"/>
      <c r="E552" s="29" t="n"/>
      <c r="F552" s="29" t="n"/>
      <c r="G552" s="29" t="n"/>
      <c r="H552" s="67">
        <f>IF(base!F552&lt;&gt;"",VLOOKUP(F552,de_para!$A$1:$B$31,2,0)*base!G552,0)</f>
        <v/>
      </c>
      <c r="I552" s="38" t="n"/>
      <c r="J552" s="29" t="n"/>
      <c r="K552" s="67">
        <f>IF(base!I552&lt;&gt;"",VLOOKUP(I552,de_para!$A$1:$B$31,2,0)*base!J552,0)</f>
        <v/>
      </c>
      <c r="L552" s="38" t="n"/>
      <c r="M552" s="29" t="n"/>
      <c r="N552" s="67">
        <f>IF(base!L552&lt;&gt;"",VLOOKUP(L552,de_para!$A$1:$B$31,2,0)*base!M552,0)</f>
        <v/>
      </c>
      <c r="O552" s="38" t="n"/>
      <c r="P552" s="29" t="n"/>
      <c r="Q552" s="67">
        <f>IF(base!O552&lt;&gt;"",VLOOKUP(O552,de_para!$A$1:$B$31,2,0)*base!P552,0)</f>
        <v/>
      </c>
      <c r="R552" s="38" t="n"/>
      <c r="S552" s="29" t="n"/>
      <c r="T552" s="67">
        <f>IF(base!R552&lt;&gt;"",VLOOKUP(R552,de_para!$A$1:$B$31,2,0)*base!S552,0)</f>
        <v/>
      </c>
      <c r="U552" s="68">
        <f>H552+K552+N552+Q552+T552</f>
        <v/>
      </c>
    </row>
    <row r="553">
      <c r="A553" s="29" t="n"/>
      <c r="B553" s="29" t="n"/>
      <c r="C553" s="29" t="n"/>
      <c r="D553" s="29" t="n"/>
      <c r="E553" s="29" t="n"/>
      <c r="F553" s="29" t="n"/>
      <c r="G553" s="29" t="n"/>
      <c r="H553" s="67">
        <f>IF(base!F553&lt;&gt;"",VLOOKUP(F553,de_para!$A$1:$B$31,2,0)*base!G553,0)</f>
        <v/>
      </c>
      <c r="I553" s="38" t="n"/>
      <c r="J553" s="29" t="n"/>
      <c r="K553" s="67">
        <f>IF(base!I553&lt;&gt;"",VLOOKUP(I553,de_para!$A$1:$B$31,2,0)*base!J553,0)</f>
        <v/>
      </c>
      <c r="L553" s="38" t="n"/>
      <c r="M553" s="29" t="n"/>
      <c r="N553" s="67">
        <f>IF(base!L553&lt;&gt;"",VLOOKUP(L553,de_para!$A$1:$B$31,2,0)*base!M553,0)</f>
        <v/>
      </c>
      <c r="O553" s="38" t="n"/>
      <c r="P553" s="29" t="n"/>
      <c r="Q553" s="67">
        <f>IF(base!O553&lt;&gt;"",VLOOKUP(O553,de_para!$A$1:$B$31,2,0)*base!P553,0)</f>
        <v/>
      </c>
      <c r="R553" s="38" t="n"/>
      <c r="S553" s="29" t="n"/>
      <c r="T553" s="67">
        <f>IF(base!R553&lt;&gt;"",VLOOKUP(R553,de_para!$A$1:$B$31,2,0)*base!S553,0)</f>
        <v/>
      </c>
      <c r="U553" s="68">
        <f>H553+K553+N553+Q553+T553</f>
        <v/>
      </c>
    </row>
    <row r="554">
      <c r="A554" s="29" t="n"/>
      <c r="B554" s="29" t="n"/>
      <c r="C554" s="29" t="n"/>
      <c r="D554" s="29" t="n"/>
      <c r="E554" s="29" t="n"/>
      <c r="F554" s="29" t="n"/>
      <c r="G554" s="29" t="n"/>
      <c r="H554" s="67">
        <f>IF(base!F554&lt;&gt;"",VLOOKUP(F554,de_para!$A$1:$B$31,2,0)*base!G554,0)</f>
        <v/>
      </c>
      <c r="I554" s="38" t="n"/>
      <c r="J554" s="29" t="n"/>
      <c r="K554" s="67">
        <f>IF(base!I554&lt;&gt;"",VLOOKUP(I554,de_para!$A$1:$B$31,2,0)*base!J554,0)</f>
        <v/>
      </c>
      <c r="L554" s="38" t="n"/>
      <c r="M554" s="29" t="n"/>
      <c r="N554" s="67">
        <f>IF(base!L554&lt;&gt;"",VLOOKUP(L554,de_para!$A$1:$B$31,2,0)*base!M554,0)</f>
        <v/>
      </c>
      <c r="O554" s="38" t="n"/>
      <c r="P554" s="29" t="n"/>
      <c r="Q554" s="67">
        <f>IF(base!O554&lt;&gt;"",VLOOKUP(O554,de_para!$A$1:$B$31,2,0)*base!P554,0)</f>
        <v/>
      </c>
      <c r="R554" s="38" t="n"/>
      <c r="S554" s="29" t="n"/>
      <c r="T554" s="67">
        <f>IF(base!R554&lt;&gt;"",VLOOKUP(R554,de_para!$A$1:$B$31,2,0)*base!S554,0)</f>
        <v/>
      </c>
      <c r="U554" s="68">
        <f>H554+K554+N554+Q554+T554</f>
        <v/>
      </c>
    </row>
    <row r="555">
      <c r="A555" s="29" t="n"/>
      <c r="B555" s="29" t="n"/>
      <c r="C555" s="29" t="n"/>
      <c r="D555" s="29" t="n"/>
      <c r="E555" s="29" t="n"/>
      <c r="F555" s="29" t="n"/>
      <c r="G555" s="29" t="n"/>
      <c r="H555" s="67">
        <f>IF(base!F555&lt;&gt;"",VLOOKUP(F555,de_para!$A$1:$B$31,2,0)*base!G555,0)</f>
        <v/>
      </c>
      <c r="I555" s="38" t="n"/>
      <c r="J555" s="29" t="n"/>
      <c r="K555" s="67">
        <f>IF(base!I555&lt;&gt;"",VLOOKUP(I555,de_para!$A$1:$B$31,2,0)*base!J555,0)</f>
        <v/>
      </c>
      <c r="L555" s="38" t="n"/>
      <c r="M555" s="29" t="n"/>
      <c r="N555" s="67">
        <f>IF(base!L555&lt;&gt;"",VLOOKUP(L555,de_para!$A$1:$B$31,2,0)*base!M555,0)</f>
        <v/>
      </c>
      <c r="O555" s="38" t="n"/>
      <c r="P555" s="29" t="n"/>
      <c r="Q555" s="67">
        <f>IF(base!O555&lt;&gt;"",VLOOKUP(O555,de_para!$A$1:$B$31,2,0)*base!P555,0)</f>
        <v/>
      </c>
      <c r="R555" s="38" t="n"/>
      <c r="S555" s="29" t="n"/>
      <c r="T555" s="67">
        <f>IF(base!R555&lt;&gt;"",VLOOKUP(R555,de_para!$A$1:$B$31,2,0)*base!S555,0)</f>
        <v/>
      </c>
      <c r="U555" s="68">
        <f>H555+K555+N555+Q555+T555</f>
        <v/>
      </c>
    </row>
    <row r="556">
      <c r="A556" s="29" t="n"/>
      <c r="B556" s="29" t="n"/>
      <c r="C556" s="29" t="n"/>
      <c r="D556" s="29" t="n"/>
      <c r="E556" s="29" t="n"/>
      <c r="F556" s="29" t="n"/>
      <c r="G556" s="29" t="n"/>
      <c r="H556" s="67">
        <f>IF(base!F556&lt;&gt;"",VLOOKUP(F556,de_para!$A$1:$B$31,2,0)*base!G556,0)</f>
        <v/>
      </c>
      <c r="I556" s="38" t="n"/>
      <c r="J556" s="29" t="n"/>
      <c r="K556" s="67">
        <f>IF(base!I556&lt;&gt;"",VLOOKUP(I556,de_para!$A$1:$B$31,2,0)*base!J556,0)</f>
        <v/>
      </c>
      <c r="L556" s="38" t="n"/>
      <c r="M556" s="29" t="n"/>
      <c r="N556" s="67">
        <f>IF(base!L556&lt;&gt;"",VLOOKUP(L556,de_para!$A$1:$B$31,2,0)*base!M556,0)</f>
        <v/>
      </c>
      <c r="O556" s="38" t="n"/>
      <c r="P556" s="29" t="n"/>
      <c r="Q556" s="67">
        <f>IF(base!O556&lt;&gt;"",VLOOKUP(O556,de_para!$A$1:$B$31,2,0)*base!P556,0)</f>
        <v/>
      </c>
      <c r="R556" s="38" t="n"/>
      <c r="S556" s="29" t="n"/>
      <c r="T556" s="67">
        <f>IF(base!R556&lt;&gt;"",VLOOKUP(R556,de_para!$A$1:$B$31,2,0)*base!S556,0)</f>
        <v/>
      </c>
      <c r="U556" s="68">
        <f>H556+K556+N556+Q556+T556</f>
        <v/>
      </c>
    </row>
    <row r="557">
      <c r="A557" s="29" t="n"/>
      <c r="B557" s="29" t="n"/>
      <c r="C557" s="29" t="n"/>
      <c r="D557" s="29" t="n"/>
      <c r="E557" s="29" t="n"/>
      <c r="F557" s="29" t="n"/>
      <c r="G557" s="29" t="n"/>
      <c r="H557" s="67">
        <f>IF(base!F557&lt;&gt;"",VLOOKUP(F557,de_para!$A$1:$B$31,2,0)*base!G557,0)</f>
        <v/>
      </c>
      <c r="I557" s="38" t="n"/>
      <c r="J557" s="29" t="n"/>
      <c r="K557" s="67">
        <f>IF(base!I557&lt;&gt;"",VLOOKUP(I557,de_para!$A$1:$B$31,2,0)*base!J557,0)</f>
        <v/>
      </c>
      <c r="L557" s="38" t="n"/>
      <c r="M557" s="29" t="n"/>
      <c r="N557" s="67">
        <f>IF(base!L557&lt;&gt;"",VLOOKUP(L557,de_para!$A$1:$B$31,2,0)*base!M557,0)</f>
        <v/>
      </c>
      <c r="O557" s="38" t="n"/>
      <c r="P557" s="29" t="n"/>
      <c r="Q557" s="67">
        <f>IF(base!O557&lt;&gt;"",VLOOKUP(O557,de_para!$A$1:$B$31,2,0)*base!P557,0)</f>
        <v/>
      </c>
      <c r="R557" s="38" t="n"/>
      <c r="S557" s="29" t="n"/>
      <c r="T557" s="67">
        <f>IF(base!R557&lt;&gt;"",VLOOKUP(R557,de_para!$A$1:$B$31,2,0)*base!S557,0)</f>
        <v/>
      </c>
      <c r="U557" s="68">
        <f>H557+K557+N557+Q557+T557</f>
        <v/>
      </c>
    </row>
    <row r="558">
      <c r="A558" s="29" t="n"/>
      <c r="B558" s="29" t="n"/>
      <c r="C558" s="29" t="n"/>
      <c r="D558" s="29" t="n"/>
      <c r="E558" s="29" t="n"/>
      <c r="F558" s="29" t="n"/>
      <c r="G558" s="29" t="n"/>
      <c r="H558" s="67">
        <f>IF(base!F558&lt;&gt;"",VLOOKUP(F558,de_para!$A$1:$B$31,2,0)*base!G558,0)</f>
        <v/>
      </c>
      <c r="I558" s="38" t="n"/>
      <c r="J558" s="29" t="n"/>
      <c r="K558" s="67">
        <f>IF(base!I558&lt;&gt;"",VLOOKUP(I558,de_para!$A$1:$B$31,2,0)*base!J558,0)</f>
        <v/>
      </c>
      <c r="L558" s="38" t="n"/>
      <c r="M558" s="29" t="n"/>
      <c r="N558" s="67">
        <f>IF(base!L558&lt;&gt;"",VLOOKUP(L558,de_para!$A$1:$B$31,2,0)*base!M558,0)</f>
        <v/>
      </c>
      <c r="O558" s="38" t="n"/>
      <c r="P558" s="29" t="n"/>
      <c r="Q558" s="67">
        <f>IF(base!O558&lt;&gt;"",VLOOKUP(O558,de_para!$A$1:$B$31,2,0)*base!P558,0)</f>
        <v/>
      </c>
      <c r="R558" s="38" t="n"/>
      <c r="S558" s="29" t="n"/>
      <c r="T558" s="67">
        <f>IF(base!R558&lt;&gt;"",VLOOKUP(R558,de_para!$A$1:$B$31,2,0)*base!S558,0)</f>
        <v/>
      </c>
      <c r="U558" s="68">
        <f>H558+K558+N558+Q558+T558</f>
        <v/>
      </c>
    </row>
    <row r="559">
      <c r="A559" s="29" t="n"/>
      <c r="B559" s="29" t="n"/>
      <c r="C559" s="29" t="n"/>
      <c r="D559" s="29" t="n"/>
      <c r="E559" s="29" t="n"/>
      <c r="F559" s="29" t="n"/>
      <c r="G559" s="29" t="n"/>
      <c r="H559" s="67">
        <f>IF(base!F559&lt;&gt;"",VLOOKUP(F559,de_para!$A$1:$B$31,2,0)*base!G559,0)</f>
        <v/>
      </c>
      <c r="I559" s="38" t="n"/>
      <c r="J559" s="29" t="n"/>
      <c r="K559" s="67">
        <f>IF(base!I559&lt;&gt;"",VLOOKUP(I559,de_para!$A$1:$B$31,2,0)*base!J559,0)</f>
        <v/>
      </c>
      <c r="L559" s="38" t="n"/>
      <c r="M559" s="29" t="n"/>
      <c r="N559" s="67">
        <f>IF(base!L559&lt;&gt;"",VLOOKUP(L559,de_para!$A$1:$B$31,2,0)*base!M559,0)</f>
        <v/>
      </c>
      <c r="O559" s="38" t="n"/>
      <c r="P559" s="29" t="n"/>
      <c r="Q559" s="67">
        <f>IF(base!O559&lt;&gt;"",VLOOKUP(O559,de_para!$A$1:$B$31,2,0)*base!P559,0)</f>
        <v/>
      </c>
      <c r="R559" s="38" t="n"/>
      <c r="S559" s="29" t="n"/>
      <c r="T559" s="67">
        <f>IF(base!R559&lt;&gt;"",VLOOKUP(R559,de_para!$A$1:$B$31,2,0)*base!S559,0)</f>
        <v/>
      </c>
      <c r="U559" s="68">
        <f>H559+K559+N559+Q559+T559</f>
        <v/>
      </c>
    </row>
    <row r="560">
      <c r="A560" s="29" t="n"/>
      <c r="B560" s="29" t="n"/>
      <c r="C560" s="29" t="n"/>
      <c r="D560" s="29" t="n"/>
      <c r="E560" s="29" t="n"/>
      <c r="F560" s="29" t="n"/>
      <c r="G560" s="29" t="n"/>
      <c r="H560" s="67">
        <f>IF(base!F560&lt;&gt;"",VLOOKUP(F560,de_para!$A$1:$B$31,2,0)*base!G560,0)</f>
        <v/>
      </c>
      <c r="I560" s="38" t="n"/>
      <c r="J560" s="29" t="n"/>
      <c r="K560" s="67">
        <f>IF(base!I560&lt;&gt;"",VLOOKUP(I560,de_para!$A$1:$B$31,2,0)*base!J560,0)</f>
        <v/>
      </c>
      <c r="L560" s="38" t="n"/>
      <c r="M560" s="29" t="n"/>
      <c r="N560" s="67">
        <f>IF(base!L560&lt;&gt;"",VLOOKUP(L560,de_para!$A$1:$B$31,2,0)*base!M560,0)</f>
        <v/>
      </c>
      <c r="O560" s="38" t="n"/>
      <c r="P560" s="29" t="n"/>
      <c r="Q560" s="67">
        <f>IF(base!O560&lt;&gt;"",VLOOKUP(O560,de_para!$A$1:$B$31,2,0)*base!P560,0)</f>
        <v/>
      </c>
      <c r="R560" s="38" t="n"/>
      <c r="S560" s="29" t="n"/>
      <c r="T560" s="67">
        <f>IF(base!R560&lt;&gt;"",VLOOKUP(R560,de_para!$A$1:$B$31,2,0)*base!S560,0)</f>
        <v/>
      </c>
      <c r="U560" s="68">
        <f>H560+K560+N560+Q560+T560</f>
        <v/>
      </c>
    </row>
    <row r="561">
      <c r="A561" s="29" t="n"/>
      <c r="B561" s="29" t="n"/>
      <c r="C561" s="29" t="n"/>
      <c r="D561" s="29" t="n"/>
      <c r="E561" s="29" t="n"/>
      <c r="F561" s="29" t="n"/>
      <c r="G561" s="29" t="n"/>
      <c r="H561" s="67">
        <f>IF(base!F561&lt;&gt;"",VLOOKUP(F561,de_para!$A$1:$B$31,2,0)*base!G561,0)</f>
        <v/>
      </c>
      <c r="I561" s="38" t="n"/>
      <c r="J561" s="29" t="n"/>
      <c r="K561" s="67">
        <f>IF(base!I561&lt;&gt;"",VLOOKUP(I561,de_para!$A$1:$B$31,2,0)*base!J561,0)</f>
        <v/>
      </c>
      <c r="L561" s="38" t="n"/>
      <c r="M561" s="29" t="n"/>
      <c r="N561" s="67">
        <f>IF(base!L561&lt;&gt;"",VLOOKUP(L561,de_para!$A$1:$B$31,2,0)*base!M561,0)</f>
        <v/>
      </c>
      <c r="O561" s="38" t="n"/>
      <c r="P561" s="29" t="n"/>
      <c r="Q561" s="67">
        <f>IF(base!O561&lt;&gt;"",VLOOKUP(O561,de_para!$A$1:$B$31,2,0)*base!P561,0)</f>
        <v/>
      </c>
      <c r="R561" s="38" t="n"/>
      <c r="S561" s="29" t="n"/>
      <c r="T561" s="67">
        <f>IF(base!R561&lt;&gt;"",VLOOKUP(R561,de_para!$A$1:$B$31,2,0)*base!S561,0)</f>
        <v/>
      </c>
      <c r="U561" s="68">
        <f>H561+K561+N561+Q561+T561</f>
        <v/>
      </c>
    </row>
    <row r="562">
      <c r="A562" s="29" t="n"/>
      <c r="B562" s="29" t="n"/>
      <c r="C562" s="29" t="n"/>
      <c r="D562" s="29" t="n"/>
      <c r="E562" s="29" t="n"/>
      <c r="F562" s="29" t="n"/>
      <c r="G562" s="29" t="n"/>
      <c r="H562" s="67">
        <f>IF(base!F562&lt;&gt;"",VLOOKUP(F562,de_para!$A$1:$B$31,2,0)*base!G562,0)</f>
        <v/>
      </c>
      <c r="I562" s="38" t="n"/>
      <c r="J562" s="29" t="n"/>
      <c r="K562" s="67">
        <f>IF(base!I562&lt;&gt;"",VLOOKUP(I562,de_para!$A$1:$B$31,2,0)*base!J562,0)</f>
        <v/>
      </c>
      <c r="L562" s="38" t="n"/>
      <c r="M562" s="29" t="n"/>
      <c r="N562" s="67">
        <f>IF(base!L562&lt;&gt;"",VLOOKUP(L562,de_para!$A$1:$B$31,2,0)*base!M562,0)</f>
        <v/>
      </c>
      <c r="O562" s="38" t="n"/>
      <c r="P562" s="29" t="n"/>
      <c r="Q562" s="67">
        <f>IF(base!O562&lt;&gt;"",VLOOKUP(O562,de_para!$A$1:$B$31,2,0)*base!P562,0)</f>
        <v/>
      </c>
      <c r="R562" s="38" t="n"/>
      <c r="S562" s="29" t="n"/>
      <c r="T562" s="67">
        <f>IF(base!R562&lt;&gt;"",VLOOKUP(R562,de_para!$A$1:$B$31,2,0)*base!S562,0)</f>
        <v/>
      </c>
      <c r="U562" s="68">
        <f>H562+K562+N562+Q562+T562</f>
        <v/>
      </c>
    </row>
    <row r="563">
      <c r="A563" s="29" t="n"/>
      <c r="B563" s="29" t="n"/>
      <c r="C563" s="29" t="n"/>
      <c r="D563" s="29" t="n"/>
      <c r="E563" s="29" t="n"/>
      <c r="F563" s="29" t="n"/>
      <c r="G563" s="29" t="n"/>
      <c r="H563" s="67">
        <f>IF(base!F563&lt;&gt;"",VLOOKUP(F563,de_para!$A$1:$B$31,2,0)*base!G563,0)</f>
        <v/>
      </c>
      <c r="I563" s="38" t="n"/>
      <c r="J563" s="29" t="n"/>
      <c r="K563" s="67">
        <f>IF(base!I563&lt;&gt;"",VLOOKUP(I563,de_para!$A$1:$B$31,2,0)*base!J563,0)</f>
        <v/>
      </c>
      <c r="L563" s="38" t="n"/>
      <c r="M563" s="29" t="n"/>
      <c r="N563" s="67">
        <f>IF(base!L563&lt;&gt;"",VLOOKUP(L563,de_para!$A$1:$B$31,2,0)*base!M563,0)</f>
        <v/>
      </c>
      <c r="O563" s="38" t="n"/>
      <c r="P563" s="29" t="n"/>
      <c r="Q563" s="67">
        <f>IF(base!O563&lt;&gt;"",VLOOKUP(O563,de_para!$A$1:$B$31,2,0)*base!P563,0)</f>
        <v/>
      </c>
      <c r="R563" s="38" t="n"/>
      <c r="S563" s="29" t="n"/>
      <c r="T563" s="67">
        <f>IF(base!R563&lt;&gt;"",VLOOKUP(R563,de_para!$A$1:$B$31,2,0)*base!S563,0)</f>
        <v/>
      </c>
      <c r="U563" s="68">
        <f>H563+K563+N563+Q563+T563</f>
        <v/>
      </c>
    </row>
    <row r="564">
      <c r="A564" s="29" t="n"/>
      <c r="B564" s="29" t="n"/>
      <c r="C564" s="29" t="n"/>
      <c r="D564" s="29" t="n"/>
      <c r="E564" s="29" t="n"/>
      <c r="F564" s="29" t="n"/>
      <c r="G564" s="29" t="n"/>
      <c r="H564" s="67">
        <f>IF(base!F564&lt;&gt;"",VLOOKUP(F564,de_para!$A$1:$B$31,2,0)*base!G564,0)</f>
        <v/>
      </c>
      <c r="I564" s="38" t="n"/>
      <c r="J564" s="29" t="n"/>
      <c r="K564" s="67">
        <f>IF(base!I564&lt;&gt;"",VLOOKUP(I564,de_para!$A$1:$B$31,2,0)*base!J564,0)</f>
        <v/>
      </c>
      <c r="L564" s="38" t="n"/>
      <c r="M564" s="29" t="n"/>
      <c r="N564" s="67">
        <f>IF(base!L564&lt;&gt;"",VLOOKUP(L564,de_para!$A$1:$B$31,2,0)*base!M564,0)</f>
        <v/>
      </c>
      <c r="O564" s="38" t="n"/>
      <c r="P564" s="29" t="n"/>
      <c r="Q564" s="67">
        <f>IF(base!O564&lt;&gt;"",VLOOKUP(O564,de_para!$A$1:$B$31,2,0)*base!P564,0)</f>
        <v/>
      </c>
      <c r="R564" s="38" t="n"/>
      <c r="S564" s="29" t="n"/>
      <c r="T564" s="67">
        <f>IF(base!R564&lt;&gt;"",VLOOKUP(R564,de_para!$A$1:$B$31,2,0)*base!S564,0)</f>
        <v/>
      </c>
      <c r="U564" s="68">
        <f>H564+K564+N564+Q564+T564</f>
        <v/>
      </c>
    </row>
    <row r="565">
      <c r="A565" s="29" t="n"/>
      <c r="B565" s="29" t="n"/>
      <c r="C565" s="29" t="n"/>
      <c r="D565" s="29" t="n"/>
      <c r="E565" s="29" t="n"/>
      <c r="F565" s="29" t="n"/>
      <c r="G565" s="29" t="n"/>
      <c r="H565" s="67">
        <f>IF(base!F565&lt;&gt;"",VLOOKUP(F565,de_para!$A$1:$B$31,2,0)*base!G565,0)</f>
        <v/>
      </c>
      <c r="I565" s="38" t="n"/>
      <c r="J565" s="29" t="n"/>
      <c r="K565" s="67">
        <f>IF(base!I565&lt;&gt;"",VLOOKUP(I565,de_para!$A$1:$B$31,2,0)*base!J565,0)</f>
        <v/>
      </c>
      <c r="L565" s="38" t="n"/>
      <c r="M565" s="29" t="n"/>
      <c r="N565" s="67">
        <f>IF(base!L565&lt;&gt;"",VLOOKUP(L565,de_para!$A$1:$B$31,2,0)*base!M565,0)</f>
        <v/>
      </c>
      <c r="O565" s="38" t="n"/>
      <c r="P565" s="29" t="n"/>
      <c r="Q565" s="67">
        <f>IF(base!O565&lt;&gt;"",VLOOKUP(O565,de_para!$A$1:$B$31,2,0)*base!P565,0)</f>
        <v/>
      </c>
      <c r="R565" s="38" t="n"/>
      <c r="S565" s="29" t="n"/>
      <c r="T565" s="67">
        <f>IF(base!R565&lt;&gt;"",VLOOKUP(R565,de_para!$A$1:$B$31,2,0)*base!S565,0)</f>
        <v/>
      </c>
      <c r="U565" s="68">
        <f>H565+K565+N565+Q565+T565</f>
        <v/>
      </c>
    </row>
    <row r="566">
      <c r="A566" s="29" t="n"/>
      <c r="B566" s="29" t="n"/>
      <c r="C566" s="29" t="n"/>
      <c r="D566" s="29" t="n"/>
      <c r="E566" s="29" t="n"/>
      <c r="F566" s="29" t="n"/>
      <c r="G566" s="29" t="n"/>
      <c r="H566" s="67">
        <f>IF(base!F566&lt;&gt;"",VLOOKUP(F566,de_para!$A$1:$B$31,2,0)*base!G566,0)</f>
        <v/>
      </c>
      <c r="I566" s="38" t="n"/>
      <c r="J566" s="29" t="n"/>
      <c r="K566" s="67">
        <f>IF(base!I566&lt;&gt;"",VLOOKUP(I566,de_para!$A$1:$B$31,2,0)*base!J566,0)</f>
        <v/>
      </c>
      <c r="L566" s="38" t="n"/>
      <c r="M566" s="29" t="n"/>
      <c r="N566" s="67">
        <f>IF(base!L566&lt;&gt;"",VLOOKUP(L566,de_para!$A$1:$B$31,2,0)*base!M566,0)</f>
        <v/>
      </c>
      <c r="O566" s="38" t="n"/>
      <c r="P566" s="29" t="n"/>
      <c r="Q566" s="67">
        <f>IF(base!O566&lt;&gt;"",VLOOKUP(O566,de_para!$A$1:$B$31,2,0)*base!P566,0)</f>
        <v/>
      </c>
      <c r="R566" s="38" t="n"/>
      <c r="S566" s="29" t="n"/>
      <c r="T566" s="67">
        <f>IF(base!R566&lt;&gt;"",VLOOKUP(R566,de_para!$A$1:$B$31,2,0)*base!S566,0)</f>
        <v/>
      </c>
      <c r="U566" s="68">
        <f>H566+K566+N566+Q566+T566</f>
        <v/>
      </c>
    </row>
    <row r="567">
      <c r="A567" s="29" t="n"/>
      <c r="B567" s="29" t="n"/>
      <c r="C567" s="29" t="n"/>
      <c r="D567" s="29" t="n"/>
      <c r="E567" s="29" t="n"/>
      <c r="F567" s="29" t="n"/>
      <c r="G567" s="29" t="n"/>
      <c r="H567" s="67">
        <f>IF(base!F567&lt;&gt;"",VLOOKUP(F567,de_para!$A$1:$B$31,2,0)*base!G567,0)</f>
        <v/>
      </c>
      <c r="I567" s="38" t="n"/>
      <c r="J567" s="29" t="n"/>
      <c r="K567" s="67">
        <f>IF(base!I567&lt;&gt;"",VLOOKUP(I567,de_para!$A$1:$B$31,2,0)*base!J567,0)</f>
        <v/>
      </c>
      <c r="L567" s="38" t="n"/>
      <c r="M567" s="29" t="n"/>
      <c r="N567" s="67">
        <f>IF(base!L567&lt;&gt;"",VLOOKUP(L567,de_para!$A$1:$B$31,2,0)*base!M567,0)</f>
        <v/>
      </c>
      <c r="O567" s="38" t="n"/>
      <c r="P567" s="29" t="n"/>
      <c r="Q567" s="67">
        <f>IF(base!O567&lt;&gt;"",VLOOKUP(O567,de_para!$A$1:$B$31,2,0)*base!P567,0)</f>
        <v/>
      </c>
      <c r="R567" s="38" t="n"/>
      <c r="S567" s="29" t="n"/>
      <c r="T567" s="67">
        <f>IF(base!R567&lt;&gt;"",VLOOKUP(R567,de_para!$A$1:$B$31,2,0)*base!S567,0)</f>
        <v/>
      </c>
      <c r="U567" s="68">
        <f>H567+K567+N567+Q567+T567</f>
        <v/>
      </c>
    </row>
    <row r="568">
      <c r="A568" s="29" t="n"/>
      <c r="B568" s="29" t="n"/>
      <c r="C568" s="29" t="n"/>
      <c r="D568" s="29" t="n"/>
      <c r="E568" s="29" t="n"/>
      <c r="F568" s="29" t="n"/>
      <c r="G568" s="29" t="n"/>
      <c r="H568" s="67">
        <f>IF(base!F568&lt;&gt;"",VLOOKUP(F568,de_para!$A$1:$B$31,2,0)*base!G568,0)</f>
        <v/>
      </c>
      <c r="I568" s="38" t="n"/>
      <c r="J568" s="29" t="n"/>
      <c r="K568" s="67">
        <f>IF(base!I568&lt;&gt;"",VLOOKUP(I568,de_para!$A$1:$B$31,2,0)*base!J568,0)</f>
        <v/>
      </c>
      <c r="L568" s="38" t="n"/>
      <c r="M568" s="29" t="n"/>
      <c r="N568" s="67">
        <f>IF(base!L568&lt;&gt;"",VLOOKUP(L568,de_para!$A$1:$B$31,2,0)*base!M568,0)</f>
        <v/>
      </c>
      <c r="O568" s="38" t="n"/>
      <c r="P568" s="29" t="n"/>
      <c r="Q568" s="67">
        <f>IF(base!O568&lt;&gt;"",VLOOKUP(O568,de_para!$A$1:$B$31,2,0)*base!P568,0)</f>
        <v/>
      </c>
      <c r="R568" s="38" t="n"/>
      <c r="S568" s="29" t="n"/>
      <c r="T568" s="67">
        <f>IF(base!R568&lt;&gt;"",VLOOKUP(R568,de_para!$A$1:$B$31,2,0)*base!S568,0)</f>
        <v/>
      </c>
      <c r="U568" s="68">
        <f>H568+K568+N568+Q568+T568</f>
        <v/>
      </c>
    </row>
    <row r="569">
      <c r="A569" s="29" t="n"/>
      <c r="B569" s="29" t="n"/>
      <c r="C569" s="29" t="n"/>
      <c r="D569" s="29" t="n"/>
      <c r="E569" s="29" t="n"/>
      <c r="F569" s="29" t="n"/>
      <c r="G569" s="29" t="n"/>
      <c r="H569" s="67">
        <f>IF(base!F569&lt;&gt;"",VLOOKUP(F569,de_para!$A$1:$B$31,2,0)*base!G569,0)</f>
        <v/>
      </c>
      <c r="I569" s="38" t="n"/>
      <c r="J569" s="29" t="n"/>
      <c r="K569" s="67">
        <f>IF(base!I569&lt;&gt;"",VLOOKUP(I569,de_para!$A$1:$B$31,2,0)*base!J569,0)</f>
        <v/>
      </c>
      <c r="L569" s="38" t="n"/>
      <c r="M569" s="29" t="n"/>
      <c r="N569" s="67">
        <f>IF(base!L569&lt;&gt;"",VLOOKUP(L569,de_para!$A$1:$B$31,2,0)*base!M569,0)</f>
        <v/>
      </c>
      <c r="O569" s="38" t="n"/>
      <c r="P569" s="29" t="n"/>
      <c r="Q569" s="67">
        <f>IF(base!O569&lt;&gt;"",VLOOKUP(O569,de_para!$A$1:$B$31,2,0)*base!P569,0)</f>
        <v/>
      </c>
      <c r="R569" s="38" t="n"/>
      <c r="S569" s="29" t="n"/>
      <c r="T569" s="67">
        <f>IF(base!R569&lt;&gt;"",VLOOKUP(R569,de_para!$A$1:$B$31,2,0)*base!S569,0)</f>
        <v/>
      </c>
      <c r="U569" s="68">
        <f>H569+K569+N569+Q569+T569</f>
        <v/>
      </c>
    </row>
    <row r="570">
      <c r="A570" s="29" t="n"/>
      <c r="B570" s="29" t="n"/>
      <c r="C570" s="29" t="n"/>
      <c r="D570" s="29" t="n"/>
      <c r="E570" s="29" t="n"/>
      <c r="F570" s="29" t="n"/>
      <c r="G570" s="29" t="n"/>
      <c r="H570" s="67">
        <f>IF(base!F570&lt;&gt;"",VLOOKUP(F570,de_para!$A$1:$B$31,2,0)*base!G570,0)</f>
        <v/>
      </c>
      <c r="I570" s="38" t="n"/>
      <c r="J570" s="29" t="n"/>
      <c r="K570" s="67">
        <f>IF(base!I570&lt;&gt;"",VLOOKUP(I570,de_para!$A$1:$B$31,2,0)*base!J570,0)</f>
        <v/>
      </c>
      <c r="L570" s="38" t="n"/>
      <c r="M570" s="29" t="n"/>
      <c r="N570" s="67">
        <f>IF(base!L570&lt;&gt;"",VLOOKUP(L570,de_para!$A$1:$B$31,2,0)*base!M570,0)</f>
        <v/>
      </c>
      <c r="O570" s="38" t="n"/>
      <c r="P570" s="29" t="n"/>
      <c r="Q570" s="67">
        <f>IF(base!O570&lt;&gt;"",VLOOKUP(O570,de_para!$A$1:$B$31,2,0)*base!P570,0)</f>
        <v/>
      </c>
      <c r="R570" s="38" t="n"/>
      <c r="S570" s="29" t="n"/>
      <c r="T570" s="67">
        <f>IF(base!R570&lt;&gt;"",VLOOKUP(R570,de_para!$A$1:$B$31,2,0)*base!S570,0)</f>
        <v/>
      </c>
      <c r="U570" s="68">
        <f>H570+K570+N570+Q570+T570</f>
        <v/>
      </c>
    </row>
    <row r="571">
      <c r="A571" s="29" t="n"/>
      <c r="B571" s="29" t="n"/>
      <c r="C571" s="29" t="n"/>
      <c r="D571" s="29" t="n"/>
      <c r="E571" s="29" t="n"/>
      <c r="F571" s="29" t="n"/>
      <c r="G571" s="29" t="n"/>
      <c r="H571" s="67">
        <f>IF(base!F571&lt;&gt;"",VLOOKUP(F571,de_para!$A$1:$B$31,2,0)*base!G571,0)</f>
        <v/>
      </c>
      <c r="I571" s="38" t="n"/>
      <c r="J571" s="29" t="n"/>
      <c r="K571" s="67">
        <f>IF(base!I571&lt;&gt;"",VLOOKUP(I571,de_para!$A$1:$B$31,2,0)*base!J571,0)</f>
        <v/>
      </c>
      <c r="L571" s="38" t="n"/>
      <c r="M571" s="29" t="n"/>
      <c r="N571" s="67">
        <f>IF(base!L571&lt;&gt;"",VLOOKUP(L571,de_para!$A$1:$B$31,2,0)*base!M571,0)</f>
        <v/>
      </c>
      <c r="O571" s="38" t="n"/>
      <c r="P571" s="29" t="n"/>
      <c r="Q571" s="67">
        <f>IF(base!O571&lt;&gt;"",VLOOKUP(O571,de_para!$A$1:$B$31,2,0)*base!P571,0)</f>
        <v/>
      </c>
      <c r="R571" s="38" t="n"/>
      <c r="S571" s="29" t="n"/>
      <c r="T571" s="67">
        <f>IF(base!R571&lt;&gt;"",VLOOKUP(R571,de_para!$A$1:$B$31,2,0)*base!S571,0)</f>
        <v/>
      </c>
      <c r="U571" s="68">
        <f>H571+K571+N571+Q571+T571</f>
        <v/>
      </c>
    </row>
    <row r="572">
      <c r="A572" s="29" t="n"/>
      <c r="B572" s="29" t="n"/>
      <c r="C572" s="29" t="n"/>
      <c r="D572" s="29" t="n"/>
      <c r="E572" s="29" t="n"/>
      <c r="F572" s="29" t="n"/>
      <c r="G572" s="29" t="n"/>
      <c r="H572" s="67">
        <f>IF(base!F572&lt;&gt;"",VLOOKUP(F572,de_para!$A$1:$B$31,2,0)*base!G572,0)</f>
        <v/>
      </c>
      <c r="I572" s="38" t="n"/>
      <c r="J572" s="29" t="n"/>
      <c r="K572" s="67">
        <f>IF(base!I572&lt;&gt;"",VLOOKUP(I572,de_para!$A$1:$B$31,2,0)*base!J572,0)</f>
        <v/>
      </c>
      <c r="L572" s="38" t="n"/>
      <c r="M572" s="29" t="n"/>
      <c r="N572" s="67">
        <f>IF(base!L572&lt;&gt;"",VLOOKUP(L572,de_para!$A$1:$B$31,2,0)*base!M572,0)</f>
        <v/>
      </c>
      <c r="O572" s="38" t="n"/>
      <c r="P572" s="29" t="n"/>
      <c r="Q572" s="67">
        <f>IF(base!O572&lt;&gt;"",VLOOKUP(O572,de_para!$A$1:$B$31,2,0)*base!P572,0)</f>
        <v/>
      </c>
      <c r="R572" s="38" t="n"/>
      <c r="S572" s="29" t="n"/>
      <c r="T572" s="67">
        <f>IF(base!R572&lt;&gt;"",VLOOKUP(R572,de_para!$A$1:$B$31,2,0)*base!S572,0)</f>
        <v/>
      </c>
      <c r="U572" s="68">
        <f>H572+K572+N572+Q572+T572</f>
        <v/>
      </c>
    </row>
    <row r="573">
      <c r="A573" s="29" t="n"/>
      <c r="B573" s="29" t="n"/>
      <c r="C573" s="29" t="n"/>
      <c r="D573" s="29" t="n"/>
      <c r="E573" s="29" t="n"/>
      <c r="F573" s="29" t="n"/>
      <c r="G573" s="29" t="n"/>
      <c r="H573" s="67">
        <f>IF(base!F573&lt;&gt;"",VLOOKUP(F573,de_para!$A$1:$B$31,2,0)*base!G573,0)</f>
        <v/>
      </c>
      <c r="I573" s="38" t="n"/>
      <c r="J573" s="29" t="n"/>
      <c r="K573" s="67">
        <f>IF(base!I573&lt;&gt;"",VLOOKUP(I573,de_para!$A$1:$B$31,2,0)*base!J573,0)</f>
        <v/>
      </c>
      <c r="L573" s="38" t="n"/>
      <c r="M573" s="29" t="n"/>
      <c r="N573" s="67">
        <f>IF(base!L573&lt;&gt;"",VLOOKUP(L573,de_para!$A$1:$B$31,2,0)*base!M573,0)</f>
        <v/>
      </c>
      <c r="O573" s="38" t="n"/>
      <c r="P573" s="29" t="n"/>
      <c r="Q573" s="67">
        <f>IF(base!O573&lt;&gt;"",VLOOKUP(O573,de_para!$A$1:$B$31,2,0)*base!P573,0)</f>
        <v/>
      </c>
      <c r="R573" s="38" t="n"/>
      <c r="S573" s="29" t="n"/>
      <c r="T573" s="67">
        <f>IF(base!R573&lt;&gt;"",VLOOKUP(R573,de_para!$A$1:$B$31,2,0)*base!S573,0)</f>
        <v/>
      </c>
      <c r="U573" s="68">
        <f>H573+K573+N573+Q573+T573</f>
        <v/>
      </c>
    </row>
    <row r="574">
      <c r="A574" s="29" t="n"/>
      <c r="B574" s="29" t="n"/>
      <c r="C574" s="29" t="n"/>
      <c r="D574" s="29" t="n"/>
      <c r="E574" s="29" t="n"/>
      <c r="F574" s="29" t="n"/>
      <c r="G574" s="29" t="n"/>
      <c r="H574" s="67">
        <f>IF(base!F574&lt;&gt;"",VLOOKUP(F574,de_para!$A$1:$B$31,2,0)*base!G574,0)</f>
        <v/>
      </c>
      <c r="I574" s="38" t="n"/>
      <c r="J574" s="29" t="n"/>
      <c r="K574" s="67">
        <f>IF(base!I574&lt;&gt;"",VLOOKUP(I574,de_para!$A$1:$B$31,2,0)*base!J574,0)</f>
        <v/>
      </c>
      <c r="L574" s="38" t="n"/>
      <c r="M574" s="29" t="n"/>
      <c r="N574" s="67">
        <f>IF(base!L574&lt;&gt;"",VLOOKUP(L574,de_para!$A$1:$B$31,2,0)*base!M574,0)</f>
        <v/>
      </c>
      <c r="O574" s="38" t="n"/>
      <c r="P574" s="29" t="n"/>
      <c r="Q574" s="67">
        <f>IF(base!O574&lt;&gt;"",VLOOKUP(O574,de_para!$A$1:$B$31,2,0)*base!P574,0)</f>
        <v/>
      </c>
      <c r="R574" s="38" t="n"/>
      <c r="S574" s="29" t="n"/>
      <c r="T574" s="67">
        <f>IF(base!R574&lt;&gt;"",VLOOKUP(R574,de_para!$A$1:$B$31,2,0)*base!S574,0)</f>
        <v/>
      </c>
      <c r="U574" s="68">
        <f>H574+K574+N574+Q574+T574</f>
        <v/>
      </c>
    </row>
    <row r="575">
      <c r="A575" s="29" t="n"/>
      <c r="B575" s="29" t="n"/>
      <c r="C575" s="29" t="n"/>
      <c r="D575" s="29" t="n"/>
      <c r="E575" s="29" t="n"/>
      <c r="F575" s="29" t="n"/>
      <c r="G575" s="29" t="n"/>
      <c r="H575" s="67">
        <f>IF(base!F575&lt;&gt;"",VLOOKUP(F575,de_para!$A$1:$B$31,2,0)*base!G575,0)</f>
        <v/>
      </c>
      <c r="I575" s="38" t="n"/>
      <c r="J575" s="29" t="n"/>
      <c r="K575" s="67">
        <f>IF(base!I575&lt;&gt;"",VLOOKUP(I575,de_para!$A$1:$B$31,2,0)*base!J575,0)</f>
        <v/>
      </c>
      <c r="L575" s="38" t="n"/>
      <c r="M575" s="29" t="n"/>
      <c r="N575" s="67">
        <f>IF(base!L575&lt;&gt;"",VLOOKUP(L575,de_para!$A$1:$B$31,2,0)*base!M575,0)</f>
        <v/>
      </c>
      <c r="O575" s="38" t="n"/>
      <c r="P575" s="29" t="n"/>
      <c r="Q575" s="67">
        <f>IF(base!O575&lt;&gt;"",VLOOKUP(O575,de_para!$A$1:$B$31,2,0)*base!P575,0)</f>
        <v/>
      </c>
      <c r="R575" s="38" t="n"/>
      <c r="S575" s="29" t="n"/>
      <c r="T575" s="67">
        <f>IF(base!R575&lt;&gt;"",VLOOKUP(R575,de_para!$A$1:$B$31,2,0)*base!S575,0)</f>
        <v/>
      </c>
      <c r="U575" s="68">
        <f>H575+K575+N575+Q575+T575</f>
        <v/>
      </c>
    </row>
    <row r="576">
      <c r="A576" s="29" t="n"/>
      <c r="B576" s="29" t="n"/>
      <c r="C576" s="29" t="n"/>
      <c r="D576" s="29" t="n"/>
      <c r="E576" s="29" t="n"/>
      <c r="F576" s="29" t="n"/>
      <c r="G576" s="29" t="n"/>
      <c r="H576" s="67">
        <f>IF(base!F576&lt;&gt;"",VLOOKUP(F576,de_para!$A$1:$B$31,2,0)*base!G576,0)</f>
        <v/>
      </c>
      <c r="I576" s="38" t="n"/>
      <c r="J576" s="29" t="n"/>
      <c r="K576" s="67">
        <f>IF(base!I576&lt;&gt;"",VLOOKUP(I576,de_para!$A$1:$B$31,2,0)*base!J576,0)</f>
        <v/>
      </c>
      <c r="L576" s="38" t="n"/>
      <c r="M576" s="29" t="n"/>
      <c r="N576" s="67">
        <f>IF(base!L576&lt;&gt;"",VLOOKUP(L576,de_para!$A$1:$B$31,2,0)*base!M576,0)</f>
        <v/>
      </c>
      <c r="O576" s="38" t="n"/>
      <c r="P576" s="29" t="n"/>
      <c r="Q576" s="67">
        <f>IF(base!O576&lt;&gt;"",VLOOKUP(O576,de_para!$A$1:$B$31,2,0)*base!P576,0)</f>
        <v/>
      </c>
      <c r="R576" s="38" t="n"/>
      <c r="S576" s="29" t="n"/>
      <c r="T576" s="67">
        <f>IF(base!R576&lt;&gt;"",VLOOKUP(R576,de_para!$A$1:$B$31,2,0)*base!S576,0)</f>
        <v/>
      </c>
      <c r="U576" s="68">
        <f>H576+K576+N576+Q576+T576</f>
        <v/>
      </c>
    </row>
    <row r="577">
      <c r="A577" s="29" t="n"/>
      <c r="B577" s="29" t="n"/>
      <c r="C577" s="29" t="n"/>
      <c r="D577" s="29" t="n"/>
      <c r="E577" s="29" t="n"/>
      <c r="F577" s="29" t="n"/>
      <c r="G577" s="29" t="n"/>
      <c r="H577" s="67">
        <f>IF(base!F577&lt;&gt;"",VLOOKUP(F577,de_para!$A$1:$B$31,2,0)*base!G577,0)</f>
        <v/>
      </c>
      <c r="I577" s="38" t="n"/>
      <c r="J577" s="29" t="n"/>
      <c r="K577" s="67">
        <f>IF(base!I577&lt;&gt;"",VLOOKUP(I577,de_para!$A$1:$B$31,2,0)*base!J577,0)</f>
        <v/>
      </c>
      <c r="L577" s="38" t="n"/>
      <c r="M577" s="29" t="n"/>
      <c r="N577" s="67">
        <f>IF(base!L577&lt;&gt;"",VLOOKUP(L577,de_para!$A$1:$B$31,2,0)*base!M577,0)</f>
        <v/>
      </c>
      <c r="O577" s="38" t="n"/>
      <c r="P577" s="29" t="n"/>
      <c r="Q577" s="67">
        <f>IF(base!O577&lt;&gt;"",VLOOKUP(O577,de_para!$A$1:$B$31,2,0)*base!P577,0)</f>
        <v/>
      </c>
      <c r="R577" s="38" t="n"/>
      <c r="S577" s="29" t="n"/>
      <c r="T577" s="67">
        <f>IF(base!R577&lt;&gt;"",VLOOKUP(R577,de_para!$A$1:$B$31,2,0)*base!S577,0)</f>
        <v/>
      </c>
      <c r="U577" s="68">
        <f>H577+K577+N577+Q577+T577</f>
        <v/>
      </c>
    </row>
    <row r="578">
      <c r="A578" s="29" t="n"/>
      <c r="B578" s="29" t="n"/>
      <c r="C578" s="29" t="n"/>
      <c r="D578" s="29" t="n"/>
      <c r="E578" s="29" t="n"/>
      <c r="F578" s="29" t="n"/>
      <c r="G578" s="29" t="n"/>
      <c r="H578" s="67">
        <f>IF(base!F578&lt;&gt;"",VLOOKUP(F578,de_para!$A$1:$B$31,2,0)*base!G578,0)</f>
        <v/>
      </c>
      <c r="I578" s="38" t="n"/>
      <c r="J578" s="29" t="n"/>
      <c r="K578" s="67">
        <f>IF(base!I578&lt;&gt;"",VLOOKUP(I578,de_para!$A$1:$B$31,2,0)*base!J578,0)</f>
        <v/>
      </c>
      <c r="L578" s="38" t="n"/>
      <c r="M578" s="29" t="n"/>
      <c r="N578" s="67">
        <f>IF(base!L578&lt;&gt;"",VLOOKUP(L578,de_para!$A$1:$B$31,2,0)*base!M578,0)</f>
        <v/>
      </c>
      <c r="O578" s="38" t="n"/>
      <c r="P578" s="29" t="n"/>
      <c r="Q578" s="67">
        <f>IF(base!O578&lt;&gt;"",VLOOKUP(O578,de_para!$A$1:$B$31,2,0)*base!P578,0)</f>
        <v/>
      </c>
      <c r="R578" s="38" t="n"/>
      <c r="S578" s="29" t="n"/>
      <c r="T578" s="67">
        <f>IF(base!R578&lt;&gt;"",VLOOKUP(R578,de_para!$A$1:$B$31,2,0)*base!S578,0)</f>
        <v/>
      </c>
      <c r="U578" s="68">
        <f>H578+K578+N578+Q578+T578</f>
        <v/>
      </c>
    </row>
    <row r="579">
      <c r="A579" s="29" t="n"/>
      <c r="B579" s="29" t="n"/>
      <c r="C579" s="29" t="n"/>
      <c r="D579" s="29" t="n"/>
      <c r="E579" s="29" t="n"/>
      <c r="F579" s="29" t="n"/>
      <c r="G579" s="29" t="n"/>
      <c r="H579" s="67">
        <f>IF(base!F579&lt;&gt;"",VLOOKUP(F579,de_para!$A$1:$B$31,2,0)*base!G579,0)</f>
        <v/>
      </c>
      <c r="I579" s="38" t="n"/>
      <c r="J579" s="29" t="n"/>
      <c r="K579" s="67">
        <f>IF(base!I579&lt;&gt;"",VLOOKUP(I579,de_para!$A$1:$B$31,2,0)*base!J579,0)</f>
        <v/>
      </c>
      <c r="L579" s="38" t="n"/>
      <c r="M579" s="29" t="n"/>
      <c r="N579" s="67">
        <f>IF(base!L579&lt;&gt;"",VLOOKUP(L579,de_para!$A$1:$B$31,2,0)*base!M579,0)</f>
        <v/>
      </c>
      <c r="O579" s="38" t="n"/>
      <c r="P579" s="29" t="n"/>
      <c r="Q579" s="67">
        <f>IF(base!O579&lt;&gt;"",VLOOKUP(O579,de_para!$A$1:$B$31,2,0)*base!P579,0)</f>
        <v/>
      </c>
      <c r="R579" s="38" t="n"/>
      <c r="S579" s="29" t="n"/>
      <c r="T579" s="67">
        <f>IF(base!R579&lt;&gt;"",VLOOKUP(R579,de_para!$A$1:$B$31,2,0)*base!S579,0)</f>
        <v/>
      </c>
      <c r="U579" s="68">
        <f>H579+K579+N579+Q579+T579</f>
        <v/>
      </c>
    </row>
    <row r="580">
      <c r="A580" s="29" t="n"/>
      <c r="B580" s="29" t="n"/>
      <c r="C580" s="29" t="n"/>
      <c r="D580" s="29" t="n"/>
      <c r="E580" s="29" t="n"/>
      <c r="F580" s="29" t="n"/>
      <c r="G580" s="29" t="n"/>
      <c r="H580" s="67">
        <f>IF(base!F580&lt;&gt;"",VLOOKUP(F580,de_para!$A$1:$B$31,2,0)*base!G580,0)</f>
        <v/>
      </c>
      <c r="I580" s="38" t="n"/>
      <c r="J580" s="29" t="n"/>
      <c r="K580" s="67">
        <f>IF(base!I580&lt;&gt;"",VLOOKUP(I580,de_para!$A$1:$B$31,2,0)*base!J580,0)</f>
        <v/>
      </c>
      <c r="L580" s="38" t="n"/>
      <c r="M580" s="29" t="n"/>
      <c r="N580" s="67">
        <f>IF(base!L580&lt;&gt;"",VLOOKUP(L580,de_para!$A$1:$B$31,2,0)*base!M580,0)</f>
        <v/>
      </c>
      <c r="O580" s="38" t="n"/>
      <c r="P580" s="29" t="n"/>
      <c r="Q580" s="67">
        <f>IF(base!O580&lt;&gt;"",VLOOKUP(O580,de_para!$A$1:$B$31,2,0)*base!P580,0)</f>
        <v/>
      </c>
      <c r="R580" s="38" t="n"/>
      <c r="S580" s="29" t="n"/>
      <c r="T580" s="67">
        <f>IF(base!R580&lt;&gt;"",VLOOKUP(R580,de_para!$A$1:$B$31,2,0)*base!S580,0)</f>
        <v/>
      </c>
      <c r="U580" s="68">
        <f>H580+K580+N580+Q580+T580</f>
        <v/>
      </c>
    </row>
    <row r="581">
      <c r="A581" s="29" t="n"/>
      <c r="B581" s="29" t="n"/>
      <c r="C581" s="29" t="n"/>
      <c r="D581" s="29" t="n"/>
      <c r="E581" s="29" t="n"/>
      <c r="F581" s="29" t="n"/>
      <c r="G581" s="29" t="n"/>
      <c r="H581" s="67">
        <f>IF(base!F581&lt;&gt;"",VLOOKUP(F581,de_para!$A$1:$B$31,2,0)*base!G581,0)</f>
        <v/>
      </c>
      <c r="I581" s="38" t="n"/>
      <c r="J581" s="29" t="n"/>
      <c r="K581" s="67">
        <f>IF(base!I581&lt;&gt;"",VLOOKUP(I581,de_para!$A$1:$B$31,2,0)*base!J581,0)</f>
        <v/>
      </c>
      <c r="L581" s="38" t="n"/>
      <c r="M581" s="29" t="n"/>
      <c r="N581" s="67">
        <f>IF(base!L581&lt;&gt;"",VLOOKUP(L581,de_para!$A$1:$B$31,2,0)*base!M581,0)</f>
        <v/>
      </c>
      <c r="O581" s="38" t="n"/>
      <c r="P581" s="29" t="n"/>
      <c r="Q581" s="67">
        <f>IF(base!O581&lt;&gt;"",VLOOKUP(O581,de_para!$A$1:$B$31,2,0)*base!P581,0)</f>
        <v/>
      </c>
      <c r="R581" s="38" t="n"/>
      <c r="S581" s="29" t="n"/>
      <c r="T581" s="67">
        <f>IF(base!R581&lt;&gt;"",VLOOKUP(R581,de_para!$A$1:$B$31,2,0)*base!S581,0)</f>
        <v/>
      </c>
      <c r="U581" s="68">
        <f>H581+K581+N581+Q581+T581</f>
        <v/>
      </c>
    </row>
    <row r="582">
      <c r="A582" s="29" t="n"/>
      <c r="B582" s="29" t="n"/>
      <c r="C582" s="29" t="n"/>
      <c r="D582" s="29" t="n"/>
      <c r="E582" s="29" t="n"/>
      <c r="F582" s="29" t="n"/>
      <c r="G582" s="29" t="n"/>
      <c r="H582" s="67">
        <f>IF(base!F582&lt;&gt;"",VLOOKUP(F582,de_para!$A$1:$B$31,2,0)*base!G582,0)</f>
        <v/>
      </c>
      <c r="I582" s="38" t="n"/>
      <c r="J582" s="29" t="n"/>
      <c r="K582" s="67">
        <f>IF(base!I582&lt;&gt;"",VLOOKUP(I582,de_para!$A$1:$B$31,2,0)*base!J582,0)</f>
        <v/>
      </c>
      <c r="L582" s="38" t="n"/>
      <c r="M582" s="29" t="n"/>
      <c r="N582" s="67">
        <f>IF(base!L582&lt;&gt;"",VLOOKUP(L582,de_para!$A$1:$B$31,2,0)*base!M582,0)</f>
        <v/>
      </c>
      <c r="O582" s="38" t="n"/>
      <c r="P582" s="29" t="n"/>
      <c r="Q582" s="67">
        <f>IF(base!O582&lt;&gt;"",VLOOKUP(O582,de_para!$A$1:$B$31,2,0)*base!P582,0)</f>
        <v/>
      </c>
      <c r="R582" s="38" t="n"/>
      <c r="S582" s="29" t="n"/>
      <c r="T582" s="67">
        <f>IF(base!R582&lt;&gt;"",VLOOKUP(R582,de_para!$A$1:$B$31,2,0)*base!S582,0)</f>
        <v/>
      </c>
      <c r="U582" s="68">
        <f>H582+K582+N582+Q582+T582</f>
        <v/>
      </c>
    </row>
    <row r="583">
      <c r="A583" s="29" t="n"/>
      <c r="B583" s="29" t="n"/>
      <c r="C583" s="29" t="n"/>
      <c r="D583" s="29" t="n"/>
      <c r="E583" s="29" t="n"/>
      <c r="F583" s="29" t="n"/>
      <c r="G583" s="29" t="n"/>
      <c r="H583" s="67">
        <f>IF(base!F583&lt;&gt;"",VLOOKUP(F583,de_para!$A$1:$B$31,2,0)*base!G583,0)</f>
        <v/>
      </c>
      <c r="I583" s="38" t="n"/>
      <c r="J583" s="29" t="n"/>
      <c r="K583" s="67">
        <f>IF(base!I583&lt;&gt;"",VLOOKUP(I583,de_para!$A$1:$B$31,2,0)*base!J583,0)</f>
        <v/>
      </c>
      <c r="L583" s="38" t="n"/>
      <c r="M583" s="29" t="n"/>
      <c r="N583" s="67">
        <f>IF(base!L583&lt;&gt;"",VLOOKUP(L583,de_para!$A$1:$B$31,2,0)*base!M583,0)</f>
        <v/>
      </c>
      <c r="O583" s="38" t="n"/>
      <c r="P583" s="29" t="n"/>
      <c r="Q583" s="67">
        <f>IF(base!O583&lt;&gt;"",VLOOKUP(O583,de_para!$A$1:$B$31,2,0)*base!P583,0)</f>
        <v/>
      </c>
      <c r="R583" s="38" t="n"/>
      <c r="S583" s="29" t="n"/>
      <c r="T583" s="67">
        <f>IF(base!R583&lt;&gt;"",VLOOKUP(R583,de_para!$A$1:$B$31,2,0)*base!S583,0)</f>
        <v/>
      </c>
      <c r="U583" s="68">
        <f>H583+K583+N583+Q583+T583</f>
        <v/>
      </c>
    </row>
    <row r="584">
      <c r="A584" s="29" t="n"/>
      <c r="B584" s="29" t="n"/>
      <c r="C584" s="29" t="n"/>
      <c r="D584" s="29" t="n"/>
      <c r="E584" s="29" t="n"/>
      <c r="F584" s="29" t="n"/>
      <c r="G584" s="29" t="n"/>
      <c r="H584" s="67">
        <f>IF(base!F584&lt;&gt;"",VLOOKUP(F584,de_para!$A$1:$B$31,2,0)*base!G584,0)</f>
        <v/>
      </c>
      <c r="I584" s="38" t="n"/>
      <c r="J584" s="29" t="n"/>
      <c r="K584" s="67">
        <f>IF(base!I584&lt;&gt;"",VLOOKUP(I584,de_para!$A$1:$B$31,2,0)*base!J584,0)</f>
        <v/>
      </c>
      <c r="L584" s="38" t="n"/>
      <c r="M584" s="29" t="n"/>
      <c r="N584" s="67">
        <f>IF(base!L584&lt;&gt;"",VLOOKUP(L584,de_para!$A$1:$B$31,2,0)*base!M584,0)</f>
        <v/>
      </c>
      <c r="O584" s="38" t="n"/>
      <c r="P584" s="29" t="n"/>
      <c r="Q584" s="67">
        <f>IF(base!O584&lt;&gt;"",VLOOKUP(O584,de_para!$A$1:$B$31,2,0)*base!P584,0)</f>
        <v/>
      </c>
      <c r="R584" s="38" t="n"/>
      <c r="S584" s="29" t="n"/>
      <c r="T584" s="67">
        <f>IF(base!R584&lt;&gt;"",VLOOKUP(R584,de_para!$A$1:$B$31,2,0)*base!S584,0)</f>
        <v/>
      </c>
      <c r="U584" s="68">
        <f>H584+K584+N584+Q584+T584</f>
        <v/>
      </c>
    </row>
    <row r="585">
      <c r="A585" s="29" t="n"/>
      <c r="B585" s="29" t="n"/>
      <c r="C585" s="29" t="n"/>
      <c r="D585" s="29" t="n"/>
      <c r="E585" s="29" t="n"/>
      <c r="F585" s="29" t="n"/>
      <c r="G585" s="29" t="n"/>
      <c r="H585" s="67">
        <f>IF(base!F585&lt;&gt;"",VLOOKUP(F585,de_para!$A$1:$B$31,2,0)*base!G585,0)</f>
        <v/>
      </c>
      <c r="I585" s="38" t="n"/>
      <c r="J585" s="29" t="n"/>
      <c r="K585" s="67">
        <f>IF(base!I585&lt;&gt;"",VLOOKUP(I585,de_para!$A$1:$B$31,2,0)*base!J585,0)</f>
        <v/>
      </c>
      <c r="L585" s="38" t="n"/>
      <c r="M585" s="29" t="n"/>
      <c r="N585" s="67">
        <f>IF(base!L585&lt;&gt;"",VLOOKUP(L585,de_para!$A$1:$B$31,2,0)*base!M585,0)</f>
        <v/>
      </c>
      <c r="O585" s="38" t="n"/>
      <c r="P585" s="29" t="n"/>
      <c r="Q585" s="67">
        <f>IF(base!O585&lt;&gt;"",VLOOKUP(O585,de_para!$A$1:$B$31,2,0)*base!P585,0)</f>
        <v/>
      </c>
      <c r="R585" s="38" t="n"/>
      <c r="S585" s="29" t="n"/>
      <c r="T585" s="67">
        <f>IF(base!R585&lt;&gt;"",VLOOKUP(R585,de_para!$A$1:$B$31,2,0)*base!S585,0)</f>
        <v/>
      </c>
      <c r="U585" s="68">
        <f>H585+K585+N585+Q585+T585</f>
        <v/>
      </c>
    </row>
    <row r="586">
      <c r="A586" s="29" t="n"/>
      <c r="B586" s="29" t="n"/>
      <c r="C586" s="29" t="n"/>
      <c r="D586" s="29" t="n"/>
      <c r="E586" s="29" t="n"/>
      <c r="F586" s="29" t="n"/>
      <c r="G586" s="29" t="n"/>
      <c r="H586" s="67">
        <f>IF(base!F586&lt;&gt;"",VLOOKUP(F586,de_para!$A$1:$B$31,2,0)*base!G586,0)</f>
        <v/>
      </c>
      <c r="I586" s="38" t="n"/>
      <c r="J586" s="29" t="n"/>
      <c r="K586" s="67">
        <f>IF(base!I586&lt;&gt;"",VLOOKUP(I586,de_para!$A$1:$B$31,2,0)*base!J586,0)</f>
        <v/>
      </c>
      <c r="L586" s="38" t="n"/>
      <c r="M586" s="29" t="n"/>
      <c r="N586" s="67">
        <f>IF(base!L586&lt;&gt;"",VLOOKUP(L586,de_para!$A$1:$B$31,2,0)*base!M586,0)</f>
        <v/>
      </c>
      <c r="O586" s="38" t="n"/>
      <c r="P586" s="29" t="n"/>
      <c r="Q586" s="67">
        <f>IF(base!O586&lt;&gt;"",VLOOKUP(O586,de_para!$A$1:$B$31,2,0)*base!P586,0)</f>
        <v/>
      </c>
      <c r="R586" s="38" t="n"/>
      <c r="S586" s="29" t="n"/>
      <c r="T586" s="67">
        <f>IF(base!R586&lt;&gt;"",VLOOKUP(R586,de_para!$A$1:$B$31,2,0)*base!S586,0)</f>
        <v/>
      </c>
      <c r="U586" s="68">
        <f>H586+K586+N586+Q586+T586</f>
        <v/>
      </c>
    </row>
    <row r="587">
      <c r="A587" s="29" t="n"/>
      <c r="B587" s="29" t="n"/>
      <c r="C587" s="29" t="n"/>
      <c r="D587" s="29" t="n"/>
      <c r="E587" s="29" t="n"/>
      <c r="F587" s="29" t="n"/>
      <c r="G587" s="29" t="n"/>
      <c r="H587" s="67">
        <f>IF(base!F587&lt;&gt;"",VLOOKUP(F587,de_para!$A$1:$B$31,2,0)*base!G587,0)</f>
        <v/>
      </c>
      <c r="I587" s="38" t="n"/>
      <c r="J587" s="29" t="n"/>
      <c r="K587" s="67">
        <f>IF(base!I587&lt;&gt;"",VLOOKUP(I587,de_para!$A$1:$B$31,2,0)*base!J587,0)</f>
        <v/>
      </c>
      <c r="L587" s="38" t="n"/>
      <c r="M587" s="29" t="n"/>
      <c r="N587" s="67">
        <f>IF(base!L587&lt;&gt;"",VLOOKUP(L587,de_para!$A$1:$B$31,2,0)*base!M587,0)</f>
        <v/>
      </c>
      <c r="O587" s="38" t="n"/>
      <c r="P587" s="29" t="n"/>
      <c r="Q587" s="67">
        <f>IF(base!O587&lt;&gt;"",VLOOKUP(O587,de_para!$A$1:$B$31,2,0)*base!P587,0)</f>
        <v/>
      </c>
      <c r="R587" s="38" t="n"/>
      <c r="S587" s="29" t="n"/>
      <c r="T587" s="67">
        <f>IF(base!R587&lt;&gt;"",VLOOKUP(R587,de_para!$A$1:$B$31,2,0)*base!S587,0)</f>
        <v/>
      </c>
      <c r="U587" s="68">
        <f>H587+K587+N587+Q587+T587</f>
        <v/>
      </c>
    </row>
    <row r="588">
      <c r="A588" s="29" t="n"/>
      <c r="B588" s="29" t="n"/>
      <c r="C588" s="29" t="n"/>
      <c r="D588" s="29" t="n"/>
      <c r="E588" s="29" t="n"/>
      <c r="F588" s="29" t="n"/>
      <c r="G588" s="29" t="n"/>
      <c r="H588" s="67">
        <f>IF(base!F588&lt;&gt;"",VLOOKUP(F588,de_para!$A$1:$B$31,2,0)*base!G588,0)</f>
        <v/>
      </c>
      <c r="I588" s="38" t="n"/>
      <c r="J588" s="29" t="n"/>
      <c r="K588" s="67">
        <f>IF(base!I588&lt;&gt;"",VLOOKUP(I588,de_para!$A$1:$B$31,2,0)*base!J588,0)</f>
        <v/>
      </c>
      <c r="L588" s="38" t="n"/>
      <c r="M588" s="29" t="n"/>
      <c r="N588" s="67">
        <f>IF(base!L588&lt;&gt;"",VLOOKUP(L588,de_para!$A$1:$B$31,2,0)*base!M588,0)</f>
        <v/>
      </c>
      <c r="O588" s="38" t="n"/>
      <c r="P588" s="29" t="n"/>
      <c r="Q588" s="67">
        <f>IF(base!O588&lt;&gt;"",VLOOKUP(O588,de_para!$A$1:$B$31,2,0)*base!P588,0)</f>
        <v/>
      </c>
      <c r="R588" s="38" t="n"/>
      <c r="S588" s="29" t="n"/>
      <c r="T588" s="67">
        <f>IF(base!R588&lt;&gt;"",VLOOKUP(R588,de_para!$A$1:$B$31,2,0)*base!S588,0)</f>
        <v/>
      </c>
      <c r="U588" s="68">
        <f>H588+K588+N588+Q588+T588</f>
        <v/>
      </c>
    </row>
    <row r="589">
      <c r="A589" s="29" t="n"/>
      <c r="B589" s="29" t="n"/>
      <c r="C589" s="29" t="n"/>
      <c r="D589" s="29" t="n"/>
      <c r="E589" s="29" t="n"/>
      <c r="F589" s="29" t="n"/>
      <c r="G589" s="29" t="n"/>
      <c r="H589" s="67">
        <f>IF(base!F589&lt;&gt;"",VLOOKUP(F589,de_para!$A$1:$B$31,2,0)*base!G589,0)</f>
        <v/>
      </c>
      <c r="I589" s="38" t="n"/>
      <c r="J589" s="29" t="n"/>
      <c r="K589" s="67">
        <f>IF(base!I589&lt;&gt;"",VLOOKUP(I589,de_para!$A$1:$B$31,2,0)*base!J589,0)</f>
        <v/>
      </c>
      <c r="L589" s="38" t="n"/>
      <c r="M589" s="29" t="n"/>
      <c r="N589" s="67">
        <f>IF(base!L589&lt;&gt;"",VLOOKUP(L589,de_para!$A$1:$B$31,2,0)*base!M589,0)</f>
        <v/>
      </c>
      <c r="O589" s="38" t="n"/>
      <c r="P589" s="29" t="n"/>
      <c r="Q589" s="67">
        <f>IF(base!O589&lt;&gt;"",VLOOKUP(O589,de_para!$A$1:$B$31,2,0)*base!P589,0)</f>
        <v/>
      </c>
      <c r="R589" s="38" t="n"/>
      <c r="S589" s="29" t="n"/>
      <c r="T589" s="67">
        <f>IF(base!R589&lt;&gt;"",VLOOKUP(R589,de_para!$A$1:$B$31,2,0)*base!S589,0)</f>
        <v/>
      </c>
      <c r="U589" s="68">
        <f>H589+K589+N589+Q589+T589</f>
        <v/>
      </c>
    </row>
    <row r="590">
      <c r="A590" s="29" t="n"/>
      <c r="B590" s="29" t="n"/>
      <c r="C590" s="29" t="n"/>
      <c r="D590" s="29" t="n"/>
      <c r="E590" s="29" t="n"/>
      <c r="F590" s="29" t="n"/>
      <c r="G590" s="29" t="n"/>
      <c r="H590" s="67">
        <f>IF(base!F590&lt;&gt;"",VLOOKUP(F590,de_para!$A$1:$B$31,2,0)*base!G590,0)</f>
        <v/>
      </c>
      <c r="I590" s="38" t="n"/>
      <c r="J590" s="29" t="n"/>
      <c r="K590" s="67">
        <f>IF(base!I590&lt;&gt;"",VLOOKUP(I590,de_para!$A$1:$B$31,2,0)*base!J590,0)</f>
        <v/>
      </c>
      <c r="L590" s="38" t="n"/>
      <c r="M590" s="29" t="n"/>
      <c r="N590" s="67">
        <f>IF(base!L590&lt;&gt;"",VLOOKUP(L590,de_para!$A$1:$B$31,2,0)*base!M590,0)</f>
        <v/>
      </c>
      <c r="O590" s="38" t="n"/>
      <c r="P590" s="29" t="n"/>
      <c r="Q590" s="67">
        <f>IF(base!O590&lt;&gt;"",VLOOKUP(O590,de_para!$A$1:$B$31,2,0)*base!P590,0)</f>
        <v/>
      </c>
      <c r="R590" s="38" t="n"/>
      <c r="S590" s="29" t="n"/>
      <c r="T590" s="67">
        <f>IF(base!R590&lt;&gt;"",VLOOKUP(R590,de_para!$A$1:$B$31,2,0)*base!S590,0)</f>
        <v/>
      </c>
      <c r="U590" s="68">
        <f>H590+K590+N590+Q590+T590</f>
        <v/>
      </c>
    </row>
    <row r="591">
      <c r="A591" s="29" t="n"/>
      <c r="B591" s="29" t="n"/>
      <c r="C591" s="29" t="n"/>
      <c r="D591" s="29" t="n"/>
      <c r="E591" s="29" t="n"/>
      <c r="F591" s="29" t="n"/>
      <c r="G591" s="29" t="n"/>
      <c r="H591" s="67">
        <f>IF(base!F591&lt;&gt;"",VLOOKUP(F591,de_para!$A$1:$B$31,2,0)*base!G591,0)</f>
        <v/>
      </c>
      <c r="I591" s="38" t="n"/>
      <c r="J591" s="29" t="n"/>
      <c r="K591" s="67">
        <f>IF(base!I591&lt;&gt;"",VLOOKUP(I591,de_para!$A$1:$B$31,2,0)*base!J591,0)</f>
        <v/>
      </c>
      <c r="L591" s="38" t="n"/>
      <c r="M591" s="29" t="n"/>
      <c r="N591" s="67">
        <f>IF(base!L591&lt;&gt;"",VLOOKUP(L591,de_para!$A$1:$B$31,2,0)*base!M591,0)</f>
        <v/>
      </c>
      <c r="O591" s="38" t="n"/>
      <c r="P591" s="29" t="n"/>
      <c r="Q591" s="67">
        <f>IF(base!O591&lt;&gt;"",VLOOKUP(O591,de_para!$A$1:$B$31,2,0)*base!P591,0)</f>
        <v/>
      </c>
      <c r="R591" s="38" t="n"/>
      <c r="S591" s="29" t="n"/>
      <c r="T591" s="67">
        <f>IF(base!R591&lt;&gt;"",VLOOKUP(R591,de_para!$A$1:$B$31,2,0)*base!S591,0)</f>
        <v/>
      </c>
      <c r="U591" s="68">
        <f>H591+K591+N591+Q591+T591</f>
        <v/>
      </c>
    </row>
    <row r="592">
      <c r="A592" s="29" t="n"/>
      <c r="B592" s="29" t="n"/>
      <c r="C592" s="29" t="n"/>
      <c r="D592" s="29" t="n"/>
      <c r="E592" s="29" t="n"/>
      <c r="F592" s="29" t="n"/>
      <c r="G592" s="29" t="n"/>
      <c r="H592" s="67">
        <f>IF(base!F592&lt;&gt;"",VLOOKUP(F592,de_para!$A$1:$B$31,2,0)*base!G592,0)</f>
        <v/>
      </c>
      <c r="I592" s="38" t="n"/>
      <c r="J592" s="29" t="n"/>
      <c r="K592" s="67">
        <f>IF(base!I592&lt;&gt;"",VLOOKUP(I592,de_para!$A$1:$B$31,2,0)*base!J592,0)</f>
        <v/>
      </c>
      <c r="L592" s="38" t="n"/>
      <c r="M592" s="29" t="n"/>
      <c r="N592" s="67">
        <f>IF(base!L592&lt;&gt;"",VLOOKUP(L592,de_para!$A$1:$B$31,2,0)*base!M592,0)</f>
        <v/>
      </c>
      <c r="O592" s="38" t="n"/>
      <c r="P592" s="29" t="n"/>
      <c r="Q592" s="67">
        <f>IF(base!O592&lt;&gt;"",VLOOKUP(O592,de_para!$A$1:$B$31,2,0)*base!P592,0)</f>
        <v/>
      </c>
      <c r="R592" s="38" t="n"/>
      <c r="S592" s="29" t="n"/>
      <c r="T592" s="67">
        <f>IF(base!R592&lt;&gt;"",VLOOKUP(R592,de_para!$A$1:$B$31,2,0)*base!S592,0)</f>
        <v/>
      </c>
      <c r="U592" s="68">
        <f>H592+K592+N592+Q592+T592</f>
        <v/>
      </c>
    </row>
    <row r="593">
      <c r="A593" s="29" t="n"/>
      <c r="B593" s="29" t="n"/>
      <c r="C593" s="29" t="n"/>
      <c r="D593" s="29" t="n"/>
      <c r="E593" s="29" t="n"/>
      <c r="F593" s="29" t="n"/>
      <c r="G593" s="29" t="n"/>
      <c r="H593" s="67">
        <f>IF(base!F593&lt;&gt;"",VLOOKUP(F593,de_para!$A$1:$B$31,2,0)*base!G593,0)</f>
        <v/>
      </c>
      <c r="I593" s="38" t="n"/>
      <c r="J593" s="29" t="n"/>
      <c r="K593" s="67">
        <f>IF(base!I593&lt;&gt;"",VLOOKUP(I593,de_para!$A$1:$B$31,2,0)*base!J593,0)</f>
        <v/>
      </c>
      <c r="L593" s="38" t="n"/>
      <c r="M593" s="29" t="n"/>
      <c r="N593" s="67">
        <f>IF(base!L593&lt;&gt;"",VLOOKUP(L593,de_para!$A$1:$B$31,2,0)*base!M593,0)</f>
        <v/>
      </c>
      <c r="O593" s="38" t="n"/>
      <c r="P593" s="29" t="n"/>
      <c r="Q593" s="67">
        <f>IF(base!O593&lt;&gt;"",VLOOKUP(O593,de_para!$A$1:$B$31,2,0)*base!P593,0)</f>
        <v/>
      </c>
      <c r="R593" s="38" t="n"/>
      <c r="S593" s="29" t="n"/>
      <c r="T593" s="67">
        <f>IF(base!R593&lt;&gt;"",VLOOKUP(R593,de_para!$A$1:$B$31,2,0)*base!S593,0)</f>
        <v/>
      </c>
      <c r="U593" s="68">
        <f>H593+K593+N593+Q593+T593</f>
        <v/>
      </c>
    </row>
    <row r="594">
      <c r="A594" s="29" t="n"/>
      <c r="B594" s="29" t="n"/>
      <c r="C594" s="29" t="n"/>
      <c r="D594" s="29" t="n"/>
      <c r="E594" s="29" t="n"/>
      <c r="F594" s="29" t="n"/>
      <c r="G594" s="29" t="n"/>
      <c r="H594" s="67">
        <f>IF(base!F594&lt;&gt;"",VLOOKUP(F594,de_para!$A$1:$B$31,2,0)*base!G594,0)</f>
        <v/>
      </c>
      <c r="I594" s="38" t="n"/>
      <c r="J594" s="29" t="n"/>
      <c r="K594" s="67">
        <f>IF(base!I594&lt;&gt;"",VLOOKUP(I594,de_para!$A$1:$B$31,2,0)*base!J594,0)</f>
        <v/>
      </c>
      <c r="L594" s="38" t="n"/>
      <c r="M594" s="29" t="n"/>
      <c r="N594" s="67">
        <f>IF(base!L594&lt;&gt;"",VLOOKUP(L594,de_para!$A$1:$B$31,2,0)*base!M594,0)</f>
        <v/>
      </c>
      <c r="O594" s="38" t="n"/>
      <c r="P594" s="29" t="n"/>
      <c r="Q594" s="67">
        <f>IF(base!O594&lt;&gt;"",VLOOKUP(O594,de_para!$A$1:$B$31,2,0)*base!P594,0)</f>
        <v/>
      </c>
      <c r="R594" s="38" t="n"/>
      <c r="S594" s="29" t="n"/>
      <c r="T594" s="67">
        <f>IF(base!R594&lt;&gt;"",VLOOKUP(R594,de_para!$A$1:$B$31,2,0)*base!S594,0)</f>
        <v/>
      </c>
      <c r="U594" s="68">
        <f>H594+K594+N594+Q594+T594</f>
        <v/>
      </c>
    </row>
    <row r="595">
      <c r="A595" s="29" t="n"/>
      <c r="B595" s="29" t="n"/>
      <c r="C595" s="29" t="n"/>
      <c r="D595" s="29" t="n"/>
      <c r="E595" s="29" t="n"/>
      <c r="F595" s="29" t="n"/>
      <c r="G595" s="29" t="n"/>
      <c r="H595" s="67">
        <f>IF(base!F595&lt;&gt;"",VLOOKUP(F595,de_para!$A$1:$B$31,2,0)*base!G595,0)</f>
        <v/>
      </c>
      <c r="I595" s="38" t="n"/>
      <c r="J595" s="29" t="n"/>
      <c r="K595" s="67">
        <f>IF(base!I595&lt;&gt;"",VLOOKUP(I595,de_para!$A$1:$B$31,2,0)*base!J595,0)</f>
        <v/>
      </c>
      <c r="L595" s="38" t="n"/>
      <c r="M595" s="29" t="n"/>
      <c r="N595" s="67">
        <f>IF(base!L595&lt;&gt;"",VLOOKUP(L595,de_para!$A$1:$B$31,2,0)*base!M595,0)</f>
        <v/>
      </c>
      <c r="O595" s="38" t="n"/>
      <c r="P595" s="29" t="n"/>
      <c r="Q595" s="67">
        <f>IF(base!O595&lt;&gt;"",VLOOKUP(O595,de_para!$A$1:$B$31,2,0)*base!P595,0)</f>
        <v/>
      </c>
      <c r="R595" s="38" t="n"/>
      <c r="S595" s="29" t="n"/>
      <c r="T595" s="67">
        <f>IF(base!R595&lt;&gt;"",VLOOKUP(R595,de_para!$A$1:$B$31,2,0)*base!S595,0)</f>
        <v/>
      </c>
      <c r="U595" s="68">
        <f>H595+K595+N595+Q595+T595</f>
        <v/>
      </c>
    </row>
    <row r="596">
      <c r="A596" s="29" t="n"/>
      <c r="B596" s="29" t="n"/>
      <c r="C596" s="29" t="n"/>
      <c r="D596" s="29" t="n"/>
      <c r="E596" s="29" t="n"/>
      <c r="F596" s="29" t="n"/>
      <c r="G596" s="29" t="n"/>
      <c r="H596" s="67">
        <f>IF(base!F596&lt;&gt;"",VLOOKUP(F596,de_para!$A$1:$B$31,2,0)*base!G596,0)</f>
        <v/>
      </c>
      <c r="I596" s="38" t="n"/>
      <c r="J596" s="29" t="n"/>
      <c r="K596" s="67">
        <f>IF(base!I596&lt;&gt;"",VLOOKUP(I596,de_para!$A$1:$B$31,2,0)*base!J596,0)</f>
        <v/>
      </c>
      <c r="L596" s="38" t="n"/>
      <c r="M596" s="29" t="n"/>
      <c r="N596" s="67">
        <f>IF(base!L596&lt;&gt;"",VLOOKUP(L596,de_para!$A$1:$B$31,2,0)*base!M596,0)</f>
        <v/>
      </c>
      <c r="O596" s="38" t="n"/>
      <c r="P596" s="29" t="n"/>
      <c r="Q596" s="67">
        <f>IF(base!O596&lt;&gt;"",VLOOKUP(O596,de_para!$A$1:$B$31,2,0)*base!P596,0)</f>
        <v/>
      </c>
      <c r="R596" s="38" t="n"/>
      <c r="S596" s="29" t="n"/>
      <c r="T596" s="67">
        <f>IF(base!R596&lt;&gt;"",VLOOKUP(R596,de_para!$A$1:$B$31,2,0)*base!S596,0)</f>
        <v/>
      </c>
      <c r="U596" s="68">
        <f>H596+K596+N596+Q596+T596</f>
        <v/>
      </c>
    </row>
    <row r="597">
      <c r="A597" s="29" t="n"/>
      <c r="B597" s="29" t="n"/>
      <c r="C597" s="29" t="n"/>
      <c r="D597" s="29" t="n"/>
      <c r="E597" s="29" t="n"/>
      <c r="F597" s="29" t="n"/>
      <c r="G597" s="29" t="n"/>
      <c r="H597" s="67">
        <f>IF(base!F597&lt;&gt;"",VLOOKUP(F597,de_para!$A$1:$B$31,2,0)*base!G597,0)</f>
        <v/>
      </c>
      <c r="I597" s="38" t="n"/>
      <c r="J597" s="29" t="n"/>
      <c r="K597" s="67">
        <f>IF(base!I597&lt;&gt;"",VLOOKUP(I597,de_para!$A$1:$B$31,2,0)*base!J597,0)</f>
        <v/>
      </c>
      <c r="L597" s="38" t="n"/>
      <c r="M597" s="29" t="n"/>
      <c r="N597" s="67">
        <f>IF(base!L597&lt;&gt;"",VLOOKUP(L597,de_para!$A$1:$B$31,2,0)*base!M597,0)</f>
        <v/>
      </c>
      <c r="O597" s="38" t="n"/>
      <c r="P597" s="29" t="n"/>
      <c r="Q597" s="67">
        <f>IF(base!O597&lt;&gt;"",VLOOKUP(O597,de_para!$A$1:$B$31,2,0)*base!P597,0)</f>
        <v/>
      </c>
      <c r="R597" s="38" t="n"/>
      <c r="S597" s="29" t="n"/>
      <c r="T597" s="67">
        <f>IF(base!R597&lt;&gt;"",VLOOKUP(R597,de_para!$A$1:$B$31,2,0)*base!S597,0)</f>
        <v/>
      </c>
      <c r="U597" s="68">
        <f>H597+K597+N597+Q597+T597</f>
        <v/>
      </c>
    </row>
    <row r="598">
      <c r="A598" s="29" t="n"/>
      <c r="B598" s="29" t="n"/>
      <c r="C598" s="29" t="n"/>
      <c r="D598" s="29" t="n"/>
      <c r="E598" s="29" t="n"/>
      <c r="F598" s="29" t="n"/>
      <c r="G598" s="29" t="n"/>
      <c r="H598" s="67">
        <f>IF(base!F598&lt;&gt;"",VLOOKUP(F598,de_para!$A$1:$B$31,2,0)*base!G598,0)</f>
        <v/>
      </c>
      <c r="I598" s="38" t="n"/>
      <c r="J598" s="29" t="n"/>
      <c r="K598" s="67">
        <f>IF(base!I598&lt;&gt;"",VLOOKUP(I598,de_para!$A$1:$B$31,2,0)*base!J598,0)</f>
        <v/>
      </c>
      <c r="L598" s="38" t="n"/>
      <c r="M598" s="29" t="n"/>
      <c r="N598" s="67">
        <f>IF(base!L598&lt;&gt;"",VLOOKUP(L598,de_para!$A$1:$B$31,2,0)*base!M598,0)</f>
        <v/>
      </c>
      <c r="O598" s="38" t="n"/>
      <c r="P598" s="29" t="n"/>
      <c r="Q598" s="67">
        <f>IF(base!O598&lt;&gt;"",VLOOKUP(O598,de_para!$A$1:$B$31,2,0)*base!P598,0)</f>
        <v/>
      </c>
      <c r="R598" s="38" t="n"/>
      <c r="S598" s="29" t="n"/>
      <c r="T598" s="67">
        <f>IF(base!R598&lt;&gt;"",VLOOKUP(R598,de_para!$A$1:$B$31,2,0)*base!S598,0)</f>
        <v/>
      </c>
      <c r="U598" s="68">
        <f>H598+K598+N598+Q598+T598</f>
        <v/>
      </c>
    </row>
    <row r="599">
      <c r="A599" s="29" t="n"/>
      <c r="B599" s="29" t="n"/>
      <c r="C599" s="29" t="n"/>
      <c r="D599" s="29" t="n"/>
      <c r="E599" s="29" t="n"/>
      <c r="F599" s="29" t="n"/>
      <c r="G599" s="29" t="n"/>
      <c r="H599" s="67">
        <f>IF(base!F599&lt;&gt;"",VLOOKUP(F599,de_para!$A$1:$B$31,2,0)*base!G599,0)</f>
        <v/>
      </c>
      <c r="I599" s="38" t="n"/>
      <c r="J599" s="29" t="n"/>
      <c r="K599" s="67">
        <f>IF(base!I599&lt;&gt;"",VLOOKUP(I599,de_para!$A$1:$B$31,2,0)*base!J599,0)</f>
        <v/>
      </c>
      <c r="L599" s="38" t="n"/>
      <c r="M599" s="29" t="n"/>
      <c r="N599" s="67">
        <f>IF(base!L599&lt;&gt;"",VLOOKUP(L599,de_para!$A$1:$B$31,2,0)*base!M599,0)</f>
        <v/>
      </c>
      <c r="O599" s="38" t="n"/>
      <c r="P599" s="29" t="n"/>
      <c r="Q599" s="67">
        <f>IF(base!O599&lt;&gt;"",VLOOKUP(O599,de_para!$A$1:$B$31,2,0)*base!P599,0)</f>
        <v/>
      </c>
      <c r="R599" s="38" t="n"/>
      <c r="S599" s="29" t="n"/>
      <c r="T599" s="67">
        <f>IF(base!R599&lt;&gt;"",VLOOKUP(R599,de_para!$A$1:$B$31,2,0)*base!S599,0)</f>
        <v/>
      </c>
      <c r="U599" s="68">
        <f>H599+K599+N599+Q599+T599</f>
        <v/>
      </c>
    </row>
    <row r="600">
      <c r="A600" s="29" t="n"/>
      <c r="B600" s="29" t="n"/>
      <c r="C600" s="29" t="n"/>
      <c r="D600" s="29" t="n"/>
      <c r="E600" s="29" t="n"/>
      <c r="F600" s="29" t="n"/>
      <c r="G600" s="29" t="n"/>
      <c r="H600" s="67">
        <f>IF(base!F600&lt;&gt;"",VLOOKUP(F600,de_para!$A$1:$B$31,2,0)*base!G600,0)</f>
        <v/>
      </c>
      <c r="I600" s="38" t="n"/>
      <c r="J600" s="29" t="n"/>
      <c r="K600" s="67">
        <f>IF(base!I600&lt;&gt;"",VLOOKUP(I600,de_para!$A$1:$B$31,2,0)*base!J600,0)</f>
        <v/>
      </c>
      <c r="L600" s="38" t="n"/>
      <c r="M600" s="29" t="n"/>
      <c r="N600" s="67">
        <f>IF(base!L600&lt;&gt;"",VLOOKUP(L600,de_para!$A$1:$B$31,2,0)*base!M600,0)</f>
        <v/>
      </c>
      <c r="O600" s="38" t="n"/>
      <c r="P600" s="29" t="n"/>
      <c r="Q600" s="67">
        <f>IF(base!O600&lt;&gt;"",VLOOKUP(O600,de_para!$A$1:$B$31,2,0)*base!P600,0)</f>
        <v/>
      </c>
      <c r="R600" s="38" t="n"/>
      <c r="S600" s="29" t="n"/>
      <c r="T600" s="67">
        <f>IF(base!R600&lt;&gt;"",VLOOKUP(R600,de_para!$A$1:$B$31,2,0)*base!S600,0)</f>
        <v/>
      </c>
      <c r="U600" s="68">
        <f>H600+K600+N600+Q600+T600</f>
        <v/>
      </c>
    </row>
    <row r="601">
      <c r="A601" s="29" t="n"/>
      <c r="B601" s="29" t="n"/>
      <c r="C601" s="29" t="n"/>
      <c r="D601" s="29" t="n"/>
      <c r="E601" s="29" t="n"/>
      <c r="F601" s="29" t="n"/>
      <c r="G601" s="29" t="n"/>
      <c r="H601" s="67">
        <f>IF(base!F601&lt;&gt;"",VLOOKUP(F601,de_para!$A$1:$B$31,2,0)*base!G601,0)</f>
        <v/>
      </c>
      <c r="I601" s="38" t="n"/>
      <c r="J601" s="29" t="n"/>
      <c r="K601" s="67">
        <f>IF(base!I601&lt;&gt;"",VLOOKUP(I601,de_para!$A$1:$B$31,2,0)*base!J601,0)</f>
        <v/>
      </c>
      <c r="L601" s="38" t="n"/>
      <c r="M601" s="29" t="n"/>
      <c r="N601" s="67">
        <f>IF(base!L601&lt;&gt;"",VLOOKUP(L601,de_para!$A$1:$B$31,2,0)*base!M601,0)</f>
        <v/>
      </c>
      <c r="O601" s="38" t="n"/>
      <c r="P601" s="29" t="n"/>
      <c r="Q601" s="67">
        <f>IF(base!O601&lt;&gt;"",VLOOKUP(O601,de_para!$A$1:$B$31,2,0)*base!P601,0)</f>
        <v/>
      </c>
      <c r="R601" s="38" t="n"/>
      <c r="S601" s="29" t="n"/>
      <c r="T601" s="67">
        <f>IF(base!R601&lt;&gt;"",VLOOKUP(R601,de_para!$A$1:$B$31,2,0)*base!S601,0)</f>
        <v/>
      </c>
      <c r="U601" s="68">
        <f>H601+K601+N601+Q601+T601</f>
        <v/>
      </c>
    </row>
    <row r="602">
      <c r="A602" s="29" t="n"/>
      <c r="B602" s="29" t="n"/>
      <c r="C602" s="29" t="n"/>
      <c r="D602" s="29" t="n"/>
      <c r="E602" s="29" t="n"/>
      <c r="F602" s="29" t="n"/>
      <c r="G602" s="29" t="n"/>
      <c r="H602" s="67">
        <f>IF(base!F602&lt;&gt;"",VLOOKUP(F602,de_para!$A$1:$B$31,2,0)*base!G602,0)</f>
        <v/>
      </c>
      <c r="I602" s="38" t="n"/>
      <c r="J602" s="29" t="n"/>
      <c r="K602" s="67">
        <f>IF(base!I602&lt;&gt;"",VLOOKUP(I602,de_para!$A$1:$B$31,2,0)*base!J602,0)</f>
        <v/>
      </c>
      <c r="L602" s="38" t="n"/>
      <c r="M602" s="29" t="n"/>
      <c r="N602" s="67">
        <f>IF(base!L602&lt;&gt;"",VLOOKUP(L602,de_para!$A$1:$B$31,2,0)*base!M602,0)</f>
        <v/>
      </c>
      <c r="O602" s="38" t="n"/>
      <c r="P602" s="29" t="n"/>
      <c r="Q602" s="67">
        <f>IF(base!O602&lt;&gt;"",VLOOKUP(O602,de_para!$A$1:$B$31,2,0)*base!P602,0)</f>
        <v/>
      </c>
      <c r="R602" s="38" t="n"/>
      <c r="S602" s="29" t="n"/>
      <c r="T602" s="67">
        <f>IF(base!R602&lt;&gt;"",VLOOKUP(R602,de_para!$A$1:$B$31,2,0)*base!S602,0)</f>
        <v/>
      </c>
      <c r="U602" s="68">
        <f>H602+K602+N602+Q602+T602</f>
        <v/>
      </c>
    </row>
    <row r="603">
      <c r="A603" s="29" t="n"/>
      <c r="B603" s="29" t="n"/>
      <c r="C603" s="29" t="n"/>
      <c r="D603" s="29" t="n"/>
      <c r="E603" s="29" t="n"/>
      <c r="F603" s="29" t="n"/>
      <c r="G603" s="29" t="n"/>
      <c r="H603" s="67">
        <f>IF(base!F603&lt;&gt;"",VLOOKUP(F603,de_para!$A$1:$B$31,2,0)*base!G603,0)</f>
        <v/>
      </c>
      <c r="I603" s="38" t="n"/>
      <c r="J603" s="29" t="n"/>
      <c r="K603" s="67">
        <f>IF(base!I603&lt;&gt;"",VLOOKUP(I603,de_para!$A$1:$B$31,2,0)*base!J603,0)</f>
        <v/>
      </c>
      <c r="L603" s="38" t="n"/>
      <c r="M603" s="29" t="n"/>
      <c r="N603" s="67">
        <f>IF(base!L603&lt;&gt;"",VLOOKUP(L603,de_para!$A$1:$B$31,2,0)*base!M603,0)</f>
        <v/>
      </c>
      <c r="O603" s="38" t="n"/>
      <c r="P603" s="29" t="n"/>
      <c r="Q603" s="67">
        <f>IF(base!O603&lt;&gt;"",VLOOKUP(O603,de_para!$A$1:$B$31,2,0)*base!P603,0)</f>
        <v/>
      </c>
      <c r="R603" s="38" t="n"/>
      <c r="S603" s="29" t="n"/>
      <c r="T603" s="67">
        <f>IF(base!R603&lt;&gt;"",VLOOKUP(R603,de_para!$A$1:$B$31,2,0)*base!S603,0)</f>
        <v/>
      </c>
      <c r="U603" s="68">
        <f>H603+K603+N603+Q603+T603</f>
        <v/>
      </c>
    </row>
    <row r="604">
      <c r="A604" s="29" t="n"/>
      <c r="B604" s="29" t="n"/>
      <c r="C604" s="29" t="n"/>
      <c r="D604" s="29" t="n"/>
      <c r="E604" s="29" t="n"/>
      <c r="F604" s="29" t="n"/>
      <c r="G604" s="29" t="n"/>
      <c r="H604" s="67">
        <f>IF(base!F604&lt;&gt;"",VLOOKUP(F604,de_para!$A$1:$B$31,2,0)*base!G604,0)</f>
        <v/>
      </c>
      <c r="I604" s="38" t="n"/>
      <c r="J604" s="29" t="n"/>
      <c r="K604" s="67">
        <f>IF(base!I604&lt;&gt;"",VLOOKUP(I604,de_para!$A$1:$B$31,2,0)*base!J604,0)</f>
        <v/>
      </c>
      <c r="L604" s="38" t="n"/>
      <c r="M604" s="29" t="n"/>
      <c r="N604" s="67">
        <f>IF(base!L604&lt;&gt;"",VLOOKUP(L604,de_para!$A$1:$B$31,2,0)*base!M604,0)</f>
        <v/>
      </c>
      <c r="O604" s="38" t="n"/>
      <c r="P604" s="29" t="n"/>
      <c r="Q604" s="67">
        <f>IF(base!O604&lt;&gt;"",VLOOKUP(O604,de_para!$A$1:$B$31,2,0)*base!P604,0)</f>
        <v/>
      </c>
      <c r="R604" s="38" t="n"/>
      <c r="S604" s="29" t="n"/>
      <c r="T604" s="67">
        <f>IF(base!R604&lt;&gt;"",VLOOKUP(R604,de_para!$A$1:$B$31,2,0)*base!S604,0)</f>
        <v/>
      </c>
      <c r="U604" s="68">
        <f>H604+K604+N604+Q604+T604</f>
        <v/>
      </c>
    </row>
    <row r="605">
      <c r="A605" s="29" t="n"/>
      <c r="B605" s="29" t="n"/>
      <c r="C605" s="29" t="n"/>
      <c r="D605" s="29" t="n"/>
      <c r="E605" s="29" t="n"/>
      <c r="F605" s="29" t="n"/>
      <c r="G605" s="29" t="n"/>
      <c r="H605" s="67">
        <f>IF(base!F605&lt;&gt;"",VLOOKUP(F605,de_para!$A$1:$B$31,2,0)*base!G605,0)</f>
        <v/>
      </c>
      <c r="I605" s="38" t="n"/>
      <c r="J605" s="29" t="n"/>
      <c r="K605" s="67">
        <f>IF(base!I605&lt;&gt;"",VLOOKUP(I605,de_para!$A$1:$B$31,2,0)*base!J605,0)</f>
        <v/>
      </c>
      <c r="L605" s="38" t="n"/>
      <c r="M605" s="29" t="n"/>
      <c r="N605" s="67">
        <f>IF(base!L605&lt;&gt;"",VLOOKUP(L605,de_para!$A$1:$B$31,2,0)*base!M605,0)</f>
        <v/>
      </c>
      <c r="O605" s="38" t="n"/>
      <c r="P605" s="29" t="n"/>
      <c r="Q605" s="67">
        <f>IF(base!O605&lt;&gt;"",VLOOKUP(O605,de_para!$A$1:$B$31,2,0)*base!P605,0)</f>
        <v/>
      </c>
      <c r="R605" s="38" t="n"/>
      <c r="S605" s="29" t="n"/>
      <c r="T605" s="67">
        <f>IF(base!R605&lt;&gt;"",VLOOKUP(R605,de_para!$A$1:$B$31,2,0)*base!S605,0)</f>
        <v/>
      </c>
      <c r="U605" s="68">
        <f>H605+K605+N605+Q605+T605</f>
        <v/>
      </c>
    </row>
    <row r="606">
      <c r="A606" s="29" t="n"/>
      <c r="B606" s="29" t="n"/>
      <c r="C606" s="29" t="n"/>
      <c r="D606" s="29" t="n"/>
      <c r="E606" s="29" t="n"/>
      <c r="F606" s="29" t="n"/>
      <c r="G606" s="29" t="n"/>
      <c r="H606" s="67">
        <f>IF(base!F606&lt;&gt;"",VLOOKUP(F606,de_para!$A$1:$B$31,2,0)*base!G606,0)</f>
        <v/>
      </c>
      <c r="I606" s="38" t="n"/>
      <c r="J606" s="29" t="n"/>
      <c r="K606" s="67">
        <f>IF(base!I606&lt;&gt;"",VLOOKUP(I606,de_para!$A$1:$B$31,2,0)*base!J606,0)</f>
        <v/>
      </c>
      <c r="L606" s="38" t="n"/>
      <c r="M606" s="29" t="n"/>
      <c r="N606" s="67">
        <f>IF(base!L606&lt;&gt;"",VLOOKUP(L606,de_para!$A$1:$B$31,2,0)*base!M606,0)</f>
        <v/>
      </c>
      <c r="O606" s="38" t="n"/>
      <c r="P606" s="29" t="n"/>
      <c r="Q606" s="67">
        <f>IF(base!O606&lt;&gt;"",VLOOKUP(O606,de_para!$A$1:$B$31,2,0)*base!P606,0)</f>
        <v/>
      </c>
      <c r="R606" s="38" t="n"/>
      <c r="S606" s="29" t="n"/>
      <c r="T606" s="67">
        <f>IF(base!R606&lt;&gt;"",VLOOKUP(R606,de_para!$A$1:$B$31,2,0)*base!S606,0)</f>
        <v/>
      </c>
      <c r="U606" s="68">
        <f>H606+K606+N606+Q606+T606</f>
        <v/>
      </c>
    </row>
    <row r="607">
      <c r="A607" s="29" t="n"/>
      <c r="B607" s="29" t="n"/>
      <c r="C607" s="29" t="n"/>
      <c r="D607" s="29" t="n"/>
      <c r="E607" s="29" t="n"/>
      <c r="F607" s="29" t="n"/>
      <c r="G607" s="29" t="n"/>
      <c r="H607" s="67">
        <f>IF(base!F607&lt;&gt;"",VLOOKUP(F607,de_para!$A$1:$B$31,2,0)*base!G607,0)</f>
        <v/>
      </c>
      <c r="I607" s="38" t="n"/>
      <c r="J607" s="29" t="n"/>
      <c r="K607" s="67">
        <f>IF(base!I607&lt;&gt;"",VLOOKUP(I607,de_para!$A$1:$B$31,2,0)*base!J607,0)</f>
        <v/>
      </c>
      <c r="L607" s="38" t="n"/>
      <c r="M607" s="29" t="n"/>
      <c r="N607" s="67">
        <f>IF(base!L607&lt;&gt;"",VLOOKUP(L607,de_para!$A$1:$B$31,2,0)*base!M607,0)</f>
        <v/>
      </c>
      <c r="O607" s="38" t="n"/>
      <c r="P607" s="29" t="n"/>
      <c r="Q607" s="67">
        <f>IF(base!O607&lt;&gt;"",VLOOKUP(O607,de_para!$A$1:$B$31,2,0)*base!P607,0)</f>
        <v/>
      </c>
      <c r="R607" s="38" t="n"/>
      <c r="S607" s="29" t="n"/>
      <c r="T607" s="67">
        <f>IF(base!R607&lt;&gt;"",VLOOKUP(R607,de_para!$A$1:$B$31,2,0)*base!S607,0)</f>
        <v/>
      </c>
      <c r="U607" s="68">
        <f>H607+K607+N607+Q607+T607</f>
        <v/>
      </c>
    </row>
    <row r="608">
      <c r="A608" s="29" t="n"/>
      <c r="B608" s="29" t="n"/>
      <c r="C608" s="29" t="n"/>
      <c r="D608" s="29" t="n"/>
      <c r="E608" s="29" t="n"/>
      <c r="F608" s="29" t="n"/>
      <c r="G608" s="29" t="n"/>
      <c r="H608" s="67">
        <f>IF(base!F608&lt;&gt;"",VLOOKUP(F608,de_para!$A$1:$B$31,2,0)*base!G608,0)</f>
        <v/>
      </c>
      <c r="I608" s="38" t="n"/>
      <c r="J608" s="29" t="n"/>
      <c r="K608" s="67">
        <f>IF(base!I608&lt;&gt;"",VLOOKUP(I608,de_para!$A$1:$B$31,2,0)*base!J608,0)</f>
        <v/>
      </c>
      <c r="L608" s="38" t="n"/>
      <c r="M608" s="29" t="n"/>
      <c r="N608" s="67">
        <f>IF(base!L608&lt;&gt;"",VLOOKUP(L608,de_para!$A$1:$B$31,2,0)*base!M608,0)</f>
        <v/>
      </c>
      <c r="O608" s="38" t="n"/>
      <c r="P608" s="29" t="n"/>
      <c r="Q608" s="67">
        <f>IF(base!O608&lt;&gt;"",VLOOKUP(O608,de_para!$A$1:$B$31,2,0)*base!P608,0)</f>
        <v/>
      </c>
      <c r="R608" s="38" t="n"/>
      <c r="S608" s="29" t="n"/>
      <c r="T608" s="67">
        <f>IF(base!R608&lt;&gt;"",VLOOKUP(R608,de_para!$A$1:$B$31,2,0)*base!S608,0)</f>
        <v/>
      </c>
      <c r="U608" s="68">
        <f>H608+K608+N608+Q608+T608</f>
        <v/>
      </c>
    </row>
    <row r="609">
      <c r="A609" s="29" t="n"/>
      <c r="B609" s="29" t="n"/>
      <c r="C609" s="29" t="n"/>
      <c r="D609" s="29" t="n"/>
      <c r="E609" s="29" t="n"/>
      <c r="F609" s="29" t="n"/>
      <c r="G609" s="29" t="n"/>
      <c r="H609" s="67">
        <f>IF(base!F609&lt;&gt;"",VLOOKUP(F609,de_para!$A$1:$B$31,2,0)*base!G609,0)</f>
        <v/>
      </c>
      <c r="I609" s="38" t="n"/>
      <c r="J609" s="29" t="n"/>
      <c r="K609" s="67">
        <f>IF(base!I609&lt;&gt;"",VLOOKUP(I609,de_para!$A$1:$B$31,2,0)*base!J609,0)</f>
        <v/>
      </c>
      <c r="L609" s="38" t="n"/>
      <c r="M609" s="29" t="n"/>
      <c r="N609" s="67">
        <f>IF(base!L609&lt;&gt;"",VLOOKUP(L609,de_para!$A$1:$B$31,2,0)*base!M609,0)</f>
        <v/>
      </c>
      <c r="O609" s="38" t="n"/>
      <c r="P609" s="29" t="n"/>
      <c r="Q609" s="67">
        <f>IF(base!O609&lt;&gt;"",VLOOKUP(O609,de_para!$A$1:$B$31,2,0)*base!P609,0)</f>
        <v/>
      </c>
      <c r="R609" s="38" t="n"/>
      <c r="S609" s="29" t="n"/>
      <c r="T609" s="67">
        <f>IF(base!R609&lt;&gt;"",VLOOKUP(R609,de_para!$A$1:$B$31,2,0)*base!S609,0)</f>
        <v/>
      </c>
      <c r="U609" s="68">
        <f>H609+K609+N609+Q609+T609</f>
        <v/>
      </c>
    </row>
    <row r="610">
      <c r="A610" s="29" t="n"/>
      <c r="B610" s="29" t="n"/>
      <c r="C610" s="29" t="n"/>
      <c r="D610" s="29" t="n"/>
      <c r="E610" s="29" t="n"/>
      <c r="F610" s="29" t="n"/>
      <c r="G610" s="29" t="n"/>
      <c r="H610" s="67">
        <f>IF(base!F610&lt;&gt;"",VLOOKUP(F610,de_para!$A$1:$B$31,2,0)*base!G610,0)</f>
        <v/>
      </c>
      <c r="I610" s="38" t="n"/>
      <c r="J610" s="29" t="n"/>
      <c r="K610" s="67">
        <f>IF(base!I610&lt;&gt;"",VLOOKUP(I610,de_para!$A$1:$B$31,2,0)*base!J610,0)</f>
        <v/>
      </c>
      <c r="L610" s="38" t="n"/>
      <c r="M610" s="29" t="n"/>
      <c r="N610" s="67">
        <f>IF(base!L610&lt;&gt;"",VLOOKUP(L610,de_para!$A$1:$B$31,2,0)*base!M610,0)</f>
        <v/>
      </c>
      <c r="O610" s="38" t="n"/>
      <c r="P610" s="29" t="n"/>
      <c r="Q610" s="67">
        <f>IF(base!O610&lt;&gt;"",VLOOKUP(O610,de_para!$A$1:$B$31,2,0)*base!P610,0)</f>
        <v/>
      </c>
      <c r="R610" s="38" t="n"/>
      <c r="S610" s="29" t="n"/>
      <c r="T610" s="67">
        <f>IF(base!R610&lt;&gt;"",VLOOKUP(R610,de_para!$A$1:$B$31,2,0)*base!S610,0)</f>
        <v/>
      </c>
      <c r="U610" s="68">
        <f>H610+K610+N610+Q610+T610</f>
        <v/>
      </c>
    </row>
    <row r="611">
      <c r="A611" s="29" t="n"/>
      <c r="B611" s="29" t="n"/>
      <c r="C611" s="29" t="n"/>
      <c r="D611" s="29" t="n"/>
      <c r="E611" s="29" t="n"/>
      <c r="F611" s="29" t="n"/>
      <c r="G611" s="29" t="n"/>
      <c r="H611" s="67">
        <f>IF(base!F611&lt;&gt;"",VLOOKUP(F611,de_para!$A$1:$B$31,2,0)*base!G611,0)</f>
        <v/>
      </c>
      <c r="I611" s="38" t="n"/>
      <c r="J611" s="29" t="n"/>
      <c r="K611" s="67">
        <f>IF(base!I611&lt;&gt;"",VLOOKUP(I611,de_para!$A$1:$B$31,2,0)*base!J611,0)</f>
        <v/>
      </c>
      <c r="L611" s="38" t="n"/>
      <c r="M611" s="29" t="n"/>
      <c r="N611" s="67">
        <f>IF(base!L611&lt;&gt;"",VLOOKUP(L611,de_para!$A$1:$B$31,2,0)*base!M611,0)</f>
        <v/>
      </c>
      <c r="O611" s="38" t="n"/>
      <c r="P611" s="29" t="n"/>
      <c r="Q611" s="67">
        <f>IF(base!O611&lt;&gt;"",VLOOKUP(O611,de_para!$A$1:$B$31,2,0)*base!P611,0)</f>
        <v/>
      </c>
      <c r="R611" s="38" t="n"/>
      <c r="S611" s="29" t="n"/>
      <c r="T611" s="67">
        <f>IF(base!R611&lt;&gt;"",VLOOKUP(R611,de_para!$A$1:$B$31,2,0)*base!S611,0)</f>
        <v/>
      </c>
      <c r="U611" s="68">
        <f>H611+K611+N611+Q611+T611</f>
        <v/>
      </c>
    </row>
    <row r="612">
      <c r="A612" s="29" t="n"/>
      <c r="B612" s="29" t="n"/>
      <c r="C612" s="29" t="n"/>
      <c r="D612" s="29" t="n"/>
      <c r="E612" s="29" t="n"/>
      <c r="F612" s="29" t="n"/>
      <c r="G612" s="29" t="n"/>
      <c r="H612" s="67">
        <f>IF(base!F612&lt;&gt;"",VLOOKUP(F612,de_para!$A$1:$B$31,2,0)*base!G612,0)</f>
        <v/>
      </c>
      <c r="I612" s="38" t="n"/>
      <c r="J612" s="29" t="n"/>
      <c r="K612" s="67">
        <f>IF(base!I612&lt;&gt;"",VLOOKUP(I612,de_para!$A$1:$B$31,2,0)*base!J612,0)</f>
        <v/>
      </c>
      <c r="L612" s="38" t="n"/>
      <c r="M612" s="29" t="n"/>
      <c r="N612" s="67">
        <f>IF(base!L612&lt;&gt;"",VLOOKUP(L612,de_para!$A$1:$B$31,2,0)*base!M612,0)</f>
        <v/>
      </c>
      <c r="O612" s="38" t="n"/>
      <c r="P612" s="29" t="n"/>
      <c r="Q612" s="67">
        <f>IF(base!O612&lt;&gt;"",VLOOKUP(O612,de_para!$A$1:$B$31,2,0)*base!P612,0)</f>
        <v/>
      </c>
      <c r="R612" s="38" t="n"/>
      <c r="S612" s="29" t="n"/>
      <c r="T612" s="67">
        <f>IF(base!R612&lt;&gt;"",VLOOKUP(R612,de_para!$A$1:$B$31,2,0)*base!S612,0)</f>
        <v/>
      </c>
      <c r="U612" s="68">
        <f>H612+K612+N612+Q612+T612</f>
        <v/>
      </c>
    </row>
    <row r="613">
      <c r="A613" s="29" t="n"/>
      <c r="B613" s="29" t="n"/>
      <c r="C613" s="29" t="n"/>
      <c r="D613" s="29" t="n"/>
      <c r="E613" s="29" t="n"/>
      <c r="F613" s="29" t="n"/>
      <c r="G613" s="29" t="n"/>
      <c r="H613" s="67">
        <f>IF(base!F613&lt;&gt;"",VLOOKUP(F613,de_para!$A$1:$B$31,2,0)*base!G613,0)</f>
        <v/>
      </c>
      <c r="I613" s="38" t="n"/>
      <c r="J613" s="29" t="n"/>
      <c r="K613" s="67">
        <f>IF(base!I613&lt;&gt;"",VLOOKUP(I613,de_para!$A$1:$B$31,2,0)*base!J613,0)</f>
        <v/>
      </c>
      <c r="L613" s="38" t="n"/>
      <c r="M613" s="29" t="n"/>
      <c r="N613" s="67">
        <f>IF(base!L613&lt;&gt;"",VLOOKUP(L613,de_para!$A$1:$B$31,2,0)*base!M613,0)</f>
        <v/>
      </c>
      <c r="O613" s="38" t="n"/>
      <c r="P613" s="29" t="n"/>
      <c r="Q613" s="67">
        <f>IF(base!O613&lt;&gt;"",VLOOKUP(O613,de_para!$A$1:$B$31,2,0)*base!P613,0)</f>
        <v/>
      </c>
      <c r="R613" s="38" t="n"/>
      <c r="S613" s="29" t="n"/>
      <c r="T613" s="67">
        <f>IF(base!R613&lt;&gt;"",VLOOKUP(R613,de_para!$A$1:$B$31,2,0)*base!S613,0)</f>
        <v/>
      </c>
      <c r="U613" s="68">
        <f>H613+K613+N613+Q613+T613</f>
        <v/>
      </c>
    </row>
    <row r="614">
      <c r="A614" s="29" t="n"/>
      <c r="B614" s="29" t="n"/>
      <c r="C614" s="29" t="n"/>
      <c r="D614" s="29" t="n"/>
      <c r="E614" s="29" t="n"/>
      <c r="F614" s="29" t="n"/>
      <c r="G614" s="29" t="n"/>
      <c r="H614" s="67">
        <f>IF(base!F614&lt;&gt;"",VLOOKUP(F614,de_para!$A$1:$B$31,2,0)*base!G614,0)</f>
        <v/>
      </c>
      <c r="I614" s="38" t="n"/>
      <c r="J614" s="29" t="n"/>
      <c r="K614" s="67">
        <f>IF(base!I614&lt;&gt;"",VLOOKUP(I614,de_para!$A$1:$B$31,2,0)*base!J614,0)</f>
        <v/>
      </c>
      <c r="L614" s="38" t="n"/>
      <c r="M614" s="29" t="n"/>
      <c r="N614" s="67">
        <f>IF(base!L614&lt;&gt;"",VLOOKUP(L614,de_para!$A$1:$B$31,2,0)*base!M614,0)</f>
        <v/>
      </c>
      <c r="O614" s="38" t="n"/>
      <c r="P614" s="29" t="n"/>
      <c r="Q614" s="67">
        <f>IF(base!O614&lt;&gt;"",VLOOKUP(O614,de_para!$A$1:$B$31,2,0)*base!P614,0)</f>
        <v/>
      </c>
      <c r="R614" s="38" t="n"/>
      <c r="S614" s="29" t="n"/>
      <c r="T614" s="67">
        <f>IF(base!R614&lt;&gt;"",VLOOKUP(R614,de_para!$A$1:$B$31,2,0)*base!S614,0)</f>
        <v/>
      </c>
      <c r="U614" s="68">
        <f>H614+K614+N614+Q614+T614</f>
        <v/>
      </c>
    </row>
    <row r="615">
      <c r="A615" s="29" t="n"/>
      <c r="B615" s="29" t="n"/>
      <c r="C615" s="29" t="n"/>
      <c r="D615" s="29" t="n"/>
      <c r="E615" s="29" t="n"/>
      <c r="F615" s="29" t="n"/>
      <c r="G615" s="29" t="n"/>
      <c r="H615" s="67">
        <f>IF(base!F615&lt;&gt;"",VLOOKUP(F615,de_para!$A$1:$B$31,2,0)*base!G615,0)</f>
        <v/>
      </c>
      <c r="I615" s="38" t="n"/>
      <c r="J615" s="29" t="n"/>
      <c r="K615" s="67">
        <f>IF(base!I615&lt;&gt;"",VLOOKUP(I615,de_para!$A$1:$B$31,2,0)*base!J615,0)</f>
        <v/>
      </c>
      <c r="L615" s="38" t="n"/>
      <c r="M615" s="29" t="n"/>
      <c r="N615" s="67">
        <f>IF(base!L615&lt;&gt;"",VLOOKUP(L615,de_para!$A$1:$B$31,2,0)*base!M615,0)</f>
        <v/>
      </c>
      <c r="O615" s="38" t="n"/>
      <c r="P615" s="29" t="n"/>
      <c r="Q615" s="67">
        <f>IF(base!O615&lt;&gt;"",VLOOKUP(O615,de_para!$A$1:$B$31,2,0)*base!P615,0)</f>
        <v/>
      </c>
      <c r="R615" s="38" t="n"/>
      <c r="S615" s="29" t="n"/>
      <c r="T615" s="67">
        <f>IF(base!R615&lt;&gt;"",VLOOKUP(R615,de_para!$A$1:$B$31,2,0)*base!S615,0)</f>
        <v/>
      </c>
      <c r="U615" s="68">
        <f>H615+K615+N615+Q615+T615</f>
        <v/>
      </c>
    </row>
    <row r="616">
      <c r="A616" s="29" t="n"/>
      <c r="B616" s="29" t="n"/>
      <c r="C616" s="29" t="n"/>
      <c r="D616" s="29" t="n"/>
      <c r="E616" s="29" t="n"/>
      <c r="F616" s="29" t="n"/>
      <c r="G616" s="29" t="n"/>
      <c r="H616" s="67">
        <f>IF(base!F616&lt;&gt;"",VLOOKUP(F616,de_para!$A$1:$B$31,2,0)*base!G616,0)</f>
        <v/>
      </c>
      <c r="I616" s="38" t="n"/>
      <c r="J616" s="29" t="n"/>
      <c r="K616" s="67">
        <f>IF(base!I616&lt;&gt;"",VLOOKUP(I616,de_para!$A$1:$B$31,2,0)*base!J616,0)</f>
        <v/>
      </c>
      <c r="L616" s="38" t="n"/>
      <c r="M616" s="29" t="n"/>
      <c r="N616" s="67">
        <f>IF(base!L616&lt;&gt;"",VLOOKUP(L616,de_para!$A$1:$B$31,2,0)*base!M616,0)</f>
        <v/>
      </c>
      <c r="O616" s="38" t="n"/>
      <c r="P616" s="29" t="n"/>
      <c r="Q616" s="67">
        <f>IF(base!O616&lt;&gt;"",VLOOKUP(O616,de_para!$A$1:$B$31,2,0)*base!P616,0)</f>
        <v/>
      </c>
      <c r="R616" s="38" t="n"/>
      <c r="S616" s="29" t="n"/>
      <c r="T616" s="67">
        <f>IF(base!R616&lt;&gt;"",VLOOKUP(R616,de_para!$A$1:$B$31,2,0)*base!S616,0)</f>
        <v/>
      </c>
      <c r="U616" s="68">
        <f>H616+K616+N616+Q616+T616</f>
        <v/>
      </c>
    </row>
    <row r="617">
      <c r="A617" s="29" t="n"/>
      <c r="B617" s="29" t="n"/>
      <c r="C617" s="29" t="n"/>
      <c r="D617" s="29" t="n"/>
      <c r="E617" s="29" t="n"/>
      <c r="F617" s="29" t="n"/>
      <c r="G617" s="29" t="n"/>
      <c r="H617" s="67">
        <f>IF(base!F617&lt;&gt;"",VLOOKUP(F617,de_para!$A$1:$B$31,2,0)*base!G617,0)</f>
        <v/>
      </c>
      <c r="I617" s="38" t="n"/>
      <c r="J617" s="29" t="n"/>
      <c r="K617" s="67">
        <f>IF(base!I617&lt;&gt;"",VLOOKUP(I617,de_para!$A$1:$B$31,2,0)*base!J617,0)</f>
        <v/>
      </c>
      <c r="L617" s="38" t="n"/>
      <c r="M617" s="29" t="n"/>
      <c r="N617" s="67">
        <f>IF(base!L617&lt;&gt;"",VLOOKUP(L617,de_para!$A$1:$B$31,2,0)*base!M617,0)</f>
        <v/>
      </c>
      <c r="O617" s="38" t="n"/>
      <c r="P617" s="29" t="n"/>
      <c r="Q617" s="67">
        <f>IF(base!O617&lt;&gt;"",VLOOKUP(O617,de_para!$A$1:$B$31,2,0)*base!P617,0)</f>
        <v/>
      </c>
      <c r="R617" s="38" t="n"/>
      <c r="S617" s="29" t="n"/>
      <c r="T617" s="67">
        <f>IF(base!R617&lt;&gt;"",VLOOKUP(R617,de_para!$A$1:$B$31,2,0)*base!S617,0)</f>
        <v/>
      </c>
      <c r="U617" s="68">
        <f>H617+K617+N617+Q617+T617</f>
        <v/>
      </c>
    </row>
    <row r="618">
      <c r="A618" s="29" t="n"/>
      <c r="B618" s="29" t="n"/>
      <c r="C618" s="29" t="n"/>
      <c r="D618" s="29" t="n"/>
      <c r="E618" s="29" t="n"/>
      <c r="F618" s="29" t="n"/>
      <c r="G618" s="29" t="n"/>
      <c r="H618" s="67">
        <f>IF(base!F618&lt;&gt;"",VLOOKUP(F618,de_para!$A$1:$B$31,2,0)*base!G618,0)</f>
        <v/>
      </c>
      <c r="I618" s="38" t="n"/>
      <c r="J618" s="29" t="n"/>
      <c r="K618" s="67">
        <f>IF(base!I618&lt;&gt;"",VLOOKUP(I618,de_para!$A$1:$B$31,2,0)*base!J618,0)</f>
        <v/>
      </c>
      <c r="L618" s="38" t="n"/>
      <c r="M618" s="29" t="n"/>
      <c r="N618" s="67">
        <f>IF(base!L618&lt;&gt;"",VLOOKUP(L618,de_para!$A$1:$B$31,2,0)*base!M618,0)</f>
        <v/>
      </c>
      <c r="O618" s="38" t="n"/>
      <c r="P618" s="29" t="n"/>
      <c r="Q618" s="67">
        <f>IF(base!O618&lt;&gt;"",VLOOKUP(O618,de_para!$A$1:$B$31,2,0)*base!P618,0)</f>
        <v/>
      </c>
      <c r="R618" s="38" t="n"/>
      <c r="S618" s="29" t="n"/>
      <c r="T618" s="67">
        <f>IF(base!R618&lt;&gt;"",VLOOKUP(R618,de_para!$A$1:$B$31,2,0)*base!S618,0)</f>
        <v/>
      </c>
      <c r="U618" s="68">
        <f>H618+K618+N618+Q618+T618</f>
        <v/>
      </c>
    </row>
    <row r="619">
      <c r="A619" s="29" t="n"/>
      <c r="B619" s="29" t="n"/>
      <c r="C619" s="29" t="n"/>
      <c r="D619" s="29" t="n"/>
      <c r="E619" s="29" t="n"/>
      <c r="F619" s="29" t="n"/>
      <c r="G619" s="29" t="n"/>
      <c r="H619" s="67">
        <f>IF(base!F619&lt;&gt;"",VLOOKUP(F619,de_para!$A$1:$B$31,2,0)*base!G619,0)</f>
        <v/>
      </c>
      <c r="I619" s="38" t="n"/>
      <c r="J619" s="29" t="n"/>
      <c r="K619" s="67">
        <f>IF(base!I619&lt;&gt;"",VLOOKUP(I619,de_para!$A$1:$B$31,2,0)*base!J619,0)</f>
        <v/>
      </c>
      <c r="L619" s="38" t="n"/>
      <c r="M619" s="29" t="n"/>
      <c r="N619" s="67">
        <f>IF(base!L619&lt;&gt;"",VLOOKUP(L619,de_para!$A$1:$B$31,2,0)*base!M619,0)</f>
        <v/>
      </c>
      <c r="O619" s="38" t="n"/>
      <c r="P619" s="29" t="n"/>
      <c r="Q619" s="67">
        <f>IF(base!O619&lt;&gt;"",VLOOKUP(O619,de_para!$A$1:$B$31,2,0)*base!P619,0)</f>
        <v/>
      </c>
      <c r="R619" s="38" t="n"/>
      <c r="S619" s="29" t="n"/>
      <c r="T619" s="67">
        <f>IF(base!R619&lt;&gt;"",VLOOKUP(R619,de_para!$A$1:$B$31,2,0)*base!S619,0)</f>
        <v/>
      </c>
      <c r="U619" s="68">
        <f>H619+K619+N619+Q619+T619</f>
        <v/>
      </c>
    </row>
    <row r="620">
      <c r="A620" s="29" t="n"/>
      <c r="B620" s="29" t="n"/>
      <c r="C620" s="29" t="n"/>
      <c r="D620" s="29" t="n"/>
      <c r="E620" s="29" t="n"/>
      <c r="F620" s="29" t="n"/>
      <c r="G620" s="29" t="n"/>
      <c r="H620" s="67">
        <f>IF(base!F620&lt;&gt;"",VLOOKUP(F620,de_para!$A$1:$B$31,2,0)*base!G620,0)</f>
        <v/>
      </c>
      <c r="I620" s="38" t="n"/>
      <c r="J620" s="29" t="n"/>
      <c r="K620" s="67">
        <f>IF(base!I620&lt;&gt;"",VLOOKUP(I620,de_para!$A$1:$B$31,2,0)*base!J620,0)</f>
        <v/>
      </c>
      <c r="L620" s="38" t="n"/>
      <c r="M620" s="29" t="n"/>
      <c r="N620" s="67">
        <f>IF(base!L620&lt;&gt;"",VLOOKUP(L620,de_para!$A$1:$B$31,2,0)*base!M620,0)</f>
        <v/>
      </c>
      <c r="O620" s="38" t="n"/>
      <c r="P620" s="29" t="n"/>
      <c r="Q620" s="67">
        <f>IF(base!O620&lt;&gt;"",VLOOKUP(O620,de_para!$A$1:$B$31,2,0)*base!P620,0)</f>
        <v/>
      </c>
      <c r="R620" s="38" t="n"/>
      <c r="S620" s="29" t="n"/>
      <c r="T620" s="67">
        <f>IF(base!R620&lt;&gt;"",VLOOKUP(R620,de_para!$A$1:$B$31,2,0)*base!S620,0)</f>
        <v/>
      </c>
      <c r="U620" s="68">
        <f>H620+K620+N620+Q620+T620</f>
        <v/>
      </c>
    </row>
    <row r="621">
      <c r="A621" s="29" t="n"/>
      <c r="B621" s="29" t="n"/>
      <c r="C621" s="29" t="n"/>
      <c r="D621" s="29" t="n"/>
      <c r="E621" s="29" t="n"/>
      <c r="F621" s="29" t="n"/>
      <c r="G621" s="29" t="n"/>
      <c r="H621" s="67">
        <f>IF(base!F621&lt;&gt;"",VLOOKUP(F621,de_para!$A$1:$B$31,2,0)*base!G621,0)</f>
        <v/>
      </c>
      <c r="I621" s="38" t="n"/>
      <c r="J621" s="29" t="n"/>
      <c r="K621" s="67">
        <f>IF(base!I621&lt;&gt;"",VLOOKUP(I621,de_para!$A$1:$B$31,2,0)*base!J621,0)</f>
        <v/>
      </c>
      <c r="L621" s="38" t="n"/>
      <c r="M621" s="29" t="n"/>
      <c r="N621" s="67">
        <f>IF(base!L621&lt;&gt;"",VLOOKUP(L621,de_para!$A$1:$B$31,2,0)*base!M621,0)</f>
        <v/>
      </c>
      <c r="O621" s="38" t="n"/>
      <c r="P621" s="29" t="n"/>
      <c r="Q621" s="67">
        <f>IF(base!O621&lt;&gt;"",VLOOKUP(O621,de_para!$A$1:$B$31,2,0)*base!P621,0)</f>
        <v/>
      </c>
      <c r="R621" s="38" t="n"/>
      <c r="S621" s="29" t="n"/>
      <c r="T621" s="67">
        <f>IF(base!R621&lt;&gt;"",VLOOKUP(R621,de_para!$A$1:$B$31,2,0)*base!S621,0)</f>
        <v/>
      </c>
      <c r="U621" s="68">
        <f>H621+K621+N621+Q621+T621</f>
        <v/>
      </c>
    </row>
    <row r="622">
      <c r="A622" s="29" t="n"/>
      <c r="B622" s="29" t="n"/>
      <c r="C622" s="29" t="n"/>
      <c r="D622" s="29" t="n"/>
      <c r="E622" s="29" t="n"/>
      <c r="F622" s="29" t="n"/>
      <c r="G622" s="29" t="n"/>
      <c r="H622" s="67">
        <f>IF(base!F622&lt;&gt;"",VLOOKUP(F622,de_para!$A$1:$B$31,2,0)*base!G622,0)</f>
        <v/>
      </c>
      <c r="I622" s="38" t="n"/>
      <c r="J622" s="29" t="n"/>
      <c r="K622" s="67">
        <f>IF(base!I622&lt;&gt;"",VLOOKUP(I622,de_para!$A$1:$B$31,2,0)*base!J622,0)</f>
        <v/>
      </c>
      <c r="L622" s="38" t="n"/>
      <c r="M622" s="29" t="n"/>
      <c r="N622" s="67">
        <f>IF(base!L622&lt;&gt;"",VLOOKUP(L622,de_para!$A$1:$B$31,2,0)*base!M622,0)</f>
        <v/>
      </c>
      <c r="O622" s="38" t="n"/>
      <c r="P622" s="29" t="n"/>
      <c r="Q622" s="67">
        <f>IF(base!O622&lt;&gt;"",VLOOKUP(O622,de_para!$A$1:$B$31,2,0)*base!P622,0)</f>
        <v/>
      </c>
      <c r="R622" s="38" t="n"/>
      <c r="S622" s="29" t="n"/>
      <c r="T622" s="67">
        <f>IF(base!R622&lt;&gt;"",VLOOKUP(R622,de_para!$A$1:$B$31,2,0)*base!S622,0)</f>
        <v/>
      </c>
      <c r="U622" s="68">
        <f>H622+K622+N622+Q622+T622</f>
        <v/>
      </c>
    </row>
    <row r="623">
      <c r="A623" s="29" t="n"/>
      <c r="B623" s="29" t="n"/>
      <c r="C623" s="29" t="n"/>
      <c r="D623" s="29" t="n"/>
      <c r="E623" s="29" t="n"/>
      <c r="F623" s="29" t="n"/>
      <c r="G623" s="29" t="n"/>
      <c r="H623" s="67">
        <f>IF(base!F623&lt;&gt;"",VLOOKUP(F623,de_para!$A$1:$B$31,2,0)*base!G623,0)</f>
        <v/>
      </c>
      <c r="I623" s="38" t="n"/>
      <c r="J623" s="29" t="n"/>
      <c r="K623" s="67">
        <f>IF(base!I623&lt;&gt;"",VLOOKUP(I623,de_para!$A$1:$B$31,2,0)*base!J623,0)</f>
        <v/>
      </c>
      <c r="L623" s="38" t="n"/>
      <c r="M623" s="29" t="n"/>
      <c r="N623" s="67">
        <f>IF(base!L623&lt;&gt;"",VLOOKUP(L623,de_para!$A$1:$B$31,2,0)*base!M623,0)</f>
        <v/>
      </c>
      <c r="O623" s="38" t="n"/>
      <c r="P623" s="29" t="n"/>
      <c r="Q623" s="67">
        <f>IF(base!O623&lt;&gt;"",VLOOKUP(O623,de_para!$A$1:$B$31,2,0)*base!P623,0)</f>
        <v/>
      </c>
      <c r="R623" s="38" t="n"/>
      <c r="S623" s="29" t="n"/>
      <c r="T623" s="67">
        <f>IF(base!R623&lt;&gt;"",VLOOKUP(R623,de_para!$A$1:$B$31,2,0)*base!S623,0)</f>
        <v/>
      </c>
      <c r="U623" s="68">
        <f>H623+K623+N623+Q623+T623</f>
        <v/>
      </c>
    </row>
    <row r="624">
      <c r="A624" s="29" t="n"/>
      <c r="B624" s="29" t="n"/>
      <c r="C624" s="29" t="n"/>
      <c r="D624" s="29" t="n"/>
      <c r="E624" s="29" t="n"/>
      <c r="F624" s="29" t="n"/>
      <c r="G624" s="29" t="n"/>
      <c r="H624" s="67">
        <f>IF(base!F624&lt;&gt;"",VLOOKUP(F624,de_para!$A$1:$B$31,2,0)*base!G624,0)</f>
        <v/>
      </c>
      <c r="I624" s="38" t="n"/>
      <c r="J624" s="29" t="n"/>
      <c r="K624" s="67">
        <f>IF(base!I624&lt;&gt;"",VLOOKUP(I624,de_para!$A$1:$B$31,2,0)*base!J624,0)</f>
        <v/>
      </c>
      <c r="L624" s="38" t="n"/>
      <c r="M624" s="29" t="n"/>
      <c r="N624" s="67">
        <f>IF(base!L624&lt;&gt;"",VLOOKUP(L624,de_para!$A$1:$B$31,2,0)*base!M624,0)</f>
        <v/>
      </c>
      <c r="O624" s="38" t="n"/>
      <c r="P624" s="29" t="n"/>
      <c r="Q624" s="67">
        <f>IF(base!O624&lt;&gt;"",VLOOKUP(O624,de_para!$A$1:$B$31,2,0)*base!P624,0)</f>
        <v/>
      </c>
      <c r="R624" s="38" t="n"/>
      <c r="S624" s="29" t="n"/>
      <c r="T624" s="67">
        <f>IF(base!R624&lt;&gt;"",VLOOKUP(R624,de_para!$A$1:$B$31,2,0)*base!S624,0)</f>
        <v/>
      </c>
      <c r="U624" s="68">
        <f>H624+K624+N624+Q624+T624</f>
        <v/>
      </c>
    </row>
    <row r="625">
      <c r="A625" s="29" t="n"/>
      <c r="B625" s="29" t="n"/>
      <c r="C625" s="29" t="n"/>
      <c r="D625" s="29" t="n"/>
      <c r="E625" s="29" t="n"/>
      <c r="F625" s="29" t="n"/>
      <c r="G625" s="29" t="n"/>
      <c r="H625" s="67">
        <f>IF(base!F625&lt;&gt;"",VLOOKUP(F625,de_para!$A$1:$B$31,2,0)*base!G625,0)</f>
        <v/>
      </c>
      <c r="I625" s="38" t="n"/>
      <c r="J625" s="29" t="n"/>
      <c r="K625" s="67">
        <f>IF(base!I625&lt;&gt;"",VLOOKUP(I625,de_para!$A$1:$B$31,2,0)*base!J625,0)</f>
        <v/>
      </c>
      <c r="L625" s="38" t="n"/>
      <c r="M625" s="29" t="n"/>
      <c r="N625" s="67">
        <f>IF(base!L625&lt;&gt;"",VLOOKUP(L625,de_para!$A$1:$B$31,2,0)*base!M625,0)</f>
        <v/>
      </c>
      <c r="O625" s="38" t="n"/>
      <c r="P625" s="29" t="n"/>
      <c r="Q625" s="67">
        <f>IF(base!O625&lt;&gt;"",VLOOKUP(O625,de_para!$A$1:$B$31,2,0)*base!P625,0)</f>
        <v/>
      </c>
      <c r="R625" s="38" t="n"/>
      <c r="S625" s="29" t="n"/>
      <c r="T625" s="67">
        <f>IF(base!R625&lt;&gt;"",VLOOKUP(R625,de_para!$A$1:$B$31,2,0)*base!S625,0)</f>
        <v/>
      </c>
      <c r="U625" s="68">
        <f>H625+K625+N625+Q625+T625</f>
        <v/>
      </c>
    </row>
    <row r="626">
      <c r="A626" s="29" t="n"/>
      <c r="B626" s="29" t="n"/>
      <c r="C626" s="29" t="n"/>
      <c r="D626" s="29" t="n"/>
      <c r="E626" s="29" t="n"/>
      <c r="F626" s="29" t="n"/>
      <c r="G626" s="29" t="n"/>
      <c r="H626" s="67">
        <f>IF(base!F626&lt;&gt;"",VLOOKUP(F626,de_para!$A$1:$B$31,2,0)*base!G626,0)</f>
        <v/>
      </c>
      <c r="I626" s="38" t="n"/>
      <c r="J626" s="29" t="n"/>
      <c r="K626" s="67">
        <f>IF(base!I626&lt;&gt;"",VLOOKUP(I626,de_para!$A$1:$B$31,2,0)*base!J626,0)</f>
        <v/>
      </c>
      <c r="L626" s="38" t="n"/>
      <c r="M626" s="29" t="n"/>
      <c r="N626" s="67">
        <f>IF(base!L626&lt;&gt;"",VLOOKUP(L626,de_para!$A$1:$B$31,2,0)*base!M626,0)</f>
        <v/>
      </c>
      <c r="O626" s="38" t="n"/>
      <c r="P626" s="29" t="n"/>
      <c r="Q626" s="67">
        <f>IF(base!O626&lt;&gt;"",VLOOKUP(O626,de_para!$A$1:$B$31,2,0)*base!P626,0)</f>
        <v/>
      </c>
      <c r="R626" s="38" t="n"/>
      <c r="S626" s="29" t="n"/>
      <c r="T626" s="67">
        <f>IF(base!R626&lt;&gt;"",VLOOKUP(R626,de_para!$A$1:$B$31,2,0)*base!S626,0)</f>
        <v/>
      </c>
      <c r="U626" s="68">
        <f>H626+K626+N626+Q626+T626</f>
        <v/>
      </c>
    </row>
    <row r="627">
      <c r="A627" s="29" t="n"/>
      <c r="B627" s="29" t="n"/>
      <c r="C627" s="29" t="n"/>
      <c r="D627" s="29" t="n"/>
      <c r="E627" s="29" t="n"/>
      <c r="F627" s="29" t="n"/>
      <c r="G627" s="29" t="n"/>
      <c r="H627" s="67">
        <f>IF(base!F627&lt;&gt;"",VLOOKUP(F627,de_para!$A$1:$B$31,2,0)*base!G627,0)</f>
        <v/>
      </c>
      <c r="I627" s="38" t="n"/>
      <c r="J627" s="29" t="n"/>
      <c r="K627" s="67">
        <f>IF(base!I627&lt;&gt;"",VLOOKUP(I627,de_para!$A$1:$B$31,2,0)*base!J627,0)</f>
        <v/>
      </c>
      <c r="L627" s="38" t="n"/>
      <c r="M627" s="29" t="n"/>
      <c r="N627" s="67">
        <f>IF(base!L627&lt;&gt;"",VLOOKUP(L627,de_para!$A$1:$B$31,2,0)*base!M627,0)</f>
        <v/>
      </c>
      <c r="O627" s="38" t="n"/>
      <c r="P627" s="29" t="n"/>
      <c r="Q627" s="67">
        <f>IF(base!O627&lt;&gt;"",VLOOKUP(O627,de_para!$A$1:$B$31,2,0)*base!P627,0)</f>
        <v/>
      </c>
      <c r="R627" s="38" t="n"/>
      <c r="S627" s="29" t="n"/>
      <c r="T627" s="67">
        <f>IF(base!R627&lt;&gt;"",VLOOKUP(R627,de_para!$A$1:$B$31,2,0)*base!S627,0)</f>
        <v/>
      </c>
      <c r="U627" s="68">
        <f>H627+K627+N627+Q627+T627</f>
        <v/>
      </c>
    </row>
    <row r="628">
      <c r="A628" s="29" t="n"/>
      <c r="B628" s="29" t="n"/>
      <c r="C628" s="29" t="n"/>
      <c r="D628" s="29" t="n"/>
      <c r="E628" s="29" t="n"/>
      <c r="F628" s="29" t="n"/>
      <c r="G628" s="29" t="n"/>
      <c r="H628" s="67">
        <f>IF(base!F628&lt;&gt;"",VLOOKUP(F628,de_para!$A$1:$B$31,2,0)*base!G628,0)</f>
        <v/>
      </c>
      <c r="I628" s="38" t="n"/>
      <c r="J628" s="29" t="n"/>
      <c r="K628" s="67">
        <f>IF(base!I628&lt;&gt;"",VLOOKUP(I628,de_para!$A$1:$B$31,2,0)*base!J628,0)</f>
        <v/>
      </c>
      <c r="L628" s="38" t="n"/>
      <c r="M628" s="29" t="n"/>
      <c r="N628" s="67">
        <f>IF(base!L628&lt;&gt;"",VLOOKUP(L628,de_para!$A$1:$B$31,2,0)*base!M628,0)</f>
        <v/>
      </c>
      <c r="O628" s="38" t="n"/>
      <c r="P628" s="29" t="n"/>
      <c r="Q628" s="67">
        <f>IF(base!O628&lt;&gt;"",VLOOKUP(O628,de_para!$A$1:$B$31,2,0)*base!P628,0)</f>
        <v/>
      </c>
      <c r="R628" s="38" t="n"/>
      <c r="S628" s="29" t="n"/>
      <c r="T628" s="67">
        <f>IF(base!R628&lt;&gt;"",VLOOKUP(R628,de_para!$A$1:$B$31,2,0)*base!S628,0)</f>
        <v/>
      </c>
      <c r="U628" s="68">
        <f>H628+K628+N628+Q628+T628</f>
        <v/>
      </c>
    </row>
    <row r="629">
      <c r="A629" s="29" t="n"/>
      <c r="B629" s="29" t="n"/>
      <c r="C629" s="29" t="n"/>
      <c r="D629" s="29" t="n"/>
      <c r="E629" s="29" t="n"/>
      <c r="F629" s="29" t="n"/>
      <c r="G629" s="29" t="n"/>
      <c r="H629" s="67">
        <f>IF(base!F629&lt;&gt;"",VLOOKUP(F629,de_para!$A$1:$B$31,2,0)*base!G629,0)</f>
        <v/>
      </c>
      <c r="I629" s="38" t="n"/>
      <c r="J629" s="29" t="n"/>
      <c r="K629" s="67">
        <f>IF(base!I629&lt;&gt;"",VLOOKUP(I629,de_para!$A$1:$B$31,2,0)*base!J629,0)</f>
        <v/>
      </c>
      <c r="L629" s="38" t="n"/>
      <c r="M629" s="29" t="n"/>
      <c r="N629" s="67">
        <f>IF(base!L629&lt;&gt;"",VLOOKUP(L629,de_para!$A$1:$B$31,2,0)*base!M629,0)</f>
        <v/>
      </c>
      <c r="O629" s="38" t="n"/>
      <c r="P629" s="29" t="n"/>
      <c r="Q629" s="67">
        <f>IF(base!O629&lt;&gt;"",VLOOKUP(O629,de_para!$A$1:$B$31,2,0)*base!P629,0)</f>
        <v/>
      </c>
      <c r="R629" s="38" t="n"/>
      <c r="S629" s="29" t="n"/>
      <c r="T629" s="67">
        <f>IF(base!R629&lt;&gt;"",VLOOKUP(R629,de_para!$A$1:$B$31,2,0)*base!S629,0)</f>
        <v/>
      </c>
      <c r="U629" s="68">
        <f>H629+K629+N629+Q629+T629</f>
        <v/>
      </c>
    </row>
    <row r="630">
      <c r="A630" s="29" t="n"/>
      <c r="B630" s="29" t="n"/>
      <c r="C630" s="29" t="n"/>
      <c r="D630" s="29" t="n"/>
      <c r="E630" s="29" t="n"/>
      <c r="F630" s="29" t="n"/>
      <c r="G630" s="29" t="n"/>
      <c r="H630" s="67">
        <f>IF(base!F630&lt;&gt;"",VLOOKUP(F630,de_para!$A$1:$B$31,2,0)*base!G630,0)</f>
        <v/>
      </c>
      <c r="I630" s="38" t="n"/>
      <c r="J630" s="29" t="n"/>
      <c r="K630" s="67">
        <f>IF(base!I630&lt;&gt;"",VLOOKUP(I630,de_para!$A$1:$B$31,2,0)*base!J630,0)</f>
        <v/>
      </c>
      <c r="L630" s="38" t="n"/>
      <c r="M630" s="29" t="n"/>
      <c r="N630" s="67">
        <f>IF(base!L630&lt;&gt;"",VLOOKUP(L630,de_para!$A$1:$B$31,2,0)*base!M630,0)</f>
        <v/>
      </c>
      <c r="O630" s="38" t="n"/>
      <c r="P630" s="29" t="n"/>
      <c r="Q630" s="67">
        <f>IF(base!O630&lt;&gt;"",VLOOKUP(O630,de_para!$A$1:$B$31,2,0)*base!P630,0)</f>
        <v/>
      </c>
      <c r="R630" s="38" t="n"/>
      <c r="S630" s="29" t="n"/>
      <c r="T630" s="67">
        <f>IF(base!R630&lt;&gt;"",VLOOKUP(R630,de_para!$A$1:$B$31,2,0)*base!S630,0)</f>
        <v/>
      </c>
      <c r="U630" s="68">
        <f>H630+K630+N630+Q630+T630</f>
        <v/>
      </c>
    </row>
    <row r="631">
      <c r="A631" s="29" t="n"/>
      <c r="B631" s="29" t="n"/>
      <c r="C631" s="29" t="n"/>
      <c r="D631" s="29" t="n"/>
      <c r="E631" s="29" t="n"/>
      <c r="F631" s="29" t="n"/>
      <c r="G631" s="29" t="n"/>
      <c r="H631" s="67">
        <f>IF(base!F631&lt;&gt;"",VLOOKUP(F631,de_para!$A$1:$B$31,2,0)*base!G631,0)</f>
        <v/>
      </c>
      <c r="I631" s="38" t="n"/>
      <c r="J631" s="29" t="n"/>
      <c r="K631" s="67">
        <f>IF(base!I631&lt;&gt;"",VLOOKUP(I631,de_para!$A$1:$B$31,2,0)*base!J631,0)</f>
        <v/>
      </c>
      <c r="L631" s="38" t="n"/>
      <c r="M631" s="29" t="n"/>
      <c r="N631" s="67">
        <f>IF(base!L631&lt;&gt;"",VLOOKUP(L631,de_para!$A$1:$B$31,2,0)*base!M631,0)</f>
        <v/>
      </c>
      <c r="O631" s="38" t="n"/>
      <c r="P631" s="29" t="n"/>
      <c r="Q631" s="67">
        <f>IF(base!O631&lt;&gt;"",VLOOKUP(O631,de_para!$A$1:$B$31,2,0)*base!P631,0)</f>
        <v/>
      </c>
      <c r="R631" s="38" t="n"/>
      <c r="S631" s="29" t="n"/>
      <c r="T631" s="67">
        <f>IF(base!R631&lt;&gt;"",VLOOKUP(R631,de_para!$A$1:$B$31,2,0)*base!S631,0)</f>
        <v/>
      </c>
      <c r="U631" s="68">
        <f>H631+K631+N631+Q631+T631</f>
        <v/>
      </c>
    </row>
    <row r="632">
      <c r="A632" s="29" t="n"/>
      <c r="B632" s="29" t="n"/>
      <c r="C632" s="29" t="n"/>
      <c r="D632" s="29" t="n"/>
      <c r="E632" s="29" t="n"/>
      <c r="F632" s="29" t="n"/>
      <c r="G632" s="29" t="n"/>
      <c r="H632" s="67">
        <f>IF(base!F632&lt;&gt;"",VLOOKUP(F632,de_para!$A$1:$B$31,2,0)*base!G632,0)</f>
        <v/>
      </c>
      <c r="I632" s="38" t="n"/>
      <c r="J632" s="29" t="n"/>
      <c r="K632" s="67">
        <f>IF(base!I632&lt;&gt;"",VLOOKUP(I632,de_para!$A$1:$B$31,2,0)*base!J632,0)</f>
        <v/>
      </c>
      <c r="L632" s="38" t="n"/>
      <c r="M632" s="29" t="n"/>
      <c r="N632" s="67">
        <f>IF(base!L632&lt;&gt;"",VLOOKUP(L632,de_para!$A$1:$B$31,2,0)*base!M632,0)</f>
        <v/>
      </c>
      <c r="O632" s="38" t="n"/>
      <c r="P632" s="29" t="n"/>
      <c r="Q632" s="67">
        <f>IF(base!O632&lt;&gt;"",VLOOKUP(O632,de_para!$A$1:$B$31,2,0)*base!P632,0)</f>
        <v/>
      </c>
      <c r="R632" s="38" t="n"/>
      <c r="S632" s="29" t="n"/>
      <c r="T632" s="67">
        <f>IF(base!R632&lt;&gt;"",VLOOKUP(R632,de_para!$A$1:$B$31,2,0)*base!S632,0)</f>
        <v/>
      </c>
      <c r="U632" s="68">
        <f>H632+K632+N632+Q632+T632</f>
        <v/>
      </c>
    </row>
    <row r="633">
      <c r="A633" s="29" t="n"/>
      <c r="B633" s="29" t="n"/>
      <c r="C633" s="29" t="n"/>
      <c r="D633" s="29" t="n"/>
      <c r="E633" s="29" t="n"/>
      <c r="F633" s="29" t="n"/>
      <c r="G633" s="29" t="n"/>
      <c r="H633" s="67">
        <f>IF(base!F633&lt;&gt;"",VLOOKUP(F633,de_para!$A$1:$B$31,2,0)*base!G633,0)</f>
        <v/>
      </c>
      <c r="I633" s="38" t="n"/>
      <c r="J633" s="29" t="n"/>
      <c r="K633" s="67">
        <f>IF(base!I633&lt;&gt;"",VLOOKUP(I633,de_para!$A$1:$B$31,2,0)*base!J633,0)</f>
        <v/>
      </c>
      <c r="L633" s="38" t="n"/>
      <c r="M633" s="29" t="n"/>
      <c r="N633" s="67">
        <f>IF(base!L633&lt;&gt;"",VLOOKUP(L633,de_para!$A$1:$B$31,2,0)*base!M633,0)</f>
        <v/>
      </c>
      <c r="O633" s="38" t="n"/>
      <c r="P633" s="29" t="n"/>
      <c r="Q633" s="67">
        <f>IF(base!O633&lt;&gt;"",VLOOKUP(O633,de_para!$A$1:$B$31,2,0)*base!P633,0)</f>
        <v/>
      </c>
      <c r="R633" s="38" t="n"/>
      <c r="S633" s="29" t="n"/>
      <c r="T633" s="67">
        <f>IF(base!R633&lt;&gt;"",VLOOKUP(R633,de_para!$A$1:$B$31,2,0)*base!S633,0)</f>
        <v/>
      </c>
      <c r="U633" s="68">
        <f>H633+K633+N633+Q633+T633</f>
        <v/>
      </c>
    </row>
    <row r="634">
      <c r="A634" s="29" t="n"/>
      <c r="B634" s="29" t="n"/>
      <c r="C634" s="29" t="n"/>
      <c r="D634" s="29" t="n"/>
      <c r="E634" s="29" t="n"/>
      <c r="F634" s="29" t="n"/>
      <c r="G634" s="29" t="n"/>
      <c r="H634" s="67">
        <f>IF(base!F634&lt;&gt;"",VLOOKUP(F634,de_para!$A$1:$B$31,2,0)*base!G634,0)</f>
        <v/>
      </c>
      <c r="I634" s="38" t="n"/>
      <c r="J634" s="29" t="n"/>
      <c r="K634" s="67">
        <f>IF(base!I634&lt;&gt;"",VLOOKUP(I634,de_para!$A$1:$B$31,2,0)*base!J634,0)</f>
        <v/>
      </c>
      <c r="L634" s="38" t="n"/>
      <c r="M634" s="29" t="n"/>
      <c r="N634" s="67">
        <f>IF(base!L634&lt;&gt;"",VLOOKUP(L634,de_para!$A$1:$B$31,2,0)*base!M634,0)</f>
        <v/>
      </c>
      <c r="O634" s="38" t="n"/>
      <c r="P634" s="29" t="n"/>
      <c r="Q634" s="67">
        <f>IF(base!O634&lt;&gt;"",VLOOKUP(O634,de_para!$A$1:$B$31,2,0)*base!P634,0)</f>
        <v/>
      </c>
      <c r="R634" s="38" t="n"/>
      <c r="S634" s="29" t="n"/>
      <c r="T634" s="67">
        <f>IF(base!R634&lt;&gt;"",VLOOKUP(R634,de_para!$A$1:$B$31,2,0)*base!S634,0)</f>
        <v/>
      </c>
      <c r="U634" s="68">
        <f>H634+K634+N634+Q634+T634</f>
        <v/>
      </c>
    </row>
    <row r="635">
      <c r="A635" s="29" t="n"/>
      <c r="B635" s="29" t="n"/>
      <c r="C635" s="29" t="n"/>
      <c r="D635" s="29" t="n"/>
      <c r="E635" s="29" t="n"/>
      <c r="F635" s="29" t="n"/>
      <c r="G635" s="29" t="n"/>
      <c r="H635" s="67">
        <f>IF(base!F635&lt;&gt;"",VLOOKUP(F635,de_para!$A$1:$B$31,2,0)*base!G635,0)</f>
        <v/>
      </c>
      <c r="I635" s="38" t="n"/>
      <c r="J635" s="29" t="n"/>
      <c r="K635" s="67">
        <f>IF(base!I635&lt;&gt;"",VLOOKUP(I635,de_para!$A$1:$B$31,2,0)*base!J635,0)</f>
        <v/>
      </c>
      <c r="L635" s="38" t="n"/>
      <c r="M635" s="29" t="n"/>
      <c r="N635" s="67">
        <f>IF(base!L635&lt;&gt;"",VLOOKUP(L635,de_para!$A$1:$B$31,2,0)*base!M635,0)</f>
        <v/>
      </c>
      <c r="O635" s="38" t="n"/>
      <c r="P635" s="29" t="n"/>
      <c r="Q635" s="67">
        <f>IF(base!O635&lt;&gt;"",VLOOKUP(O635,de_para!$A$1:$B$31,2,0)*base!P635,0)</f>
        <v/>
      </c>
      <c r="R635" s="38" t="n"/>
      <c r="S635" s="29" t="n"/>
      <c r="T635" s="67">
        <f>IF(base!R635&lt;&gt;"",VLOOKUP(R635,de_para!$A$1:$B$31,2,0)*base!S635,0)</f>
        <v/>
      </c>
      <c r="U635" s="68">
        <f>H635+K635+N635+Q635+T635</f>
        <v/>
      </c>
    </row>
    <row r="636">
      <c r="A636" s="29" t="n"/>
      <c r="B636" s="29" t="n"/>
      <c r="C636" s="29" t="n"/>
      <c r="D636" s="29" t="n"/>
      <c r="E636" s="29" t="n"/>
      <c r="F636" s="29" t="n"/>
      <c r="G636" s="29" t="n"/>
      <c r="H636" s="67">
        <f>IF(base!F636&lt;&gt;"",VLOOKUP(F636,de_para!$A$1:$B$31,2,0)*base!G636,0)</f>
        <v/>
      </c>
      <c r="I636" s="38" t="n"/>
      <c r="J636" s="29" t="n"/>
      <c r="K636" s="67">
        <f>IF(base!I636&lt;&gt;"",VLOOKUP(I636,de_para!$A$1:$B$31,2,0)*base!J636,0)</f>
        <v/>
      </c>
      <c r="L636" s="38" t="n"/>
      <c r="M636" s="29" t="n"/>
      <c r="N636" s="67">
        <f>IF(base!L636&lt;&gt;"",VLOOKUP(L636,de_para!$A$1:$B$31,2,0)*base!M636,0)</f>
        <v/>
      </c>
      <c r="O636" s="38" t="n"/>
      <c r="P636" s="29" t="n"/>
      <c r="Q636" s="67">
        <f>IF(base!O636&lt;&gt;"",VLOOKUP(O636,de_para!$A$1:$B$31,2,0)*base!P636,0)</f>
        <v/>
      </c>
      <c r="R636" s="38" t="n"/>
      <c r="S636" s="29" t="n"/>
      <c r="T636" s="67">
        <f>IF(base!R636&lt;&gt;"",VLOOKUP(R636,de_para!$A$1:$B$31,2,0)*base!S636,0)</f>
        <v/>
      </c>
      <c r="U636" s="68">
        <f>H636+K636+N636+Q636+T636</f>
        <v/>
      </c>
    </row>
    <row r="637">
      <c r="A637" s="29" t="n"/>
      <c r="B637" s="29" t="n"/>
      <c r="C637" s="29" t="n"/>
      <c r="D637" s="29" t="n"/>
      <c r="E637" s="29" t="n"/>
      <c r="F637" s="29" t="n"/>
      <c r="G637" s="29" t="n"/>
      <c r="H637" s="67">
        <f>IF(base!F637&lt;&gt;"",VLOOKUP(F637,de_para!$A$1:$B$31,2,0)*base!G637,0)</f>
        <v/>
      </c>
      <c r="I637" s="38" t="n"/>
      <c r="J637" s="29" t="n"/>
      <c r="K637" s="67">
        <f>IF(base!I637&lt;&gt;"",VLOOKUP(I637,de_para!$A$1:$B$31,2,0)*base!J637,0)</f>
        <v/>
      </c>
      <c r="L637" s="38" t="n"/>
      <c r="M637" s="29" t="n"/>
      <c r="N637" s="67">
        <f>IF(base!L637&lt;&gt;"",VLOOKUP(L637,de_para!$A$1:$B$31,2,0)*base!M637,0)</f>
        <v/>
      </c>
      <c r="O637" s="38" t="n"/>
      <c r="P637" s="29" t="n"/>
      <c r="Q637" s="67">
        <f>IF(base!O637&lt;&gt;"",VLOOKUP(O637,de_para!$A$1:$B$31,2,0)*base!P637,0)</f>
        <v/>
      </c>
      <c r="R637" s="38" t="n"/>
      <c r="S637" s="29" t="n"/>
      <c r="T637" s="67">
        <f>IF(base!R637&lt;&gt;"",VLOOKUP(R637,de_para!$A$1:$B$31,2,0)*base!S637,0)</f>
        <v/>
      </c>
      <c r="U637" s="68">
        <f>H637+K637+N637+Q637+T637</f>
        <v/>
      </c>
    </row>
    <row r="638">
      <c r="A638" s="29" t="n"/>
      <c r="B638" s="29" t="n"/>
      <c r="C638" s="29" t="n"/>
      <c r="D638" s="29" t="n"/>
      <c r="E638" s="29" t="n"/>
      <c r="F638" s="29" t="n"/>
      <c r="G638" s="29" t="n"/>
      <c r="H638" s="67">
        <f>IF(base!F638&lt;&gt;"",VLOOKUP(F638,de_para!$A$1:$B$31,2,0)*base!G638,0)</f>
        <v/>
      </c>
      <c r="I638" s="38" t="n"/>
      <c r="J638" s="29" t="n"/>
      <c r="K638" s="67">
        <f>IF(base!I638&lt;&gt;"",VLOOKUP(I638,de_para!$A$1:$B$31,2,0)*base!J638,0)</f>
        <v/>
      </c>
      <c r="L638" s="38" t="n"/>
      <c r="M638" s="29" t="n"/>
      <c r="N638" s="67">
        <f>IF(base!L638&lt;&gt;"",VLOOKUP(L638,de_para!$A$1:$B$31,2,0)*base!M638,0)</f>
        <v/>
      </c>
      <c r="O638" s="38" t="n"/>
      <c r="P638" s="29" t="n"/>
      <c r="Q638" s="67">
        <f>IF(base!O638&lt;&gt;"",VLOOKUP(O638,de_para!$A$1:$B$31,2,0)*base!P638,0)</f>
        <v/>
      </c>
      <c r="R638" s="38" t="n"/>
      <c r="S638" s="29" t="n"/>
      <c r="T638" s="67">
        <f>IF(base!R638&lt;&gt;"",VLOOKUP(R638,de_para!$A$1:$B$31,2,0)*base!S638,0)</f>
        <v/>
      </c>
      <c r="U638" s="68">
        <f>H638+K638+N638+Q638+T638</f>
        <v/>
      </c>
    </row>
    <row r="639">
      <c r="A639" s="29" t="n"/>
      <c r="B639" s="29" t="n"/>
      <c r="C639" s="29" t="n"/>
      <c r="D639" s="29" t="n"/>
      <c r="E639" s="29" t="n"/>
      <c r="F639" s="29" t="n"/>
      <c r="G639" s="29" t="n"/>
      <c r="H639" s="67">
        <f>IF(base!F639&lt;&gt;"",VLOOKUP(F639,de_para!$A$1:$B$31,2,0)*base!G639,0)</f>
        <v/>
      </c>
      <c r="I639" s="38" t="n"/>
      <c r="J639" s="29" t="n"/>
      <c r="K639" s="67">
        <f>IF(base!I639&lt;&gt;"",VLOOKUP(I639,de_para!$A$1:$B$31,2,0)*base!J639,0)</f>
        <v/>
      </c>
      <c r="L639" s="38" t="n"/>
      <c r="M639" s="29" t="n"/>
      <c r="N639" s="67">
        <f>IF(base!L639&lt;&gt;"",VLOOKUP(L639,de_para!$A$1:$B$31,2,0)*base!M639,0)</f>
        <v/>
      </c>
      <c r="O639" s="38" t="n"/>
      <c r="P639" s="29" t="n"/>
      <c r="Q639" s="67">
        <f>IF(base!O639&lt;&gt;"",VLOOKUP(O639,de_para!$A$1:$B$31,2,0)*base!P639,0)</f>
        <v/>
      </c>
      <c r="R639" s="38" t="n"/>
      <c r="S639" s="29" t="n"/>
      <c r="T639" s="67">
        <f>IF(base!R639&lt;&gt;"",VLOOKUP(R639,de_para!$A$1:$B$31,2,0)*base!S639,0)</f>
        <v/>
      </c>
      <c r="U639" s="68">
        <f>H639+K639+N639+Q639+T639</f>
        <v/>
      </c>
    </row>
    <row r="640">
      <c r="A640" s="29" t="n"/>
      <c r="B640" s="29" t="n"/>
      <c r="C640" s="29" t="n"/>
      <c r="D640" s="29" t="n"/>
      <c r="E640" s="29" t="n"/>
      <c r="F640" s="29" t="n"/>
      <c r="G640" s="29" t="n"/>
      <c r="H640" s="67">
        <f>IF(base!F640&lt;&gt;"",VLOOKUP(F640,de_para!$A$1:$B$31,2,0)*base!G640,0)</f>
        <v/>
      </c>
      <c r="I640" s="38" t="n"/>
      <c r="J640" s="29" t="n"/>
      <c r="K640" s="67">
        <f>IF(base!I640&lt;&gt;"",VLOOKUP(I640,de_para!$A$1:$B$31,2,0)*base!J640,0)</f>
        <v/>
      </c>
      <c r="L640" s="38" t="n"/>
      <c r="M640" s="29" t="n"/>
      <c r="N640" s="67">
        <f>IF(base!L640&lt;&gt;"",VLOOKUP(L640,de_para!$A$1:$B$31,2,0)*base!M640,0)</f>
        <v/>
      </c>
      <c r="O640" s="38" t="n"/>
      <c r="P640" s="29" t="n"/>
      <c r="Q640" s="67">
        <f>IF(base!O640&lt;&gt;"",VLOOKUP(O640,de_para!$A$1:$B$31,2,0)*base!P640,0)</f>
        <v/>
      </c>
      <c r="R640" s="38" t="n"/>
      <c r="S640" s="29" t="n"/>
      <c r="T640" s="67">
        <f>IF(base!R640&lt;&gt;"",VLOOKUP(R640,de_para!$A$1:$B$31,2,0)*base!S640,0)</f>
        <v/>
      </c>
      <c r="U640" s="68">
        <f>H640+K640+N640+Q640+T640</f>
        <v/>
      </c>
    </row>
    <row r="641">
      <c r="A641" s="29" t="n"/>
      <c r="B641" s="29" t="n"/>
      <c r="C641" s="29" t="n"/>
      <c r="D641" s="29" t="n"/>
      <c r="E641" s="29" t="n"/>
      <c r="F641" s="29" t="n"/>
      <c r="G641" s="29" t="n"/>
      <c r="H641" s="67">
        <f>IF(base!F641&lt;&gt;"",VLOOKUP(F641,de_para!$A$1:$B$31,2,0)*base!G641,0)</f>
        <v/>
      </c>
      <c r="I641" s="38" t="n"/>
      <c r="J641" s="29" t="n"/>
      <c r="K641" s="67">
        <f>IF(base!I641&lt;&gt;"",VLOOKUP(I641,de_para!$A$1:$B$31,2,0)*base!J641,0)</f>
        <v/>
      </c>
      <c r="L641" s="38" t="n"/>
      <c r="M641" s="29" t="n"/>
      <c r="N641" s="67">
        <f>IF(base!L641&lt;&gt;"",VLOOKUP(L641,de_para!$A$1:$B$31,2,0)*base!M641,0)</f>
        <v/>
      </c>
      <c r="O641" s="38" t="n"/>
      <c r="P641" s="29" t="n"/>
      <c r="Q641" s="67">
        <f>IF(base!O641&lt;&gt;"",VLOOKUP(O641,de_para!$A$1:$B$31,2,0)*base!P641,0)</f>
        <v/>
      </c>
      <c r="R641" s="38" t="n"/>
      <c r="S641" s="29" t="n"/>
      <c r="T641" s="67">
        <f>IF(base!R641&lt;&gt;"",VLOOKUP(R641,de_para!$A$1:$B$31,2,0)*base!S641,0)</f>
        <v/>
      </c>
      <c r="U641" s="68">
        <f>H641+K641+N641+Q641+T641</f>
        <v/>
      </c>
    </row>
    <row r="642">
      <c r="A642" s="29" t="n"/>
      <c r="B642" s="29" t="n"/>
      <c r="C642" s="29" t="n"/>
      <c r="D642" s="29" t="n"/>
      <c r="E642" s="29" t="n"/>
      <c r="F642" s="29" t="n"/>
      <c r="G642" s="29" t="n"/>
      <c r="H642" s="67">
        <f>IF(base!F642&lt;&gt;"",VLOOKUP(F642,de_para!$A$1:$B$31,2,0)*base!G642,0)</f>
        <v/>
      </c>
      <c r="I642" s="38" t="n"/>
      <c r="J642" s="29" t="n"/>
      <c r="K642" s="67">
        <f>IF(base!I642&lt;&gt;"",VLOOKUP(I642,de_para!$A$1:$B$31,2,0)*base!J642,0)</f>
        <v/>
      </c>
      <c r="L642" s="38" t="n"/>
      <c r="M642" s="29" t="n"/>
      <c r="N642" s="67">
        <f>IF(base!L642&lt;&gt;"",VLOOKUP(L642,de_para!$A$1:$B$31,2,0)*base!M642,0)</f>
        <v/>
      </c>
      <c r="O642" s="38" t="n"/>
      <c r="P642" s="29" t="n"/>
      <c r="Q642" s="67">
        <f>IF(base!O642&lt;&gt;"",VLOOKUP(O642,de_para!$A$1:$B$31,2,0)*base!P642,0)</f>
        <v/>
      </c>
      <c r="R642" s="38" t="n"/>
      <c r="S642" s="29" t="n"/>
      <c r="T642" s="67">
        <f>IF(base!R642&lt;&gt;"",VLOOKUP(R642,de_para!$A$1:$B$31,2,0)*base!S642,0)</f>
        <v/>
      </c>
      <c r="U642" s="68">
        <f>H642+K642+N642+Q642+T642</f>
        <v/>
      </c>
    </row>
    <row r="643">
      <c r="A643" s="29" t="n"/>
      <c r="B643" s="29" t="n"/>
      <c r="C643" s="29" t="n"/>
      <c r="D643" s="29" t="n"/>
      <c r="E643" s="29" t="n"/>
      <c r="F643" s="29" t="n"/>
      <c r="G643" s="29" t="n"/>
      <c r="H643" s="67">
        <f>IF(base!F643&lt;&gt;"",VLOOKUP(F643,de_para!$A$1:$B$31,2,0)*base!G643,0)</f>
        <v/>
      </c>
      <c r="I643" s="38" t="n"/>
      <c r="J643" s="29" t="n"/>
      <c r="K643" s="67">
        <f>IF(base!I643&lt;&gt;"",VLOOKUP(I643,de_para!$A$1:$B$31,2,0)*base!J643,0)</f>
        <v/>
      </c>
      <c r="L643" s="38" t="n"/>
      <c r="M643" s="29" t="n"/>
      <c r="N643" s="67">
        <f>IF(base!L643&lt;&gt;"",VLOOKUP(L643,de_para!$A$1:$B$31,2,0)*base!M643,0)</f>
        <v/>
      </c>
      <c r="O643" s="38" t="n"/>
      <c r="P643" s="29" t="n"/>
      <c r="Q643" s="67">
        <f>IF(base!O643&lt;&gt;"",VLOOKUP(O643,de_para!$A$1:$B$31,2,0)*base!P643,0)</f>
        <v/>
      </c>
      <c r="R643" s="38" t="n"/>
      <c r="S643" s="29" t="n"/>
      <c r="T643" s="67">
        <f>IF(base!R643&lt;&gt;"",VLOOKUP(R643,de_para!$A$1:$B$31,2,0)*base!S643,0)</f>
        <v/>
      </c>
      <c r="U643" s="68">
        <f>H643+K643+N643+Q643+T643</f>
        <v/>
      </c>
    </row>
    <row r="644">
      <c r="A644" s="29" t="n"/>
      <c r="B644" s="29" t="n"/>
      <c r="C644" s="29" t="n"/>
      <c r="D644" s="29" t="n"/>
      <c r="E644" s="29" t="n"/>
      <c r="F644" s="29" t="n"/>
      <c r="G644" s="29" t="n"/>
      <c r="H644" s="67">
        <f>IF(base!F644&lt;&gt;"",VLOOKUP(F644,de_para!$A$1:$B$31,2,0)*base!G644,0)</f>
        <v/>
      </c>
      <c r="I644" s="38" t="n"/>
      <c r="J644" s="29" t="n"/>
      <c r="K644" s="67">
        <f>IF(base!I644&lt;&gt;"",VLOOKUP(I644,de_para!$A$1:$B$31,2,0)*base!J644,0)</f>
        <v/>
      </c>
      <c r="L644" s="38" t="n"/>
      <c r="M644" s="29" t="n"/>
      <c r="N644" s="67">
        <f>IF(base!L644&lt;&gt;"",VLOOKUP(L644,de_para!$A$1:$B$31,2,0)*base!M644,0)</f>
        <v/>
      </c>
      <c r="O644" s="38" t="n"/>
      <c r="P644" s="29" t="n"/>
      <c r="Q644" s="67">
        <f>IF(base!O644&lt;&gt;"",VLOOKUP(O644,de_para!$A$1:$B$31,2,0)*base!P644,0)</f>
        <v/>
      </c>
      <c r="R644" s="38" t="n"/>
      <c r="S644" s="29" t="n"/>
      <c r="T644" s="67">
        <f>IF(base!R644&lt;&gt;"",VLOOKUP(R644,de_para!$A$1:$B$31,2,0)*base!S644,0)</f>
        <v/>
      </c>
      <c r="U644" s="68">
        <f>H644+K644+N644+Q644+T644</f>
        <v/>
      </c>
    </row>
    <row r="645">
      <c r="A645" s="29" t="n"/>
      <c r="B645" s="29" t="n"/>
      <c r="C645" s="29" t="n"/>
      <c r="D645" s="29" t="n"/>
      <c r="E645" s="29" t="n"/>
      <c r="F645" s="29" t="n"/>
      <c r="G645" s="29" t="n"/>
      <c r="H645" s="67">
        <f>IF(base!F645&lt;&gt;"",VLOOKUP(F645,de_para!$A$1:$B$31,2,0)*base!G645,0)</f>
        <v/>
      </c>
      <c r="I645" s="38" t="n"/>
      <c r="J645" s="29" t="n"/>
      <c r="K645" s="67">
        <f>IF(base!I645&lt;&gt;"",VLOOKUP(I645,de_para!$A$1:$B$31,2,0)*base!J645,0)</f>
        <v/>
      </c>
      <c r="L645" s="38" t="n"/>
      <c r="M645" s="29" t="n"/>
      <c r="N645" s="67">
        <f>IF(base!L645&lt;&gt;"",VLOOKUP(L645,de_para!$A$1:$B$31,2,0)*base!M645,0)</f>
        <v/>
      </c>
      <c r="O645" s="38" t="n"/>
      <c r="P645" s="29" t="n"/>
      <c r="Q645" s="67">
        <f>IF(base!O645&lt;&gt;"",VLOOKUP(O645,de_para!$A$1:$B$31,2,0)*base!P645,0)</f>
        <v/>
      </c>
      <c r="R645" s="38" t="n"/>
      <c r="S645" s="29" t="n"/>
      <c r="T645" s="67">
        <f>IF(base!R645&lt;&gt;"",VLOOKUP(R645,de_para!$A$1:$B$31,2,0)*base!S645,0)</f>
        <v/>
      </c>
      <c r="U645" s="68">
        <f>H645+K645+N645+Q645+T645</f>
        <v/>
      </c>
    </row>
    <row r="646">
      <c r="A646" s="29" t="n"/>
      <c r="B646" s="29" t="n"/>
      <c r="C646" s="29" t="n"/>
      <c r="D646" s="29" t="n"/>
      <c r="E646" s="29" t="n"/>
      <c r="F646" s="29" t="n"/>
      <c r="G646" s="29" t="n"/>
      <c r="H646" s="67">
        <f>IF(base!F646&lt;&gt;"",VLOOKUP(F646,de_para!$A$1:$B$31,2,0)*base!G646,0)</f>
        <v/>
      </c>
      <c r="I646" s="38" t="n"/>
      <c r="J646" s="29" t="n"/>
      <c r="K646" s="67">
        <f>IF(base!I646&lt;&gt;"",VLOOKUP(I646,de_para!$A$1:$B$31,2,0)*base!J646,0)</f>
        <v/>
      </c>
      <c r="L646" s="38" t="n"/>
      <c r="M646" s="29" t="n"/>
      <c r="N646" s="67">
        <f>IF(base!L646&lt;&gt;"",VLOOKUP(L646,de_para!$A$1:$B$31,2,0)*base!M646,0)</f>
        <v/>
      </c>
      <c r="O646" s="38" t="n"/>
      <c r="P646" s="29" t="n"/>
      <c r="Q646" s="67">
        <f>IF(base!O646&lt;&gt;"",VLOOKUP(O646,de_para!$A$1:$B$31,2,0)*base!P646,0)</f>
        <v/>
      </c>
      <c r="R646" s="38" t="n"/>
      <c r="S646" s="29" t="n"/>
      <c r="T646" s="67">
        <f>IF(base!R646&lt;&gt;"",VLOOKUP(R646,de_para!$A$1:$B$31,2,0)*base!S646,0)</f>
        <v/>
      </c>
      <c r="U646" s="68">
        <f>H646+K646+N646+Q646+T646</f>
        <v/>
      </c>
    </row>
    <row r="647">
      <c r="A647" s="29" t="n"/>
      <c r="B647" s="29" t="n"/>
      <c r="C647" s="29" t="n"/>
      <c r="D647" s="29" t="n"/>
      <c r="E647" s="29" t="n"/>
      <c r="F647" s="29" t="n"/>
      <c r="G647" s="29" t="n"/>
      <c r="H647" s="67">
        <f>IF(base!F647&lt;&gt;"",VLOOKUP(F647,de_para!$A$1:$B$31,2,0)*base!G647,0)</f>
        <v/>
      </c>
      <c r="I647" s="38" t="n"/>
      <c r="J647" s="29" t="n"/>
      <c r="K647" s="67">
        <f>IF(base!I647&lt;&gt;"",VLOOKUP(I647,de_para!$A$1:$B$31,2,0)*base!J647,0)</f>
        <v/>
      </c>
      <c r="L647" s="38" t="n"/>
      <c r="M647" s="29" t="n"/>
      <c r="N647" s="67">
        <f>IF(base!L647&lt;&gt;"",VLOOKUP(L647,de_para!$A$1:$B$31,2,0)*base!M647,0)</f>
        <v/>
      </c>
      <c r="O647" s="38" t="n"/>
      <c r="P647" s="29" t="n"/>
      <c r="Q647" s="67">
        <f>IF(base!O647&lt;&gt;"",VLOOKUP(O647,de_para!$A$1:$B$31,2,0)*base!P647,0)</f>
        <v/>
      </c>
      <c r="R647" s="38" t="n"/>
      <c r="S647" s="29" t="n"/>
      <c r="T647" s="67">
        <f>IF(base!R647&lt;&gt;"",VLOOKUP(R647,de_para!$A$1:$B$31,2,0)*base!S647,0)</f>
        <v/>
      </c>
      <c r="U647" s="68">
        <f>H647+K647+N647+Q647+T647</f>
        <v/>
      </c>
    </row>
    <row r="648">
      <c r="A648" s="29" t="n"/>
      <c r="B648" s="29" t="n"/>
      <c r="C648" s="29" t="n"/>
      <c r="D648" s="29" t="n"/>
      <c r="E648" s="29" t="n"/>
      <c r="F648" s="29" t="n"/>
      <c r="G648" s="29" t="n"/>
      <c r="H648" s="67">
        <f>IF(base!F648&lt;&gt;"",VLOOKUP(F648,de_para!$A$1:$B$31,2,0)*base!G648,0)</f>
        <v/>
      </c>
      <c r="I648" s="38" t="n"/>
      <c r="J648" s="29" t="n"/>
      <c r="K648" s="67">
        <f>IF(base!I648&lt;&gt;"",VLOOKUP(I648,de_para!$A$1:$B$31,2,0)*base!J648,0)</f>
        <v/>
      </c>
      <c r="L648" s="38" t="n"/>
      <c r="M648" s="29" t="n"/>
      <c r="N648" s="67">
        <f>IF(base!L648&lt;&gt;"",VLOOKUP(L648,de_para!$A$1:$B$31,2,0)*base!M648,0)</f>
        <v/>
      </c>
      <c r="O648" s="38" t="n"/>
      <c r="P648" s="29" t="n"/>
      <c r="Q648" s="67">
        <f>IF(base!O648&lt;&gt;"",VLOOKUP(O648,de_para!$A$1:$B$31,2,0)*base!P648,0)</f>
        <v/>
      </c>
      <c r="R648" s="38" t="n"/>
      <c r="S648" s="29" t="n"/>
      <c r="T648" s="67">
        <f>IF(base!R648&lt;&gt;"",VLOOKUP(R648,de_para!$A$1:$B$31,2,0)*base!S648,0)</f>
        <v/>
      </c>
      <c r="U648" s="68">
        <f>H648+K648+N648+Q648+T648</f>
        <v/>
      </c>
    </row>
    <row r="649">
      <c r="A649" s="29" t="n"/>
      <c r="B649" s="29" t="n"/>
      <c r="C649" s="29" t="n"/>
      <c r="D649" s="29" t="n"/>
      <c r="E649" s="29" t="n"/>
      <c r="F649" s="29" t="n"/>
      <c r="G649" s="29" t="n"/>
      <c r="H649" s="67">
        <f>IF(base!F649&lt;&gt;"",VLOOKUP(F649,de_para!$A$1:$B$31,2,0)*base!G649,0)</f>
        <v/>
      </c>
      <c r="I649" s="38" t="n"/>
      <c r="J649" s="29" t="n"/>
      <c r="K649" s="67">
        <f>IF(base!I649&lt;&gt;"",VLOOKUP(I649,de_para!$A$1:$B$31,2,0)*base!J649,0)</f>
        <v/>
      </c>
      <c r="L649" s="38" t="n"/>
      <c r="M649" s="29" t="n"/>
      <c r="N649" s="67">
        <f>IF(base!L649&lt;&gt;"",VLOOKUP(L649,de_para!$A$1:$B$31,2,0)*base!M649,0)</f>
        <v/>
      </c>
      <c r="O649" s="38" t="n"/>
      <c r="P649" s="29" t="n"/>
      <c r="Q649" s="67">
        <f>IF(base!O649&lt;&gt;"",VLOOKUP(O649,de_para!$A$1:$B$31,2,0)*base!P649,0)</f>
        <v/>
      </c>
      <c r="R649" s="38" t="n"/>
      <c r="S649" s="29" t="n"/>
      <c r="T649" s="67">
        <f>IF(base!R649&lt;&gt;"",VLOOKUP(R649,de_para!$A$1:$B$31,2,0)*base!S649,0)</f>
        <v/>
      </c>
      <c r="U649" s="68">
        <f>H649+K649+N649+Q649+T649</f>
        <v/>
      </c>
    </row>
    <row r="650">
      <c r="A650" s="29" t="n"/>
      <c r="B650" s="29" t="n"/>
      <c r="C650" s="29" t="n"/>
      <c r="D650" s="29" t="n"/>
      <c r="E650" s="29" t="n"/>
      <c r="F650" s="29" t="n"/>
      <c r="G650" s="29" t="n"/>
      <c r="H650" s="67">
        <f>IF(base!F650&lt;&gt;"",VLOOKUP(F650,de_para!$A$1:$B$31,2,0)*base!G650,0)</f>
        <v/>
      </c>
      <c r="I650" s="38" t="n"/>
      <c r="J650" s="29" t="n"/>
      <c r="K650" s="67">
        <f>IF(base!I650&lt;&gt;"",VLOOKUP(I650,de_para!$A$1:$B$31,2,0)*base!J650,0)</f>
        <v/>
      </c>
      <c r="L650" s="38" t="n"/>
      <c r="M650" s="29" t="n"/>
      <c r="N650" s="67">
        <f>IF(base!L650&lt;&gt;"",VLOOKUP(L650,de_para!$A$1:$B$31,2,0)*base!M650,0)</f>
        <v/>
      </c>
      <c r="O650" s="38" t="n"/>
      <c r="P650" s="29" t="n"/>
      <c r="Q650" s="67">
        <f>IF(base!O650&lt;&gt;"",VLOOKUP(O650,de_para!$A$1:$B$31,2,0)*base!P650,0)</f>
        <v/>
      </c>
      <c r="R650" s="38" t="n"/>
      <c r="S650" s="29" t="n"/>
      <c r="T650" s="67">
        <f>IF(base!R650&lt;&gt;"",VLOOKUP(R650,de_para!$A$1:$B$31,2,0)*base!S650,0)</f>
        <v/>
      </c>
      <c r="U650" s="68">
        <f>H650+K650+N650+Q650+T650</f>
        <v/>
      </c>
    </row>
    <row r="651">
      <c r="A651" s="29" t="n"/>
      <c r="B651" s="29" t="n"/>
      <c r="C651" s="29" t="n"/>
      <c r="D651" s="29" t="n"/>
      <c r="E651" s="29" t="n"/>
      <c r="F651" s="29" t="n"/>
      <c r="G651" s="29" t="n"/>
      <c r="H651" s="67">
        <f>IF(base!F651&lt;&gt;"",VLOOKUP(F651,de_para!$A$1:$B$31,2,0)*base!G651,0)</f>
        <v/>
      </c>
      <c r="I651" s="38" t="n"/>
      <c r="J651" s="29" t="n"/>
      <c r="K651" s="67">
        <f>IF(base!I651&lt;&gt;"",VLOOKUP(I651,de_para!$A$1:$B$31,2,0)*base!J651,0)</f>
        <v/>
      </c>
      <c r="L651" s="38" t="n"/>
      <c r="M651" s="29" t="n"/>
      <c r="N651" s="67">
        <f>IF(base!L651&lt;&gt;"",VLOOKUP(L651,de_para!$A$1:$B$31,2,0)*base!M651,0)</f>
        <v/>
      </c>
      <c r="O651" s="38" t="n"/>
      <c r="P651" s="29" t="n"/>
      <c r="Q651" s="67">
        <f>IF(base!O651&lt;&gt;"",VLOOKUP(O651,de_para!$A$1:$B$31,2,0)*base!P651,0)</f>
        <v/>
      </c>
      <c r="R651" s="38" t="n"/>
      <c r="S651" s="29" t="n"/>
      <c r="T651" s="67">
        <f>IF(base!R651&lt;&gt;"",VLOOKUP(R651,de_para!$A$1:$B$31,2,0)*base!S651,0)</f>
        <v/>
      </c>
      <c r="U651" s="68">
        <f>H651+K651+N651+Q651+T651</f>
        <v/>
      </c>
    </row>
    <row r="652">
      <c r="A652" s="29" t="n"/>
      <c r="B652" s="29" t="n"/>
      <c r="C652" s="29" t="n"/>
      <c r="D652" s="29" t="n"/>
      <c r="E652" s="29" t="n"/>
      <c r="F652" s="29" t="n"/>
      <c r="G652" s="29" t="n"/>
      <c r="H652" s="67">
        <f>IF(base!F652&lt;&gt;"",VLOOKUP(F652,de_para!$A$1:$B$31,2,0)*base!G652,0)</f>
        <v/>
      </c>
      <c r="I652" s="38" t="n"/>
      <c r="J652" s="29" t="n"/>
      <c r="K652" s="67">
        <f>IF(base!I652&lt;&gt;"",VLOOKUP(I652,de_para!$A$1:$B$31,2,0)*base!J652,0)</f>
        <v/>
      </c>
      <c r="L652" s="38" t="n"/>
      <c r="M652" s="29" t="n"/>
      <c r="N652" s="67">
        <f>IF(base!L652&lt;&gt;"",VLOOKUP(L652,de_para!$A$1:$B$31,2,0)*base!M652,0)</f>
        <v/>
      </c>
      <c r="O652" s="38" t="n"/>
      <c r="P652" s="29" t="n"/>
      <c r="Q652" s="67">
        <f>IF(base!O652&lt;&gt;"",VLOOKUP(O652,de_para!$A$1:$B$31,2,0)*base!P652,0)</f>
        <v/>
      </c>
      <c r="R652" s="38" t="n"/>
      <c r="S652" s="29" t="n"/>
      <c r="T652" s="67">
        <f>IF(base!R652&lt;&gt;"",VLOOKUP(R652,de_para!$A$1:$B$31,2,0)*base!S652,0)</f>
        <v/>
      </c>
      <c r="U652" s="68">
        <f>H652+K652+N652+Q652+T652</f>
        <v/>
      </c>
    </row>
    <row r="653">
      <c r="A653" s="29" t="n"/>
      <c r="B653" s="29" t="n"/>
      <c r="C653" s="29" t="n"/>
      <c r="D653" s="29" t="n"/>
      <c r="E653" s="29" t="n"/>
      <c r="F653" s="29" t="n"/>
      <c r="G653" s="29" t="n"/>
      <c r="H653" s="67">
        <f>IF(base!F653&lt;&gt;"",VLOOKUP(F653,de_para!$A$1:$B$31,2,0)*base!G653,0)</f>
        <v/>
      </c>
      <c r="I653" s="38" t="n"/>
      <c r="J653" s="29" t="n"/>
      <c r="K653" s="67">
        <f>IF(base!I653&lt;&gt;"",VLOOKUP(I653,de_para!$A$1:$B$31,2,0)*base!J653,0)</f>
        <v/>
      </c>
      <c r="L653" s="38" t="n"/>
      <c r="M653" s="29" t="n"/>
      <c r="N653" s="67">
        <f>IF(base!L653&lt;&gt;"",VLOOKUP(L653,de_para!$A$1:$B$31,2,0)*base!M653,0)</f>
        <v/>
      </c>
      <c r="O653" s="38" t="n"/>
      <c r="P653" s="29" t="n"/>
      <c r="Q653" s="67">
        <f>IF(base!O653&lt;&gt;"",VLOOKUP(O653,de_para!$A$1:$B$31,2,0)*base!P653,0)</f>
        <v/>
      </c>
      <c r="R653" s="38" t="n"/>
      <c r="S653" s="29" t="n"/>
      <c r="T653" s="67">
        <f>IF(base!R653&lt;&gt;"",VLOOKUP(R653,de_para!$A$1:$B$31,2,0)*base!S653,0)</f>
        <v/>
      </c>
      <c r="U653" s="68">
        <f>H653+K653+N653+Q653+T653</f>
        <v/>
      </c>
    </row>
    <row r="654">
      <c r="A654" s="29" t="n"/>
      <c r="B654" s="29" t="n"/>
      <c r="C654" s="29" t="n"/>
      <c r="D654" s="29" t="n"/>
      <c r="E654" s="29" t="n"/>
      <c r="F654" s="29" t="n"/>
      <c r="G654" s="29" t="n"/>
      <c r="H654" s="67">
        <f>IF(base!F654&lt;&gt;"",VLOOKUP(F654,de_para!$A$1:$B$31,2,0)*base!G654,0)</f>
        <v/>
      </c>
      <c r="I654" s="38" t="n"/>
      <c r="J654" s="29" t="n"/>
      <c r="K654" s="67">
        <f>IF(base!I654&lt;&gt;"",VLOOKUP(I654,de_para!$A$1:$B$31,2,0)*base!J654,0)</f>
        <v/>
      </c>
      <c r="L654" s="38" t="n"/>
      <c r="M654" s="29" t="n"/>
      <c r="N654" s="67">
        <f>IF(base!L654&lt;&gt;"",VLOOKUP(L654,de_para!$A$1:$B$31,2,0)*base!M654,0)</f>
        <v/>
      </c>
      <c r="O654" s="38" t="n"/>
      <c r="P654" s="29" t="n"/>
      <c r="Q654" s="67">
        <f>IF(base!O654&lt;&gt;"",VLOOKUP(O654,de_para!$A$1:$B$31,2,0)*base!P654,0)</f>
        <v/>
      </c>
      <c r="R654" s="38" t="n"/>
      <c r="S654" s="29" t="n"/>
      <c r="T654" s="67">
        <f>IF(base!R654&lt;&gt;"",VLOOKUP(R654,de_para!$A$1:$B$31,2,0)*base!S654,0)</f>
        <v/>
      </c>
      <c r="U654" s="68">
        <f>H654+K654+N654+Q654+T654</f>
        <v/>
      </c>
    </row>
    <row r="655">
      <c r="A655" s="29" t="n"/>
      <c r="B655" s="29" t="n"/>
      <c r="C655" s="29" t="n"/>
      <c r="D655" s="29" t="n"/>
      <c r="E655" s="29" t="n"/>
      <c r="F655" s="29" t="n"/>
      <c r="G655" s="29" t="n"/>
      <c r="H655" s="67">
        <f>IF(base!F655&lt;&gt;"",VLOOKUP(F655,de_para!$A$1:$B$31,2,0)*base!G655,0)</f>
        <v/>
      </c>
      <c r="I655" s="38" t="n"/>
      <c r="J655" s="29" t="n"/>
      <c r="K655" s="67">
        <f>IF(base!I655&lt;&gt;"",VLOOKUP(I655,de_para!$A$1:$B$31,2,0)*base!J655,0)</f>
        <v/>
      </c>
      <c r="L655" s="38" t="n"/>
      <c r="M655" s="29" t="n"/>
      <c r="N655" s="67">
        <f>IF(base!L655&lt;&gt;"",VLOOKUP(L655,de_para!$A$1:$B$31,2,0)*base!M655,0)</f>
        <v/>
      </c>
      <c r="O655" s="38" t="n"/>
      <c r="P655" s="29" t="n"/>
      <c r="Q655" s="67">
        <f>IF(base!O655&lt;&gt;"",VLOOKUP(O655,de_para!$A$1:$B$31,2,0)*base!P655,0)</f>
        <v/>
      </c>
      <c r="R655" s="38" t="n"/>
      <c r="S655" s="29" t="n"/>
      <c r="T655" s="67">
        <f>IF(base!R655&lt;&gt;"",VLOOKUP(R655,de_para!$A$1:$B$31,2,0)*base!S655,0)</f>
        <v/>
      </c>
      <c r="U655" s="68">
        <f>H655+K655+N655+Q655+T655</f>
        <v/>
      </c>
    </row>
    <row r="656">
      <c r="A656" s="29" t="n"/>
      <c r="B656" s="29" t="n"/>
      <c r="C656" s="29" t="n"/>
      <c r="D656" s="29" t="n"/>
      <c r="E656" s="29" t="n"/>
      <c r="F656" s="29" t="n"/>
      <c r="G656" s="29" t="n"/>
      <c r="H656" s="67">
        <f>IF(base!F656&lt;&gt;"",VLOOKUP(F656,de_para!$A$1:$B$31,2,0)*base!G656,0)</f>
        <v/>
      </c>
      <c r="I656" s="38" t="n"/>
      <c r="J656" s="29" t="n"/>
      <c r="K656" s="67">
        <f>IF(base!I656&lt;&gt;"",VLOOKUP(I656,de_para!$A$1:$B$31,2,0)*base!J656,0)</f>
        <v/>
      </c>
      <c r="L656" s="38" t="n"/>
      <c r="M656" s="29" t="n"/>
      <c r="N656" s="67">
        <f>IF(base!L656&lt;&gt;"",VLOOKUP(L656,de_para!$A$1:$B$31,2,0)*base!M656,0)</f>
        <v/>
      </c>
      <c r="O656" s="38" t="n"/>
      <c r="P656" s="29" t="n"/>
      <c r="Q656" s="67">
        <f>IF(base!O656&lt;&gt;"",VLOOKUP(O656,de_para!$A$1:$B$31,2,0)*base!P656,0)</f>
        <v/>
      </c>
      <c r="R656" s="38" t="n"/>
      <c r="S656" s="29" t="n"/>
      <c r="T656" s="67">
        <f>IF(base!R656&lt;&gt;"",VLOOKUP(R656,de_para!$A$1:$B$31,2,0)*base!S656,0)</f>
        <v/>
      </c>
      <c r="U656" s="68">
        <f>H656+K656+N656+Q656+T656</f>
        <v/>
      </c>
    </row>
    <row r="657">
      <c r="A657" s="29" t="n"/>
      <c r="B657" s="29" t="n"/>
      <c r="C657" s="29" t="n"/>
      <c r="D657" s="29" t="n"/>
      <c r="E657" s="29" t="n"/>
      <c r="F657" s="29" t="n"/>
      <c r="G657" s="29" t="n"/>
      <c r="H657" s="67">
        <f>IF(base!F657&lt;&gt;"",VLOOKUP(F657,de_para!$A$1:$B$31,2,0)*base!G657,0)</f>
        <v/>
      </c>
      <c r="I657" s="38" t="n"/>
      <c r="J657" s="29" t="n"/>
      <c r="K657" s="67">
        <f>IF(base!I657&lt;&gt;"",VLOOKUP(I657,de_para!$A$1:$B$31,2,0)*base!J657,0)</f>
        <v/>
      </c>
      <c r="L657" s="38" t="n"/>
      <c r="M657" s="29" t="n"/>
      <c r="N657" s="67">
        <f>IF(base!L657&lt;&gt;"",VLOOKUP(L657,de_para!$A$1:$B$31,2,0)*base!M657,0)</f>
        <v/>
      </c>
      <c r="O657" s="38" t="n"/>
      <c r="P657" s="29" t="n"/>
      <c r="Q657" s="67">
        <f>IF(base!O657&lt;&gt;"",VLOOKUP(O657,de_para!$A$1:$B$31,2,0)*base!P657,0)</f>
        <v/>
      </c>
      <c r="R657" s="38" t="n"/>
      <c r="S657" s="29" t="n"/>
      <c r="T657" s="67">
        <f>IF(base!R657&lt;&gt;"",VLOOKUP(R657,de_para!$A$1:$B$31,2,0)*base!S657,0)</f>
        <v/>
      </c>
      <c r="U657" s="68">
        <f>H657+K657+N657+Q657+T657</f>
        <v/>
      </c>
    </row>
    <row r="658">
      <c r="A658" s="29" t="n"/>
      <c r="B658" s="29" t="n"/>
      <c r="C658" s="29" t="n"/>
      <c r="D658" s="29" t="n"/>
      <c r="E658" s="29" t="n"/>
      <c r="F658" s="29" t="n"/>
      <c r="G658" s="29" t="n"/>
      <c r="H658" s="67">
        <f>IF(base!F658&lt;&gt;"",VLOOKUP(F658,de_para!$A$1:$B$31,2,0)*base!G658,0)</f>
        <v/>
      </c>
      <c r="I658" s="38" t="n"/>
      <c r="J658" s="29" t="n"/>
      <c r="K658" s="67">
        <f>IF(base!I658&lt;&gt;"",VLOOKUP(I658,de_para!$A$1:$B$31,2,0)*base!J658,0)</f>
        <v/>
      </c>
      <c r="L658" s="38" t="n"/>
      <c r="M658" s="29" t="n"/>
      <c r="N658" s="67">
        <f>IF(base!L658&lt;&gt;"",VLOOKUP(L658,de_para!$A$1:$B$31,2,0)*base!M658,0)</f>
        <v/>
      </c>
      <c r="O658" s="38" t="n"/>
      <c r="P658" s="29" t="n"/>
      <c r="Q658" s="67">
        <f>IF(base!O658&lt;&gt;"",VLOOKUP(O658,de_para!$A$1:$B$31,2,0)*base!P658,0)</f>
        <v/>
      </c>
      <c r="R658" s="38" t="n"/>
      <c r="S658" s="29" t="n"/>
      <c r="T658" s="67">
        <f>IF(base!R658&lt;&gt;"",VLOOKUP(R658,de_para!$A$1:$B$31,2,0)*base!S658,0)</f>
        <v/>
      </c>
      <c r="U658" s="68">
        <f>H658+K658+N658+Q658+T658</f>
        <v/>
      </c>
    </row>
    <row r="659">
      <c r="A659" s="29" t="n"/>
      <c r="B659" s="29" t="n"/>
      <c r="C659" s="29" t="n"/>
      <c r="D659" s="29" t="n"/>
      <c r="E659" s="29" t="n"/>
      <c r="F659" s="29" t="n"/>
      <c r="G659" s="29" t="n"/>
      <c r="H659" s="67">
        <f>IF(base!F659&lt;&gt;"",VLOOKUP(F659,de_para!$A$1:$B$31,2,0)*base!G659,0)</f>
        <v/>
      </c>
      <c r="I659" s="38" t="n"/>
      <c r="J659" s="29" t="n"/>
      <c r="K659" s="67">
        <f>IF(base!I659&lt;&gt;"",VLOOKUP(I659,de_para!$A$1:$B$31,2,0)*base!J659,0)</f>
        <v/>
      </c>
      <c r="L659" s="38" t="n"/>
      <c r="M659" s="29" t="n"/>
      <c r="N659" s="67">
        <f>IF(base!L659&lt;&gt;"",VLOOKUP(L659,de_para!$A$1:$B$31,2,0)*base!M659,0)</f>
        <v/>
      </c>
      <c r="O659" s="38" t="n"/>
      <c r="P659" s="29" t="n"/>
      <c r="Q659" s="67">
        <f>IF(base!O659&lt;&gt;"",VLOOKUP(O659,de_para!$A$1:$B$31,2,0)*base!P659,0)</f>
        <v/>
      </c>
      <c r="R659" s="38" t="n"/>
      <c r="S659" s="29" t="n"/>
      <c r="T659" s="67">
        <f>IF(base!R659&lt;&gt;"",VLOOKUP(R659,de_para!$A$1:$B$31,2,0)*base!S659,0)</f>
        <v/>
      </c>
      <c r="U659" s="68">
        <f>H659+K659+N659+Q659+T659</f>
        <v/>
      </c>
    </row>
    <row r="660">
      <c r="A660" s="29" t="n"/>
      <c r="B660" s="29" t="n"/>
      <c r="C660" s="29" t="n"/>
      <c r="D660" s="29" t="n"/>
      <c r="E660" s="29" t="n"/>
      <c r="F660" s="29" t="n"/>
      <c r="G660" s="29" t="n"/>
      <c r="H660" s="67">
        <f>IF(base!F660&lt;&gt;"",VLOOKUP(F660,de_para!$A$1:$B$31,2,0)*base!G660,0)</f>
        <v/>
      </c>
      <c r="I660" s="38" t="n"/>
      <c r="J660" s="29" t="n"/>
      <c r="K660" s="67">
        <f>IF(base!I660&lt;&gt;"",VLOOKUP(I660,de_para!$A$1:$B$31,2,0)*base!J660,0)</f>
        <v/>
      </c>
      <c r="L660" s="38" t="n"/>
      <c r="M660" s="29" t="n"/>
      <c r="N660" s="67">
        <f>IF(base!L660&lt;&gt;"",VLOOKUP(L660,de_para!$A$1:$B$31,2,0)*base!M660,0)</f>
        <v/>
      </c>
      <c r="O660" s="38" t="n"/>
      <c r="P660" s="29" t="n"/>
      <c r="Q660" s="67">
        <f>IF(base!O660&lt;&gt;"",VLOOKUP(O660,de_para!$A$1:$B$31,2,0)*base!P660,0)</f>
        <v/>
      </c>
      <c r="R660" s="38" t="n"/>
      <c r="S660" s="29" t="n"/>
      <c r="T660" s="67">
        <f>IF(base!R660&lt;&gt;"",VLOOKUP(R660,de_para!$A$1:$B$31,2,0)*base!S660,0)</f>
        <v/>
      </c>
      <c r="U660" s="68">
        <f>H660+K660+N660+Q660+T660</f>
        <v/>
      </c>
    </row>
    <row r="661">
      <c r="A661" s="29" t="n"/>
      <c r="B661" s="29" t="n"/>
      <c r="C661" s="29" t="n"/>
      <c r="D661" s="29" t="n"/>
      <c r="E661" s="29" t="n"/>
      <c r="F661" s="29" t="n"/>
      <c r="G661" s="29" t="n"/>
      <c r="H661" s="67">
        <f>IF(base!F661&lt;&gt;"",VLOOKUP(F661,de_para!$A$1:$B$31,2,0)*base!G661,0)</f>
        <v/>
      </c>
      <c r="I661" s="38" t="n"/>
      <c r="J661" s="29" t="n"/>
      <c r="K661" s="67">
        <f>IF(base!I661&lt;&gt;"",VLOOKUP(I661,de_para!$A$1:$B$31,2,0)*base!J661,0)</f>
        <v/>
      </c>
      <c r="L661" s="38" t="n"/>
      <c r="M661" s="29" t="n"/>
      <c r="N661" s="67">
        <f>IF(base!L661&lt;&gt;"",VLOOKUP(L661,de_para!$A$1:$B$31,2,0)*base!M661,0)</f>
        <v/>
      </c>
      <c r="O661" s="38" t="n"/>
      <c r="P661" s="29" t="n"/>
      <c r="Q661" s="67">
        <f>IF(base!O661&lt;&gt;"",VLOOKUP(O661,de_para!$A$1:$B$31,2,0)*base!P661,0)</f>
        <v/>
      </c>
      <c r="R661" s="38" t="n"/>
      <c r="S661" s="29" t="n"/>
      <c r="T661" s="67">
        <f>IF(base!R661&lt;&gt;"",VLOOKUP(R661,de_para!$A$1:$B$31,2,0)*base!S661,0)</f>
        <v/>
      </c>
      <c r="U661" s="68">
        <f>H661+K661+N661+Q661+T661</f>
        <v/>
      </c>
    </row>
    <row r="662">
      <c r="A662" s="29" t="n"/>
      <c r="B662" s="29" t="n"/>
      <c r="C662" s="29" t="n"/>
      <c r="D662" s="29" t="n"/>
      <c r="E662" s="29" t="n"/>
      <c r="F662" s="29" t="n"/>
      <c r="G662" s="29" t="n"/>
      <c r="H662" s="67">
        <f>IF(base!F662&lt;&gt;"",VLOOKUP(F662,de_para!$A$1:$B$31,2,0)*base!G662,0)</f>
        <v/>
      </c>
      <c r="I662" s="38" t="n"/>
      <c r="J662" s="29" t="n"/>
      <c r="K662" s="67">
        <f>IF(base!I662&lt;&gt;"",VLOOKUP(I662,de_para!$A$1:$B$31,2,0)*base!J662,0)</f>
        <v/>
      </c>
      <c r="L662" s="38" t="n"/>
      <c r="M662" s="29" t="n"/>
      <c r="N662" s="67">
        <f>IF(base!L662&lt;&gt;"",VLOOKUP(L662,de_para!$A$1:$B$31,2,0)*base!M662,0)</f>
        <v/>
      </c>
      <c r="O662" s="38" t="n"/>
      <c r="P662" s="29" t="n"/>
      <c r="Q662" s="67">
        <f>IF(base!O662&lt;&gt;"",VLOOKUP(O662,de_para!$A$1:$B$31,2,0)*base!P662,0)</f>
        <v/>
      </c>
      <c r="R662" s="38" t="n"/>
      <c r="S662" s="29" t="n"/>
      <c r="T662" s="67">
        <f>IF(base!R662&lt;&gt;"",VLOOKUP(R662,de_para!$A$1:$B$31,2,0)*base!S662,0)</f>
        <v/>
      </c>
      <c r="U662" s="68">
        <f>H662+K662+N662+Q662+T662</f>
        <v/>
      </c>
    </row>
    <row r="663">
      <c r="A663" s="29" t="n"/>
      <c r="B663" s="29" t="n"/>
      <c r="C663" s="29" t="n"/>
      <c r="D663" s="29" t="n"/>
      <c r="E663" s="29" t="n"/>
      <c r="F663" s="29" t="n"/>
      <c r="G663" s="29" t="n"/>
      <c r="H663" s="67">
        <f>IF(base!F663&lt;&gt;"",VLOOKUP(F663,de_para!$A$1:$B$31,2,0)*base!G663,0)</f>
        <v/>
      </c>
      <c r="I663" s="38" t="n"/>
      <c r="J663" s="29" t="n"/>
      <c r="K663" s="67">
        <f>IF(base!I663&lt;&gt;"",VLOOKUP(I663,de_para!$A$1:$B$31,2,0)*base!J663,0)</f>
        <v/>
      </c>
      <c r="L663" s="38" t="n"/>
      <c r="M663" s="29" t="n"/>
      <c r="N663" s="67">
        <f>IF(base!L663&lt;&gt;"",VLOOKUP(L663,de_para!$A$1:$B$31,2,0)*base!M663,0)</f>
        <v/>
      </c>
      <c r="O663" s="38" t="n"/>
      <c r="P663" s="29" t="n"/>
      <c r="Q663" s="67">
        <f>IF(base!O663&lt;&gt;"",VLOOKUP(O663,de_para!$A$1:$B$31,2,0)*base!P663,0)</f>
        <v/>
      </c>
      <c r="R663" s="38" t="n"/>
      <c r="S663" s="29" t="n"/>
      <c r="T663" s="67">
        <f>IF(base!R663&lt;&gt;"",VLOOKUP(R663,de_para!$A$1:$B$31,2,0)*base!S663,0)</f>
        <v/>
      </c>
      <c r="U663" s="68">
        <f>H663+K663+N663+Q663+T663</f>
        <v/>
      </c>
    </row>
    <row r="664">
      <c r="A664" s="29" t="n"/>
      <c r="B664" s="29" t="n"/>
      <c r="C664" s="29" t="n"/>
      <c r="D664" s="29" t="n"/>
      <c r="E664" s="29" t="n"/>
      <c r="F664" s="29" t="n"/>
      <c r="G664" s="29" t="n"/>
      <c r="H664" s="67">
        <f>IF(base!F664&lt;&gt;"",VLOOKUP(F664,de_para!$A$1:$B$31,2,0)*base!G664,0)</f>
        <v/>
      </c>
      <c r="I664" s="38" t="n"/>
      <c r="J664" s="29" t="n"/>
      <c r="K664" s="67">
        <f>IF(base!I664&lt;&gt;"",VLOOKUP(I664,de_para!$A$1:$B$31,2,0)*base!J664,0)</f>
        <v/>
      </c>
      <c r="L664" s="38" t="n"/>
      <c r="M664" s="29" t="n"/>
      <c r="N664" s="67">
        <f>IF(base!L664&lt;&gt;"",VLOOKUP(L664,de_para!$A$1:$B$31,2,0)*base!M664,0)</f>
        <v/>
      </c>
      <c r="O664" s="38" t="n"/>
      <c r="P664" s="29" t="n"/>
      <c r="Q664" s="67">
        <f>IF(base!O664&lt;&gt;"",VLOOKUP(O664,de_para!$A$1:$B$31,2,0)*base!P664,0)</f>
        <v/>
      </c>
      <c r="R664" s="38" t="n"/>
      <c r="S664" s="29" t="n"/>
      <c r="T664" s="67">
        <f>IF(base!R664&lt;&gt;"",VLOOKUP(R664,de_para!$A$1:$B$31,2,0)*base!S664,0)</f>
        <v/>
      </c>
      <c r="U664" s="68">
        <f>H664+K664+N664+Q664+T664</f>
        <v/>
      </c>
    </row>
    <row r="665">
      <c r="A665" s="29" t="n"/>
      <c r="B665" s="29" t="n"/>
      <c r="C665" s="29" t="n"/>
      <c r="D665" s="29" t="n"/>
      <c r="E665" s="29" t="n"/>
      <c r="F665" s="29" t="n"/>
      <c r="G665" s="29" t="n"/>
      <c r="H665" s="67">
        <f>IF(base!F665&lt;&gt;"",VLOOKUP(F665,de_para!$A$1:$B$31,2,0)*base!G665,0)</f>
        <v/>
      </c>
      <c r="I665" s="38" t="n"/>
      <c r="J665" s="29" t="n"/>
      <c r="K665" s="67">
        <f>IF(base!I665&lt;&gt;"",VLOOKUP(I665,de_para!$A$1:$B$31,2,0)*base!J665,0)</f>
        <v/>
      </c>
      <c r="L665" s="38" t="n"/>
      <c r="M665" s="29" t="n"/>
      <c r="N665" s="67">
        <f>IF(base!L665&lt;&gt;"",VLOOKUP(L665,de_para!$A$1:$B$31,2,0)*base!M665,0)</f>
        <v/>
      </c>
      <c r="O665" s="38" t="n"/>
      <c r="P665" s="29" t="n"/>
      <c r="Q665" s="67">
        <f>IF(base!O665&lt;&gt;"",VLOOKUP(O665,de_para!$A$1:$B$31,2,0)*base!P665,0)</f>
        <v/>
      </c>
      <c r="R665" s="38" t="n"/>
      <c r="S665" s="29" t="n"/>
      <c r="T665" s="67">
        <f>IF(base!R665&lt;&gt;"",VLOOKUP(R665,de_para!$A$1:$B$31,2,0)*base!S665,0)</f>
        <v/>
      </c>
      <c r="U665" s="68">
        <f>H665+K665+N665+Q665+T665</f>
        <v/>
      </c>
    </row>
    <row r="666">
      <c r="A666" s="29" t="n"/>
      <c r="B666" s="29" t="n"/>
      <c r="C666" s="29" t="n"/>
      <c r="D666" s="29" t="n"/>
      <c r="E666" s="29" t="n"/>
      <c r="F666" s="29" t="n"/>
      <c r="G666" s="29" t="n"/>
      <c r="H666" s="67">
        <f>IF(base!F666&lt;&gt;"",VLOOKUP(F666,de_para!$A$1:$B$31,2,0)*base!G666,0)</f>
        <v/>
      </c>
      <c r="I666" s="38" t="n"/>
      <c r="J666" s="29" t="n"/>
      <c r="K666" s="67">
        <f>IF(base!I666&lt;&gt;"",VLOOKUP(I666,de_para!$A$1:$B$31,2,0)*base!J666,0)</f>
        <v/>
      </c>
      <c r="L666" s="38" t="n"/>
      <c r="M666" s="29" t="n"/>
      <c r="N666" s="67">
        <f>IF(base!L666&lt;&gt;"",VLOOKUP(L666,de_para!$A$1:$B$31,2,0)*base!M666,0)</f>
        <v/>
      </c>
      <c r="O666" s="38" t="n"/>
      <c r="P666" s="29" t="n"/>
      <c r="Q666" s="67">
        <f>IF(base!O666&lt;&gt;"",VLOOKUP(O666,de_para!$A$1:$B$31,2,0)*base!P666,0)</f>
        <v/>
      </c>
      <c r="R666" s="38" t="n"/>
      <c r="S666" s="29" t="n"/>
      <c r="T666" s="67">
        <f>IF(base!R666&lt;&gt;"",VLOOKUP(R666,de_para!$A$1:$B$31,2,0)*base!S666,0)</f>
        <v/>
      </c>
      <c r="U666" s="68">
        <f>H666+K666+N666+Q666+T666</f>
        <v/>
      </c>
    </row>
    <row r="667">
      <c r="A667" s="29" t="n"/>
      <c r="B667" s="29" t="n"/>
      <c r="C667" s="29" t="n"/>
      <c r="D667" s="29" t="n"/>
      <c r="E667" s="29" t="n"/>
      <c r="F667" s="29" t="n"/>
      <c r="G667" s="29" t="n"/>
      <c r="H667" s="67">
        <f>IF(base!F667&lt;&gt;"",VLOOKUP(F667,de_para!$A$1:$B$31,2,0)*base!G667,0)</f>
        <v/>
      </c>
      <c r="I667" s="38" t="n"/>
      <c r="J667" s="29" t="n"/>
      <c r="K667" s="67">
        <f>IF(base!I667&lt;&gt;"",VLOOKUP(I667,de_para!$A$1:$B$31,2,0)*base!J667,0)</f>
        <v/>
      </c>
      <c r="L667" s="38" t="n"/>
      <c r="M667" s="29" t="n"/>
      <c r="N667" s="67">
        <f>IF(base!L667&lt;&gt;"",VLOOKUP(L667,de_para!$A$1:$B$31,2,0)*base!M667,0)</f>
        <v/>
      </c>
      <c r="O667" s="38" t="n"/>
      <c r="P667" s="29" t="n"/>
      <c r="Q667" s="67">
        <f>IF(base!O667&lt;&gt;"",VLOOKUP(O667,de_para!$A$1:$B$31,2,0)*base!P667,0)</f>
        <v/>
      </c>
      <c r="R667" s="38" t="n"/>
      <c r="S667" s="29" t="n"/>
      <c r="T667" s="67">
        <f>IF(base!R667&lt;&gt;"",VLOOKUP(R667,de_para!$A$1:$B$31,2,0)*base!S667,0)</f>
        <v/>
      </c>
      <c r="U667" s="68">
        <f>H667+K667+N667+Q667+T667</f>
        <v/>
      </c>
    </row>
    <row r="668">
      <c r="A668" s="29" t="n"/>
      <c r="B668" s="29" t="n"/>
      <c r="C668" s="29" t="n"/>
      <c r="D668" s="29" t="n"/>
      <c r="E668" s="29" t="n"/>
      <c r="F668" s="29" t="n"/>
      <c r="G668" s="29" t="n"/>
      <c r="H668" s="67">
        <f>IF(base!F668&lt;&gt;"",VLOOKUP(F668,de_para!$A$1:$B$31,2,0)*base!G668,0)</f>
        <v/>
      </c>
      <c r="I668" s="38" t="n"/>
      <c r="J668" s="29" t="n"/>
      <c r="K668" s="67">
        <f>IF(base!I668&lt;&gt;"",VLOOKUP(I668,de_para!$A$1:$B$31,2,0)*base!J668,0)</f>
        <v/>
      </c>
      <c r="L668" s="38" t="n"/>
      <c r="M668" s="29" t="n"/>
      <c r="N668" s="67">
        <f>IF(base!L668&lt;&gt;"",VLOOKUP(L668,de_para!$A$1:$B$31,2,0)*base!M668,0)</f>
        <v/>
      </c>
      <c r="O668" s="38" t="n"/>
      <c r="P668" s="29" t="n"/>
      <c r="Q668" s="67">
        <f>IF(base!O668&lt;&gt;"",VLOOKUP(O668,de_para!$A$1:$B$31,2,0)*base!P668,0)</f>
        <v/>
      </c>
      <c r="R668" s="38" t="n"/>
      <c r="S668" s="29" t="n"/>
      <c r="T668" s="67">
        <f>IF(base!R668&lt;&gt;"",VLOOKUP(R668,de_para!$A$1:$B$31,2,0)*base!S668,0)</f>
        <v/>
      </c>
      <c r="U668" s="68">
        <f>H668+K668+N668+Q668+T668</f>
        <v/>
      </c>
    </row>
    <row r="669">
      <c r="A669" s="29" t="n"/>
      <c r="B669" s="29" t="n"/>
      <c r="C669" s="29" t="n"/>
      <c r="D669" s="29" t="n"/>
      <c r="E669" s="29" t="n"/>
      <c r="F669" s="29" t="n"/>
      <c r="G669" s="29" t="n"/>
      <c r="H669" s="67">
        <f>IF(base!F669&lt;&gt;"",VLOOKUP(F669,de_para!$A$1:$B$31,2,0)*base!G669,0)</f>
        <v/>
      </c>
      <c r="I669" s="38" t="n"/>
      <c r="J669" s="29" t="n"/>
      <c r="K669" s="67">
        <f>IF(base!I669&lt;&gt;"",VLOOKUP(I669,de_para!$A$1:$B$31,2,0)*base!J669,0)</f>
        <v/>
      </c>
      <c r="L669" s="38" t="n"/>
      <c r="M669" s="29" t="n"/>
      <c r="N669" s="67">
        <f>IF(base!L669&lt;&gt;"",VLOOKUP(L669,de_para!$A$1:$B$31,2,0)*base!M669,0)</f>
        <v/>
      </c>
      <c r="O669" s="38" t="n"/>
      <c r="P669" s="29" t="n"/>
      <c r="Q669" s="67">
        <f>IF(base!O669&lt;&gt;"",VLOOKUP(O669,de_para!$A$1:$B$31,2,0)*base!P669,0)</f>
        <v/>
      </c>
      <c r="R669" s="38" t="n"/>
      <c r="S669" s="29" t="n"/>
      <c r="T669" s="67">
        <f>IF(base!R669&lt;&gt;"",VLOOKUP(R669,de_para!$A$1:$B$31,2,0)*base!S669,0)</f>
        <v/>
      </c>
      <c r="U669" s="68">
        <f>H669+K669+N669+Q669+T669</f>
        <v/>
      </c>
    </row>
    <row r="670">
      <c r="A670" s="29" t="n"/>
      <c r="B670" s="29" t="n"/>
      <c r="C670" s="29" t="n"/>
      <c r="D670" s="29" t="n"/>
      <c r="E670" s="29" t="n"/>
      <c r="F670" s="29" t="n"/>
      <c r="G670" s="29" t="n"/>
      <c r="H670" s="67">
        <f>IF(base!F670&lt;&gt;"",VLOOKUP(F670,de_para!$A$1:$B$31,2,0)*base!G670,0)</f>
        <v/>
      </c>
      <c r="I670" s="38" t="n"/>
      <c r="J670" s="29" t="n"/>
      <c r="K670" s="67">
        <f>IF(base!I670&lt;&gt;"",VLOOKUP(I670,de_para!$A$1:$B$31,2,0)*base!J670,0)</f>
        <v/>
      </c>
      <c r="L670" s="38" t="n"/>
      <c r="M670" s="29" t="n"/>
      <c r="N670" s="67">
        <f>IF(base!L670&lt;&gt;"",VLOOKUP(L670,de_para!$A$1:$B$31,2,0)*base!M670,0)</f>
        <v/>
      </c>
      <c r="O670" s="38" t="n"/>
      <c r="P670" s="29" t="n"/>
      <c r="Q670" s="67">
        <f>IF(base!O670&lt;&gt;"",VLOOKUP(O670,de_para!$A$1:$B$31,2,0)*base!P670,0)</f>
        <v/>
      </c>
      <c r="R670" s="38" t="n"/>
      <c r="S670" s="29" t="n"/>
      <c r="T670" s="67">
        <f>IF(base!R670&lt;&gt;"",VLOOKUP(R670,de_para!$A$1:$B$31,2,0)*base!S670,0)</f>
        <v/>
      </c>
      <c r="U670" s="68">
        <f>H670+K670+N670+Q670+T670</f>
        <v/>
      </c>
    </row>
    <row r="671">
      <c r="A671" s="29" t="n"/>
      <c r="B671" s="29" t="n"/>
      <c r="C671" s="29" t="n"/>
      <c r="D671" s="29" t="n"/>
      <c r="E671" s="29" t="n"/>
      <c r="F671" s="29" t="n"/>
      <c r="G671" s="29" t="n"/>
      <c r="H671" s="67">
        <f>IF(base!F671&lt;&gt;"",VLOOKUP(F671,de_para!$A$1:$B$31,2,0)*base!G671,0)</f>
        <v/>
      </c>
      <c r="I671" s="38" t="n"/>
      <c r="J671" s="29" t="n"/>
      <c r="K671" s="67">
        <f>IF(base!I671&lt;&gt;"",VLOOKUP(I671,de_para!$A$1:$B$31,2,0)*base!J671,0)</f>
        <v/>
      </c>
      <c r="L671" s="38" t="n"/>
      <c r="M671" s="29" t="n"/>
      <c r="N671" s="67">
        <f>IF(base!L671&lt;&gt;"",VLOOKUP(L671,de_para!$A$1:$B$31,2,0)*base!M671,0)</f>
        <v/>
      </c>
      <c r="O671" s="38" t="n"/>
      <c r="P671" s="29" t="n"/>
      <c r="Q671" s="67">
        <f>IF(base!O671&lt;&gt;"",VLOOKUP(O671,de_para!$A$1:$B$31,2,0)*base!P671,0)</f>
        <v/>
      </c>
      <c r="R671" s="38" t="n"/>
      <c r="S671" s="29" t="n"/>
      <c r="T671" s="67">
        <f>IF(base!R671&lt;&gt;"",VLOOKUP(R671,de_para!$A$1:$B$31,2,0)*base!S671,0)</f>
        <v/>
      </c>
      <c r="U671" s="68">
        <f>H671+K671+N671+Q671+T671</f>
        <v/>
      </c>
    </row>
    <row r="672">
      <c r="A672" s="29" t="n"/>
      <c r="B672" s="29" t="n"/>
      <c r="C672" s="29" t="n"/>
      <c r="D672" s="29" t="n"/>
      <c r="E672" s="29" t="n"/>
      <c r="F672" s="29" t="n"/>
      <c r="G672" s="29" t="n"/>
      <c r="H672" s="67">
        <f>IF(base!F672&lt;&gt;"",VLOOKUP(F672,de_para!$A$1:$B$31,2,0)*base!G672,0)</f>
        <v/>
      </c>
      <c r="I672" s="38" t="n"/>
      <c r="J672" s="29" t="n"/>
      <c r="K672" s="67">
        <f>IF(base!I672&lt;&gt;"",VLOOKUP(I672,de_para!$A$1:$B$31,2,0)*base!J672,0)</f>
        <v/>
      </c>
      <c r="L672" s="38" t="n"/>
      <c r="M672" s="29" t="n"/>
      <c r="N672" s="67">
        <f>IF(base!L672&lt;&gt;"",VLOOKUP(L672,de_para!$A$1:$B$31,2,0)*base!M672,0)</f>
        <v/>
      </c>
      <c r="O672" s="38" t="n"/>
      <c r="P672" s="29" t="n"/>
      <c r="Q672" s="67">
        <f>IF(base!O672&lt;&gt;"",VLOOKUP(O672,de_para!$A$1:$B$31,2,0)*base!P672,0)</f>
        <v/>
      </c>
      <c r="R672" s="38" t="n"/>
      <c r="S672" s="29" t="n"/>
      <c r="T672" s="67">
        <f>IF(base!R672&lt;&gt;"",VLOOKUP(R672,de_para!$A$1:$B$31,2,0)*base!S672,0)</f>
        <v/>
      </c>
      <c r="U672" s="68">
        <f>H672+K672+N672+Q672+T672</f>
        <v/>
      </c>
    </row>
    <row r="673">
      <c r="A673" s="29" t="n"/>
      <c r="B673" s="29" t="n"/>
      <c r="C673" s="29" t="n"/>
      <c r="D673" s="29" t="n"/>
      <c r="E673" s="29" t="n"/>
      <c r="F673" s="29" t="n"/>
      <c r="G673" s="29" t="n"/>
      <c r="H673" s="67">
        <f>IF(base!F673&lt;&gt;"",VLOOKUP(F673,de_para!$A$1:$B$31,2,0)*base!G673,0)</f>
        <v/>
      </c>
      <c r="I673" s="38" t="n"/>
      <c r="J673" s="29" t="n"/>
      <c r="K673" s="67">
        <f>IF(base!I673&lt;&gt;"",VLOOKUP(I673,de_para!$A$1:$B$31,2,0)*base!J673,0)</f>
        <v/>
      </c>
      <c r="L673" s="38" t="n"/>
      <c r="M673" s="29" t="n"/>
      <c r="N673" s="67">
        <f>IF(base!L673&lt;&gt;"",VLOOKUP(L673,de_para!$A$1:$B$31,2,0)*base!M673,0)</f>
        <v/>
      </c>
      <c r="O673" s="38" t="n"/>
      <c r="P673" s="29" t="n"/>
      <c r="Q673" s="67">
        <f>IF(base!O673&lt;&gt;"",VLOOKUP(O673,de_para!$A$1:$B$31,2,0)*base!P673,0)</f>
        <v/>
      </c>
      <c r="R673" s="38" t="n"/>
      <c r="S673" s="29" t="n"/>
      <c r="T673" s="67">
        <f>IF(base!R673&lt;&gt;"",VLOOKUP(R673,de_para!$A$1:$B$31,2,0)*base!S673,0)</f>
        <v/>
      </c>
      <c r="U673" s="68">
        <f>H673+K673+N673+Q673+T673</f>
        <v/>
      </c>
    </row>
    <row r="674">
      <c r="A674" s="29" t="n"/>
      <c r="B674" s="29" t="n"/>
      <c r="C674" s="29" t="n"/>
      <c r="D674" s="29" t="n"/>
      <c r="E674" s="29" t="n"/>
      <c r="F674" s="29" t="n"/>
      <c r="G674" s="29" t="n"/>
      <c r="H674" s="67">
        <f>IF(base!F674&lt;&gt;"",VLOOKUP(F674,de_para!$A$1:$B$31,2,0)*base!G674,0)</f>
        <v/>
      </c>
      <c r="I674" s="38" t="n"/>
      <c r="J674" s="29" t="n"/>
      <c r="K674" s="67">
        <f>IF(base!I674&lt;&gt;"",VLOOKUP(I674,de_para!$A$1:$B$31,2,0)*base!J674,0)</f>
        <v/>
      </c>
      <c r="L674" s="38" t="n"/>
      <c r="M674" s="29" t="n"/>
      <c r="N674" s="67">
        <f>IF(base!L674&lt;&gt;"",VLOOKUP(L674,de_para!$A$1:$B$31,2,0)*base!M674,0)</f>
        <v/>
      </c>
      <c r="O674" s="38" t="n"/>
      <c r="P674" s="29" t="n"/>
      <c r="Q674" s="67">
        <f>IF(base!O674&lt;&gt;"",VLOOKUP(O674,de_para!$A$1:$B$31,2,0)*base!P674,0)</f>
        <v/>
      </c>
      <c r="R674" s="38" t="n"/>
      <c r="S674" s="29" t="n"/>
      <c r="T674" s="67">
        <f>IF(base!R674&lt;&gt;"",VLOOKUP(R674,de_para!$A$1:$B$31,2,0)*base!S674,0)</f>
        <v/>
      </c>
      <c r="U674" s="68">
        <f>H674+K674+N674+Q674+T674</f>
        <v/>
      </c>
    </row>
    <row r="675">
      <c r="A675" s="29" t="n"/>
      <c r="B675" s="29" t="n"/>
      <c r="C675" s="29" t="n"/>
      <c r="D675" s="29" t="n"/>
      <c r="E675" s="29" t="n"/>
      <c r="F675" s="29" t="n"/>
      <c r="G675" s="29" t="n"/>
      <c r="H675" s="67">
        <f>IF(base!F675&lt;&gt;"",VLOOKUP(F675,de_para!$A$1:$B$31,2,0)*base!G675,0)</f>
        <v/>
      </c>
      <c r="I675" s="38" t="n"/>
      <c r="J675" s="29" t="n"/>
      <c r="K675" s="67">
        <f>IF(base!I675&lt;&gt;"",VLOOKUP(I675,de_para!$A$1:$B$31,2,0)*base!J675,0)</f>
        <v/>
      </c>
      <c r="L675" s="38" t="n"/>
      <c r="M675" s="29" t="n"/>
      <c r="N675" s="67">
        <f>IF(base!L675&lt;&gt;"",VLOOKUP(L675,de_para!$A$1:$B$31,2,0)*base!M675,0)</f>
        <v/>
      </c>
      <c r="O675" s="38" t="n"/>
      <c r="P675" s="29" t="n"/>
      <c r="Q675" s="67">
        <f>IF(base!O675&lt;&gt;"",VLOOKUP(O675,de_para!$A$1:$B$31,2,0)*base!P675,0)</f>
        <v/>
      </c>
      <c r="R675" s="38" t="n"/>
      <c r="S675" s="29" t="n"/>
      <c r="T675" s="67">
        <f>IF(base!R675&lt;&gt;"",VLOOKUP(R675,de_para!$A$1:$B$31,2,0)*base!S675,0)</f>
        <v/>
      </c>
      <c r="U675" s="68">
        <f>H675+K675+N675+Q675+T675</f>
        <v/>
      </c>
    </row>
    <row r="676">
      <c r="A676" s="29" t="n"/>
      <c r="B676" s="29" t="n"/>
      <c r="C676" s="29" t="n"/>
      <c r="D676" s="29" t="n"/>
      <c r="E676" s="29" t="n"/>
      <c r="F676" s="29" t="n"/>
      <c r="G676" s="29" t="n"/>
      <c r="H676" s="67">
        <f>IF(base!F676&lt;&gt;"",VLOOKUP(F676,de_para!$A$1:$B$31,2,0)*base!G676,0)</f>
        <v/>
      </c>
      <c r="I676" s="38" t="n"/>
      <c r="J676" s="29" t="n"/>
      <c r="K676" s="67">
        <f>IF(base!I676&lt;&gt;"",VLOOKUP(I676,de_para!$A$1:$B$31,2,0)*base!J676,0)</f>
        <v/>
      </c>
      <c r="L676" s="38" t="n"/>
      <c r="M676" s="29" t="n"/>
      <c r="N676" s="67">
        <f>IF(base!L676&lt;&gt;"",VLOOKUP(L676,de_para!$A$1:$B$31,2,0)*base!M676,0)</f>
        <v/>
      </c>
      <c r="O676" s="38" t="n"/>
      <c r="P676" s="29" t="n"/>
      <c r="Q676" s="67">
        <f>IF(base!O676&lt;&gt;"",VLOOKUP(O676,de_para!$A$1:$B$31,2,0)*base!P676,0)</f>
        <v/>
      </c>
      <c r="R676" s="38" t="n"/>
      <c r="S676" s="29" t="n"/>
      <c r="T676" s="67">
        <f>IF(base!R676&lt;&gt;"",VLOOKUP(R676,de_para!$A$1:$B$31,2,0)*base!S676,0)</f>
        <v/>
      </c>
      <c r="U676" s="68">
        <f>H676+K676+N676+Q676+T676</f>
        <v/>
      </c>
    </row>
    <row r="677">
      <c r="A677" s="29" t="n"/>
      <c r="B677" s="29" t="n"/>
      <c r="C677" s="29" t="n"/>
      <c r="D677" s="29" t="n"/>
      <c r="E677" s="29" t="n"/>
      <c r="F677" s="29" t="n"/>
      <c r="G677" s="29" t="n"/>
      <c r="H677" s="67">
        <f>IF(base!F677&lt;&gt;"",VLOOKUP(F677,de_para!$A$1:$B$31,2,0)*base!G677,0)</f>
        <v/>
      </c>
      <c r="I677" s="38" t="n"/>
      <c r="J677" s="29" t="n"/>
      <c r="K677" s="67">
        <f>IF(base!I677&lt;&gt;"",VLOOKUP(I677,de_para!$A$1:$B$31,2,0)*base!J677,0)</f>
        <v/>
      </c>
      <c r="L677" s="38" t="n"/>
      <c r="M677" s="29" t="n"/>
      <c r="N677" s="67">
        <f>IF(base!L677&lt;&gt;"",VLOOKUP(L677,de_para!$A$1:$B$31,2,0)*base!M677,0)</f>
        <v/>
      </c>
      <c r="O677" s="38" t="n"/>
      <c r="P677" s="29" t="n"/>
      <c r="Q677" s="67">
        <f>IF(base!O677&lt;&gt;"",VLOOKUP(O677,de_para!$A$1:$B$31,2,0)*base!P677,0)</f>
        <v/>
      </c>
      <c r="R677" s="38" t="n"/>
      <c r="S677" s="29" t="n"/>
      <c r="T677" s="67">
        <f>IF(base!R677&lt;&gt;"",VLOOKUP(R677,de_para!$A$1:$B$31,2,0)*base!S677,0)</f>
        <v/>
      </c>
      <c r="U677" s="68">
        <f>H677+K677+N677+Q677+T677</f>
        <v/>
      </c>
    </row>
    <row r="678">
      <c r="A678" s="29" t="n"/>
      <c r="B678" s="29" t="n"/>
      <c r="C678" s="29" t="n"/>
      <c r="D678" s="29" t="n"/>
      <c r="E678" s="29" t="n"/>
      <c r="F678" s="29" t="n"/>
      <c r="G678" s="29" t="n"/>
      <c r="H678" s="67">
        <f>IF(base!F678&lt;&gt;"",VLOOKUP(F678,de_para!$A$1:$B$31,2,0)*base!G678,0)</f>
        <v/>
      </c>
      <c r="I678" s="38" t="n"/>
      <c r="J678" s="29" t="n"/>
      <c r="K678" s="67">
        <f>IF(base!I678&lt;&gt;"",VLOOKUP(I678,de_para!$A$1:$B$31,2,0)*base!J678,0)</f>
        <v/>
      </c>
      <c r="L678" s="38" t="n"/>
      <c r="M678" s="29" t="n"/>
      <c r="N678" s="67">
        <f>IF(base!L678&lt;&gt;"",VLOOKUP(L678,de_para!$A$1:$B$31,2,0)*base!M678,0)</f>
        <v/>
      </c>
      <c r="O678" s="38" t="n"/>
      <c r="P678" s="29" t="n"/>
      <c r="Q678" s="67">
        <f>IF(base!O678&lt;&gt;"",VLOOKUP(O678,de_para!$A$1:$B$31,2,0)*base!P678,0)</f>
        <v/>
      </c>
      <c r="R678" s="38" t="n"/>
      <c r="S678" s="29" t="n"/>
      <c r="T678" s="67">
        <f>IF(base!R678&lt;&gt;"",VLOOKUP(R678,de_para!$A$1:$B$31,2,0)*base!S678,0)</f>
        <v/>
      </c>
      <c r="U678" s="68">
        <f>H678+K678+N678+Q678+T678</f>
        <v/>
      </c>
    </row>
    <row r="679">
      <c r="A679" s="29" t="n"/>
      <c r="B679" s="29" t="n"/>
      <c r="C679" s="29" t="n"/>
      <c r="D679" s="29" t="n"/>
      <c r="E679" s="29" t="n"/>
      <c r="F679" s="29" t="n"/>
      <c r="G679" s="29" t="n"/>
      <c r="H679" s="67">
        <f>IF(base!F679&lt;&gt;"",VLOOKUP(F679,de_para!$A$1:$B$31,2,0)*base!G679,0)</f>
        <v/>
      </c>
      <c r="I679" s="38" t="n"/>
      <c r="J679" s="29" t="n"/>
      <c r="K679" s="67">
        <f>IF(base!I679&lt;&gt;"",VLOOKUP(I679,de_para!$A$1:$B$31,2,0)*base!J679,0)</f>
        <v/>
      </c>
      <c r="L679" s="38" t="n"/>
      <c r="M679" s="29" t="n"/>
      <c r="N679" s="67">
        <f>IF(base!L679&lt;&gt;"",VLOOKUP(L679,de_para!$A$1:$B$31,2,0)*base!M679,0)</f>
        <v/>
      </c>
      <c r="O679" s="38" t="n"/>
      <c r="P679" s="29" t="n"/>
      <c r="Q679" s="67">
        <f>IF(base!O679&lt;&gt;"",VLOOKUP(O679,de_para!$A$1:$B$31,2,0)*base!P679,0)</f>
        <v/>
      </c>
      <c r="R679" s="38" t="n"/>
      <c r="S679" s="29" t="n"/>
      <c r="T679" s="67">
        <f>IF(base!R679&lt;&gt;"",VLOOKUP(R679,de_para!$A$1:$B$31,2,0)*base!S679,0)</f>
        <v/>
      </c>
      <c r="U679" s="68">
        <f>H679+K679+N679+Q679+T679</f>
        <v/>
      </c>
    </row>
    <row r="680">
      <c r="A680" s="29" t="n"/>
      <c r="B680" s="29" t="n"/>
      <c r="C680" s="29" t="n"/>
      <c r="D680" s="29" t="n"/>
      <c r="E680" s="29" t="n"/>
      <c r="F680" s="29" t="n"/>
      <c r="G680" s="29" t="n"/>
      <c r="H680" s="67">
        <f>IF(base!F680&lt;&gt;"",VLOOKUP(F680,de_para!$A$1:$B$31,2,0)*base!G680,0)</f>
        <v/>
      </c>
      <c r="I680" s="38" t="n"/>
      <c r="J680" s="29" t="n"/>
      <c r="K680" s="67">
        <f>IF(base!I680&lt;&gt;"",VLOOKUP(I680,de_para!$A$1:$B$31,2,0)*base!J680,0)</f>
        <v/>
      </c>
      <c r="L680" s="38" t="n"/>
      <c r="M680" s="29" t="n"/>
      <c r="N680" s="67">
        <f>IF(base!L680&lt;&gt;"",VLOOKUP(L680,de_para!$A$1:$B$31,2,0)*base!M680,0)</f>
        <v/>
      </c>
      <c r="O680" s="38" t="n"/>
      <c r="P680" s="29" t="n"/>
      <c r="Q680" s="67">
        <f>IF(base!O680&lt;&gt;"",VLOOKUP(O680,de_para!$A$1:$B$31,2,0)*base!P680,0)</f>
        <v/>
      </c>
      <c r="R680" s="38" t="n"/>
      <c r="S680" s="29" t="n"/>
      <c r="T680" s="67">
        <f>IF(base!R680&lt;&gt;"",VLOOKUP(R680,de_para!$A$1:$B$31,2,0)*base!S680,0)</f>
        <v/>
      </c>
      <c r="U680" s="68">
        <f>H680+K680+N680+Q680+T680</f>
        <v/>
      </c>
    </row>
    <row r="681">
      <c r="A681" s="29" t="n"/>
      <c r="B681" s="29" t="n"/>
      <c r="C681" s="29" t="n"/>
      <c r="D681" s="29" t="n"/>
      <c r="E681" s="29" t="n"/>
      <c r="F681" s="29" t="n"/>
      <c r="G681" s="29" t="n"/>
      <c r="H681" s="67">
        <f>IF(base!F681&lt;&gt;"",VLOOKUP(F681,de_para!$A$1:$B$31,2,0)*base!G681,0)</f>
        <v/>
      </c>
      <c r="I681" s="38" t="n"/>
      <c r="J681" s="29" t="n"/>
      <c r="K681" s="67">
        <f>IF(base!I681&lt;&gt;"",VLOOKUP(I681,de_para!$A$1:$B$31,2,0)*base!J681,0)</f>
        <v/>
      </c>
      <c r="L681" s="38" t="n"/>
      <c r="M681" s="29" t="n"/>
      <c r="N681" s="67">
        <f>IF(base!L681&lt;&gt;"",VLOOKUP(L681,de_para!$A$1:$B$31,2,0)*base!M681,0)</f>
        <v/>
      </c>
      <c r="O681" s="38" t="n"/>
      <c r="P681" s="29" t="n"/>
      <c r="Q681" s="67">
        <f>IF(base!O681&lt;&gt;"",VLOOKUP(O681,de_para!$A$1:$B$31,2,0)*base!P681,0)</f>
        <v/>
      </c>
      <c r="R681" s="38" t="n"/>
      <c r="S681" s="29" t="n"/>
      <c r="T681" s="67">
        <f>IF(base!R681&lt;&gt;"",VLOOKUP(R681,de_para!$A$1:$B$31,2,0)*base!S681,0)</f>
        <v/>
      </c>
      <c r="U681" s="68">
        <f>H681+K681+N681+Q681+T681</f>
        <v/>
      </c>
    </row>
    <row r="682">
      <c r="A682" s="29" t="n"/>
      <c r="B682" s="29" t="n"/>
      <c r="C682" s="29" t="n"/>
      <c r="D682" s="29" t="n"/>
      <c r="E682" s="29" t="n"/>
      <c r="F682" s="29" t="n"/>
      <c r="G682" s="29" t="n"/>
      <c r="H682" s="67">
        <f>IF(base!F682&lt;&gt;"",VLOOKUP(F682,de_para!$A$1:$B$31,2,0)*base!G682,0)</f>
        <v/>
      </c>
      <c r="I682" s="38" t="n"/>
      <c r="J682" s="29" t="n"/>
      <c r="K682" s="67">
        <f>IF(base!I682&lt;&gt;"",VLOOKUP(I682,de_para!$A$1:$B$31,2,0)*base!J682,0)</f>
        <v/>
      </c>
      <c r="L682" s="38" t="n"/>
      <c r="M682" s="29" t="n"/>
      <c r="N682" s="67">
        <f>IF(base!L682&lt;&gt;"",VLOOKUP(L682,de_para!$A$1:$B$31,2,0)*base!M682,0)</f>
        <v/>
      </c>
      <c r="O682" s="38" t="n"/>
      <c r="P682" s="29" t="n"/>
      <c r="Q682" s="67">
        <f>IF(base!O682&lt;&gt;"",VLOOKUP(O682,de_para!$A$1:$B$31,2,0)*base!P682,0)</f>
        <v/>
      </c>
      <c r="R682" s="38" t="n"/>
      <c r="S682" s="29" t="n"/>
      <c r="T682" s="67">
        <f>IF(base!R682&lt;&gt;"",VLOOKUP(R682,de_para!$A$1:$B$31,2,0)*base!S682,0)</f>
        <v/>
      </c>
      <c r="U682" s="68">
        <f>H682+K682+N682+Q682+T682</f>
        <v/>
      </c>
    </row>
    <row r="683">
      <c r="A683" s="29" t="n"/>
      <c r="B683" s="29" t="n"/>
      <c r="C683" s="29" t="n"/>
      <c r="D683" s="29" t="n"/>
      <c r="E683" s="29" t="n"/>
      <c r="F683" s="29" t="n"/>
      <c r="G683" s="29" t="n"/>
      <c r="H683" s="67">
        <f>IF(base!F683&lt;&gt;"",VLOOKUP(F683,de_para!$A$1:$B$31,2,0)*base!G683,0)</f>
        <v/>
      </c>
      <c r="I683" s="38" t="n"/>
      <c r="J683" s="29" t="n"/>
      <c r="K683" s="67">
        <f>IF(base!I683&lt;&gt;"",VLOOKUP(I683,de_para!$A$1:$B$31,2,0)*base!J683,0)</f>
        <v/>
      </c>
      <c r="L683" s="38" t="n"/>
      <c r="M683" s="29" t="n"/>
      <c r="N683" s="67">
        <f>IF(base!L683&lt;&gt;"",VLOOKUP(L683,de_para!$A$1:$B$31,2,0)*base!M683,0)</f>
        <v/>
      </c>
      <c r="O683" s="38" t="n"/>
      <c r="P683" s="29" t="n"/>
      <c r="Q683" s="67">
        <f>IF(base!O683&lt;&gt;"",VLOOKUP(O683,de_para!$A$1:$B$31,2,0)*base!P683,0)</f>
        <v/>
      </c>
      <c r="R683" s="38" t="n"/>
      <c r="S683" s="29" t="n"/>
      <c r="T683" s="67">
        <f>IF(base!R683&lt;&gt;"",VLOOKUP(R683,de_para!$A$1:$B$31,2,0)*base!S683,0)</f>
        <v/>
      </c>
      <c r="U683" s="68">
        <f>H683+K683+N683+Q683+T683</f>
        <v/>
      </c>
    </row>
    <row r="684">
      <c r="A684" s="29" t="n"/>
      <c r="B684" s="29" t="n"/>
      <c r="C684" s="29" t="n"/>
      <c r="D684" s="29" t="n"/>
      <c r="E684" s="29" t="n"/>
      <c r="F684" s="29" t="n"/>
      <c r="G684" s="29" t="n"/>
      <c r="H684" s="67">
        <f>IF(base!F684&lt;&gt;"",VLOOKUP(F684,de_para!$A$1:$B$31,2,0)*base!G684,0)</f>
        <v/>
      </c>
      <c r="I684" s="38" t="n"/>
      <c r="J684" s="29" t="n"/>
      <c r="K684" s="67">
        <f>IF(base!I684&lt;&gt;"",VLOOKUP(I684,de_para!$A$1:$B$31,2,0)*base!J684,0)</f>
        <v/>
      </c>
      <c r="L684" s="38" t="n"/>
      <c r="M684" s="29" t="n"/>
      <c r="N684" s="67">
        <f>IF(base!L684&lt;&gt;"",VLOOKUP(L684,de_para!$A$1:$B$31,2,0)*base!M684,0)</f>
        <v/>
      </c>
      <c r="O684" s="38" t="n"/>
      <c r="P684" s="29" t="n"/>
      <c r="Q684" s="67">
        <f>IF(base!O684&lt;&gt;"",VLOOKUP(O684,de_para!$A$1:$B$31,2,0)*base!P684,0)</f>
        <v/>
      </c>
      <c r="R684" s="38" t="n"/>
      <c r="S684" s="29" t="n"/>
      <c r="T684" s="67">
        <f>IF(base!R684&lt;&gt;"",VLOOKUP(R684,de_para!$A$1:$B$31,2,0)*base!S684,0)</f>
        <v/>
      </c>
      <c r="U684" s="68">
        <f>H684+K684+N684+Q684+T684</f>
        <v/>
      </c>
    </row>
    <row r="685">
      <c r="A685" s="29" t="n"/>
      <c r="B685" s="29" t="n"/>
      <c r="C685" s="29" t="n"/>
      <c r="D685" s="29" t="n"/>
      <c r="E685" s="29" t="n"/>
      <c r="F685" s="29" t="n"/>
      <c r="G685" s="29" t="n"/>
      <c r="H685" s="67">
        <f>IF(base!F685&lt;&gt;"",VLOOKUP(F685,de_para!$A$1:$B$31,2,0)*base!G685,0)</f>
        <v/>
      </c>
      <c r="I685" s="38" t="n"/>
      <c r="J685" s="29" t="n"/>
      <c r="K685" s="67">
        <f>IF(base!I685&lt;&gt;"",VLOOKUP(I685,de_para!$A$1:$B$31,2,0)*base!J685,0)</f>
        <v/>
      </c>
      <c r="L685" s="38" t="n"/>
      <c r="M685" s="29" t="n"/>
      <c r="N685" s="67">
        <f>IF(base!L685&lt;&gt;"",VLOOKUP(L685,de_para!$A$1:$B$31,2,0)*base!M685,0)</f>
        <v/>
      </c>
      <c r="O685" s="38" t="n"/>
      <c r="P685" s="29" t="n"/>
      <c r="Q685" s="67">
        <f>IF(base!O685&lt;&gt;"",VLOOKUP(O685,de_para!$A$1:$B$31,2,0)*base!P685,0)</f>
        <v/>
      </c>
      <c r="R685" s="38" t="n"/>
      <c r="S685" s="29" t="n"/>
      <c r="T685" s="67">
        <f>IF(base!R685&lt;&gt;"",VLOOKUP(R685,de_para!$A$1:$B$31,2,0)*base!S685,0)</f>
        <v/>
      </c>
      <c r="U685" s="68">
        <f>H685+K685+N685+Q685+T685</f>
        <v/>
      </c>
    </row>
    <row r="686">
      <c r="A686" s="29" t="n"/>
      <c r="B686" s="29" t="n"/>
      <c r="C686" s="29" t="n"/>
      <c r="D686" s="29" t="n"/>
      <c r="E686" s="29" t="n"/>
      <c r="F686" s="29" t="n"/>
      <c r="G686" s="29" t="n"/>
      <c r="H686" s="67">
        <f>IF(base!F686&lt;&gt;"",VLOOKUP(F686,de_para!$A$1:$B$31,2,0)*base!G686,0)</f>
        <v/>
      </c>
      <c r="I686" s="38" t="n"/>
      <c r="J686" s="29" t="n"/>
      <c r="K686" s="67">
        <f>IF(base!I686&lt;&gt;"",VLOOKUP(I686,de_para!$A$1:$B$31,2,0)*base!J686,0)</f>
        <v/>
      </c>
      <c r="L686" s="38" t="n"/>
      <c r="M686" s="29" t="n"/>
      <c r="N686" s="67">
        <f>IF(base!L686&lt;&gt;"",VLOOKUP(L686,de_para!$A$1:$B$31,2,0)*base!M686,0)</f>
        <v/>
      </c>
      <c r="O686" s="38" t="n"/>
      <c r="P686" s="29" t="n"/>
      <c r="Q686" s="67">
        <f>IF(base!O686&lt;&gt;"",VLOOKUP(O686,de_para!$A$1:$B$31,2,0)*base!P686,0)</f>
        <v/>
      </c>
      <c r="R686" s="38" t="n"/>
      <c r="S686" s="29" t="n"/>
      <c r="T686" s="67">
        <f>IF(base!R686&lt;&gt;"",VLOOKUP(R686,de_para!$A$1:$B$31,2,0)*base!S686,0)</f>
        <v/>
      </c>
      <c r="U686" s="68">
        <f>H686+K686+N686+Q686+T686</f>
        <v/>
      </c>
    </row>
    <row r="687">
      <c r="A687" s="29" t="n"/>
      <c r="B687" s="29" t="n"/>
      <c r="C687" s="29" t="n"/>
      <c r="D687" s="29" t="n"/>
      <c r="E687" s="29" t="n"/>
      <c r="F687" s="29" t="n"/>
      <c r="G687" s="29" t="n"/>
      <c r="H687" s="67">
        <f>IF(base!F687&lt;&gt;"",VLOOKUP(F687,de_para!$A$1:$B$31,2,0)*base!G687,0)</f>
        <v/>
      </c>
      <c r="I687" s="38" t="n"/>
      <c r="J687" s="29" t="n"/>
      <c r="K687" s="67">
        <f>IF(base!I687&lt;&gt;"",VLOOKUP(I687,de_para!$A$1:$B$31,2,0)*base!J687,0)</f>
        <v/>
      </c>
      <c r="L687" s="38" t="n"/>
      <c r="M687" s="29" t="n"/>
      <c r="N687" s="67">
        <f>IF(base!L687&lt;&gt;"",VLOOKUP(L687,de_para!$A$1:$B$31,2,0)*base!M687,0)</f>
        <v/>
      </c>
      <c r="O687" s="38" t="n"/>
      <c r="P687" s="29" t="n"/>
      <c r="Q687" s="67">
        <f>IF(base!O687&lt;&gt;"",VLOOKUP(O687,de_para!$A$1:$B$31,2,0)*base!P687,0)</f>
        <v/>
      </c>
      <c r="R687" s="38" t="n"/>
      <c r="S687" s="29" t="n"/>
      <c r="T687" s="67">
        <f>IF(base!R687&lt;&gt;"",VLOOKUP(R687,de_para!$A$1:$B$31,2,0)*base!S687,0)</f>
        <v/>
      </c>
      <c r="U687" s="68">
        <f>H687+K687+N687+Q687+T687</f>
        <v/>
      </c>
    </row>
    <row r="688">
      <c r="A688" s="29" t="n"/>
      <c r="B688" s="29" t="n"/>
      <c r="C688" s="29" t="n"/>
      <c r="D688" s="29" t="n"/>
      <c r="E688" s="29" t="n"/>
      <c r="F688" s="29" t="n"/>
      <c r="G688" s="29" t="n"/>
      <c r="H688" s="67">
        <f>IF(base!F688&lt;&gt;"",VLOOKUP(F688,de_para!$A$1:$B$31,2,0)*base!G688,0)</f>
        <v/>
      </c>
      <c r="I688" s="38" t="n"/>
      <c r="J688" s="29" t="n"/>
      <c r="K688" s="67">
        <f>IF(base!I688&lt;&gt;"",VLOOKUP(I688,de_para!$A$1:$B$31,2,0)*base!J688,0)</f>
        <v/>
      </c>
      <c r="L688" s="38" t="n"/>
      <c r="M688" s="29" t="n"/>
      <c r="N688" s="67">
        <f>IF(base!L688&lt;&gt;"",VLOOKUP(L688,de_para!$A$1:$B$31,2,0)*base!M688,0)</f>
        <v/>
      </c>
      <c r="O688" s="38" t="n"/>
      <c r="P688" s="29" t="n"/>
      <c r="Q688" s="67">
        <f>IF(base!O688&lt;&gt;"",VLOOKUP(O688,de_para!$A$1:$B$31,2,0)*base!P688,0)</f>
        <v/>
      </c>
      <c r="R688" s="38" t="n"/>
      <c r="S688" s="29" t="n"/>
      <c r="T688" s="67">
        <f>IF(base!R688&lt;&gt;"",VLOOKUP(R688,de_para!$A$1:$B$31,2,0)*base!S688,0)</f>
        <v/>
      </c>
      <c r="U688" s="68">
        <f>H688+K688+N688+Q688+T688</f>
        <v/>
      </c>
    </row>
    <row r="689">
      <c r="A689" s="29" t="n"/>
      <c r="B689" s="29" t="n"/>
      <c r="C689" s="29" t="n"/>
      <c r="D689" s="29" t="n"/>
      <c r="E689" s="29" t="n"/>
      <c r="F689" s="29" t="n"/>
      <c r="G689" s="29" t="n"/>
      <c r="H689" s="67">
        <f>IF(base!F689&lt;&gt;"",VLOOKUP(F689,de_para!$A$1:$B$31,2,0)*base!G689,0)</f>
        <v/>
      </c>
      <c r="I689" s="38" t="n"/>
      <c r="J689" s="29" t="n"/>
      <c r="K689" s="67">
        <f>IF(base!I689&lt;&gt;"",VLOOKUP(I689,de_para!$A$1:$B$31,2,0)*base!J689,0)</f>
        <v/>
      </c>
      <c r="L689" s="38" t="n"/>
      <c r="M689" s="29" t="n"/>
      <c r="N689" s="67">
        <f>IF(base!L689&lt;&gt;"",VLOOKUP(L689,de_para!$A$1:$B$31,2,0)*base!M689,0)</f>
        <v/>
      </c>
      <c r="O689" s="38" t="n"/>
      <c r="P689" s="29" t="n"/>
      <c r="Q689" s="67">
        <f>IF(base!O689&lt;&gt;"",VLOOKUP(O689,de_para!$A$1:$B$31,2,0)*base!P689,0)</f>
        <v/>
      </c>
      <c r="R689" s="38" t="n"/>
      <c r="S689" s="29" t="n"/>
      <c r="T689" s="67">
        <f>IF(base!R689&lt;&gt;"",VLOOKUP(R689,de_para!$A$1:$B$31,2,0)*base!S689,0)</f>
        <v/>
      </c>
      <c r="U689" s="68">
        <f>H689+K689+N689+Q689+T689</f>
        <v/>
      </c>
    </row>
    <row r="690">
      <c r="A690" s="29" t="n"/>
      <c r="B690" s="29" t="n"/>
      <c r="C690" s="29" t="n"/>
      <c r="D690" s="29" t="n"/>
      <c r="E690" s="29" t="n"/>
      <c r="F690" s="29" t="n"/>
      <c r="G690" s="29" t="n"/>
      <c r="H690" s="67">
        <f>IF(base!F690&lt;&gt;"",VLOOKUP(F690,de_para!$A$1:$B$31,2,0)*base!G690,0)</f>
        <v/>
      </c>
      <c r="I690" s="38" t="n"/>
      <c r="J690" s="29" t="n"/>
      <c r="K690" s="67">
        <f>IF(base!I690&lt;&gt;"",VLOOKUP(I690,de_para!$A$1:$B$31,2,0)*base!J690,0)</f>
        <v/>
      </c>
      <c r="L690" s="38" t="n"/>
      <c r="M690" s="29" t="n"/>
      <c r="N690" s="67">
        <f>IF(base!L690&lt;&gt;"",VLOOKUP(L690,de_para!$A$1:$B$31,2,0)*base!M690,0)</f>
        <v/>
      </c>
      <c r="O690" s="38" t="n"/>
      <c r="P690" s="29" t="n"/>
      <c r="Q690" s="67">
        <f>IF(base!O690&lt;&gt;"",VLOOKUP(O690,de_para!$A$1:$B$31,2,0)*base!P690,0)</f>
        <v/>
      </c>
      <c r="R690" s="38" t="n"/>
      <c r="S690" s="29" t="n"/>
      <c r="T690" s="67">
        <f>IF(base!R690&lt;&gt;"",VLOOKUP(R690,de_para!$A$1:$B$31,2,0)*base!S690,0)</f>
        <v/>
      </c>
      <c r="U690" s="68">
        <f>H690+K690+N690+Q690+T690</f>
        <v/>
      </c>
    </row>
    <row r="691">
      <c r="A691" s="29" t="n"/>
      <c r="B691" s="29" t="n"/>
      <c r="C691" s="29" t="n"/>
      <c r="D691" s="29" t="n"/>
      <c r="E691" s="29" t="n"/>
      <c r="F691" s="29" t="n"/>
      <c r="G691" s="29" t="n"/>
      <c r="H691" s="67">
        <f>IF(base!F691&lt;&gt;"",VLOOKUP(F691,de_para!$A$1:$B$31,2,0)*base!G691,0)</f>
        <v/>
      </c>
      <c r="I691" s="38" t="n"/>
      <c r="J691" s="29" t="n"/>
      <c r="K691" s="67">
        <f>IF(base!I691&lt;&gt;"",VLOOKUP(I691,de_para!$A$1:$B$31,2,0)*base!J691,0)</f>
        <v/>
      </c>
      <c r="L691" s="38" t="n"/>
      <c r="M691" s="29" t="n"/>
      <c r="N691" s="67">
        <f>IF(base!L691&lt;&gt;"",VLOOKUP(L691,de_para!$A$1:$B$31,2,0)*base!M691,0)</f>
        <v/>
      </c>
      <c r="O691" s="38" t="n"/>
      <c r="P691" s="29" t="n"/>
      <c r="Q691" s="67">
        <f>IF(base!O691&lt;&gt;"",VLOOKUP(O691,de_para!$A$1:$B$31,2,0)*base!P691,0)</f>
        <v/>
      </c>
      <c r="R691" s="38" t="n"/>
      <c r="S691" s="29" t="n"/>
      <c r="T691" s="67">
        <f>IF(base!R691&lt;&gt;"",VLOOKUP(R691,de_para!$A$1:$B$31,2,0)*base!S691,0)</f>
        <v/>
      </c>
      <c r="U691" s="68">
        <f>H691+K691+N691+Q691+T691</f>
        <v/>
      </c>
    </row>
    <row r="692">
      <c r="A692" s="29" t="n"/>
      <c r="B692" s="29" t="n"/>
      <c r="C692" s="29" t="n"/>
      <c r="D692" s="29" t="n"/>
      <c r="E692" s="29" t="n"/>
      <c r="F692" s="29" t="n"/>
      <c r="G692" s="29" t="n"/>
      <c r="H692" s="67">
        <f>IF(base!F692&lt;&gt;"",VLOOKUP(F692,de_para!$A$1:$B$31,2,0)*base!G692,0)</f>
        <v/>
      </c>
      <c r="I692" s="38" t="n"/>
      <c r="J692" s="29" t="n"/>
      <c r="K692" s="67">
        <f>IF(base!I692&lt;&gt;"",VLOOKUP(I692,de_para!$A$1:$B$31,2,0)*base!J692,0)</f>
        <v/>
      </c>
      <c r="L692" s="38" t="n"/>
      <c r="M692" s="29" t="n"/>
      <c r="N692" s="67">
        <f>IF(base!L692&lt;&gt;"",VLOOKUP(L692,de_para!$A$1:$B$31,2,0)*base!M692,0)</f>
        <v/>
      </c>
      <c r="O692" s="38" t="n"/>
      <c r="P692" s="29" t="n"/>
      <c r="Q692" s="67">
        <f>IF(base!O692&lt;&gt;"",VLOOKUP(O692,de_para!$A$1:$B$31,2,0)*base!P692,0)</f>
        <v/>
      </c>
      <c r="R692" s="38" t="n"/>
      <c r="S692" s="29" t="n"/>
      <c r="T692" s="67">
        <f>IF(base!R692&lt;&gt;"",VLOOKUP(R692,de_para!$A$1:$B$31,2,0)*base!S692,0)</f>
        <v/>
      </c>
      <c r="U692" s="68">
        <f>H692+K692+N692+Q692+T692</f>
        <v/>
      </c>
    </row>
    <row r="693">
      <c r="A693" s="29" t="n"/>
      <c r="B693" s="29" t="n"/>
      <c r="C693" s="29" t="n"/>
      <c r="D693" s="29" t="n"/>
      <c r="E693" s="29" t="n"/>
      <c r="F693" s="29" t="n"/>
      <c r="G693" s="29" t="n"/>
      <c r="H693" s="67">
        <f>IF(base!F693&lt;&gt;"",VLOOKUP(F693,de_para!$A$1:$B$31,2,0)*base!G693,0)</f>
        <v/>
      </c>
      <c r="I693" s="38" t="n"/>
      <c r="J693" s="29" t="n"/>
      <c r="K693" s="67">
        <f>IF(base!I693&lt;&gt;"",VLOOKUP(I693,de_para!$A$1:$B$31,2,0)*base!J693,0)</f>
        <v/>
      </c>
      <c r="L693" s="38" t="n"/>
      <c r="M693" s="29" t="n"/>
      <c r="N693" s="67">
        <f>IF(base!L693&lt;&gt;"",VLOOKUP(L693,de_para!$A$1:$B$31,2,0)*base!M693,0)</f>
        <v/>
      </c>
      <c r="O693" s="38" t="n"/>
      <c r="P693" s="29" t="n"/>
      <c r="Q693" s="67">
        <f>IF(base!O693&lt;&gt;"",VLOOKUP(O693,de_para!$A$1:$B$31,2,0)*base!P693,0)</f>
        <v/>
      </c>
      <c r="R693" s="38" t="n"/>
      <c r="S693" s="29" t="n"/>
      <c r="T693" s="67">
        <f>IF(base!R693&lt;&gt;"",VLOOKUP(R693,de_para!$A$1:$B$31,2,0)*base!S693,0)</f>
        <v/>
      </c>
      <c r="U693" s="68">
        <f>H693+K693+N693+Q693+T693</f>
        <v/>
      </c>
    </row>
    <row r="694">
      <c r="A694" s="29" t="n"/>
      <c r="B694" s="29" t="n"/>
      <c r="C694" s="29" t="n"/>
      <c r="D694" s="29" t="n"/>
      <c r="E694" s="29" t="n"/>
      <c r="F694" s="29" t="n"/>
      <c r="G694" s="29" t="n"/>
      <c r="H694" s="67">
        <f>IF(base!F694&lt;&gt;"",VLOOKUP(F694,de_para!$A$1:$B$31,2,0)*base!G694,0)</f>
        <v/>
      </c>
      <c r="I694" s="38" t="n"/>
      <c r="J694" s="29" t="n"/>
      <c r="K694" s="67">
        <f>IF(base!I694&lt;&gt;"",VLOOKUP(I694,de_para!$A$1:$B$31,2,0)*base!J694,0)</f>
        <v/>
      </c>
      <c r="L694" s="38" t="n"/>
      <c r="M694" s="29" t="n"/>
      <c r="N694" s="67">
        <f>IF(base!L694&lt;&gt;"",VLOOKUP(L694,de_para!$A$1:$B$31,2,0)*base!M694,0)</f>
        <v/>
      </c>
      <c r="O694" s="38" t="n"/>
      <c r="P694" s="29" t="n"/>
      <c r="Q694" s="67">
        <f>IF(base!O694&lt;&gt;"",VLOOKUP(O694,de_para!$A$1:$B$31,2,0)*base!P694,0)</f>
        <v/>
      </c>
      <c r="R694" s="38" t="n"/>
      <c r="S694" s="29" t="n"/>
      <c r="T694" s="67">
        <f>IF(base!R694&lt;&gt;"",VLOOKUP(R694,de_para!$A$1:$B$31,2,0)*base!S694,0)</f>
        <v/>
      </c>
      <c r="U694" s="68">
        <f>H694+K694+N694+Q694+T694</f>
        <v/>
      </c>
    </row>
    <row r="695">
      <c r="A695" s="29" t="n"/>
      <c r="B695" s="29" t="n"/>
      <c r="C695" s="29" t="n"/>
      <c r="D695" s="29" t="n"/>
      <c r="E695" s="29" t="n"/>
      <c r="F695" s="29" t="n"/>
      <c r="G695" s="29" t="n"/>
      <c r="H695" s="67">
        <f>IF(base!F695&lt;&gt;"",VLOOKUP(F695,de_para!$A$1:$B$31,2,0)*base!G695,0)</f>
        <v/>
      </c>
      <c r="I695" s="38" t="n"/>
      <c r="J695" s="29" t="n"/>
      <c r="K695" s="67">
        <f>IF(base!I695&lt;&gt;"",VLOOKUP(I695,de_para!$A$1:$B$31,2,0)*base!J695,0)</f>
        <v/>
      </c>
      <c r="L695" s="38" t="n"/>
      <c r="M695" s="29" t="n"/>
      <c r="N695" s="67">
        <f>IF(base!L695&lt;&gt;"",VLOOKUP(L695,de_para!$A$1:$B$31,2,0)*base!M695,0)</f>
        <v/>
      </c>
      <c r="O695" s="38" t="n"/>
      <c r="P695" s="29" t="n"/>
      <c r="Q695" s="67">
        <f>IF(base!O695&lt;&gt;"",VLOOKUP(O695,de_para!$A$1:$B$31,2,0)*base!P695,0)</f>
        <v/>
      </c>
      <c r="R695" s="38" t="n"/>
      <c r="S695" s="29" t="n"/>
      <c r="T695" s="67">
        <f>IF(base!R695&lt;&gt;"",VLOOKUP(R695,de_para!$A$1:$B$31,2,0)*base!S695,0)</f>
        <v/>
      </c>
      <c r="U695" s="68">
        <f>H695+K695+N695+Q695+T695</f>
        <v/>
      </c>
    </row>
    <row r="696">
      <c r="A696" s="29" t="n"/>
      <c r="B696" s="29" t="n"/>
      <c r="C696" s="29" t="n"/>
      <c r="D696" s="29" t="n"/>
      <c r="E696" s="29" t="n"/>
      <c r="F696" s="29" t="n"/>
      <c r="G696" s="29" t="n"/>
      <c r="H696" s="67">
        <f>IF(base!F696&lt;&gt;"",VLOOKUP(F696,de_para!$A$1:$B$31,2,0)*base!G696,0)</f>
        <v/>
      </c>
      <c r="I696" s="38" t="n"/>
      <c r="J696" s="29" t="n"/>
      <c r="K696" s="67">
        <f>IF(base!I696&lt;&gt;"",VLOOKUP(I696,de_para!$A$1:$B$31,2,0)*base!J696,0)</f>
        <v/>
      </c>
      <c r="L696" s="38" t="n"/>
      <c r="M696" s="29" t="n"/>
      <c r="N696" s="67">
        <f>IF(base!L696&lt;&gt;"",VLOOKUP(L696,de_para!$A$1:$B$31,2,0)*base!M696,0)</f>
        <v/>
      </c>
      <c r="O696" s="38" t="n"/>
      <c r="P696" s="29" t="n"/>
      <c r="Q696" s="67">
        <f>IF(base!O696&lt;&gt;"",VLOOKUP(O696,de_para!$A$1:$B$31,2,0)*base!P696,0)</f>
        <v/>
      </c>
      <c r="R696" s="38" t="n"/>
      <c r="S696" s="29" t="n"/>
      <c r="T696" s="67">
        <f>IF(base!R696&lt;&gt;"",VLOOKUP(R696,de_para!$A$1:$B$31,2,0)*base!S696,0)</f>
        <v/>
      </c>
      <c r="U696" s="68">
        <f>H696+K696+N696+Q696+T696</f>
        <v/>
      </c>
    </row>
    <row r="697">
      <c r="A697" s="29" t="n"/>
      <c r="B697" s="29" t="n"/>
      <c r="C697" s="29" t="n"/>
      <c r="D697" s="29" t="n"/>
      <c r="E697" s="29" t="n"/>
      <c r="F697" s="29" t="n"/>
      <c r="G697" s="29" t="n"/>
      <c r="H697" s="67">
        <f>IF(base!F697&lt;&gt;"",VLOOKUP(F697,de_para!$A$1:$B$31,2,0)*base!G697,0)</f>
        <v/>
      </c>
      <c r="I697" s="38" t="n"/>
      <c r="J697" s="29" t="n"/>
      <c r="K697" s="67">
        <f>IF(base!I697&lt;&gt;"",VLOOKUP(I697,de_para!$A$1:$B$31,2,0)*base!J697,0)</f>
        <v/>
      </c>
      <c r="L697" s="38" t="n"/>
      <c r="M697" s="29" t="n"/>
      <c r="N697" s="67">
        <f>IF(base!L697&lt;&gt;"",VLOOKUP(L697,de_para!$A$1:$B$31,2,0)*base!M697,0)</f>
        <v/>
      </c>
      <c r="O697" s="38" t="n"/>
      <c r="P697" s="29" t="n"/>
      <c r="Q697" s="67">
        <f>IF(base!O697&lt;&gt;"",VLOOKUP(O697,de_para!$A$1:$B$31,2,0)*base!P697,0)</f>
        <v/>
      </c>
      <c r="R697" s="38" t="n"/>
      <c r="S697" s="29" t="n"/>
      <c r="T697" s="67">
        <f>IF(base!R697&lt;&gt;"",VLOOKUP(R697,de_para!$A$1:$B$31,2,0)*base!S697,0)</f>
        <v/>
      </c>
      <c r="U697" s="68">
        <f>H697+K697+N697+Q697+T697</f>
        <v/>
      </c>
    </row>
    <row r="698">
      <c r="A698" s="29" t="n"/>
      <c r="B698" s="29" t="n"/>
      <c r="C698" s="29" t="n"/>
      <c r="D698" s="29" t="n"/>
      <c r="E698" s="29" t="n"/>
      <c r="F698" s="29" t="n"/>
      <c r="G698" s="29" t="n"/>
      <c r="H698" s="67">
        <f>IF(base!F698&lt;&gt;"",VLOOKUP(F698,de_para!$A$1:$B$31,2,0)*base!G698,0)</f>
        <v/>
      </c>
      <c r="I698" s="38" t="n"/>
      <c r="J698" s="29" t="n"/>
      <c r="K698" s="67">
        <f>IF(base!I698&lt;&gt;"",VLOOKUP(I698,de_para!$A$1:$B$31,2,0)*base!J698,0)</f>
        <v/>
      </c>
      <c r="L698" s="38" t="n"/>
      <c r="M698" s="29" t="n"/>
      <c r="N698" s="67">
        <f>IF(base!L698&lt;&gt;"",VLOOKUP(L698,de_para!$A$1:$B$31,2,0)*base!M698,0)</f>
        <v/>
      </c>
      <c r="O698" s="38" t="n"/>
      <c r="P698" s="29" t="n"/>
      <c r="Q698" s="67">
        <f>IF(base!O698&lt;&gt;"",VLOOKUP(O698,de_para!$A$1:$B$31,2,0)*base!P698,0)</f>
        <v/>
      </c>
      <c r="R698" s="38" t="n"/>
      <c r="S698" s="29" t="n"/>
      <c r="T698" s="67">
        <f>IF(base!R698&lt;&gt;"",VLOOKUP(R698,de_para!$A$1:$B$31,2,0)*base!S698,0)</f>
        <v/>
      </c>
      <c r="U698" s="68">
        <f>H698+K698+N698+Q698+T698</f>
        <v/>
      </c>
    </row>
    <row r="699">
      <c r="A699" s="29" t="n"/>
      <c r="B699" s="29" t="n"/>
      <c r="C699" s="29" t="n"/>
      <c r="D699" s="29" t="n"/>
      <c r="E699" s="29" t="n"/>
      <c r="F699" s="29" t="n"/>
      <c r="G699" s="29" t="n"/>
      <c r="H699" s="67">
        <f>IF(base!F699&lt;&gt;"",VLOOKUP(F699,de_para!$A$1:$B$31,2,0)*base!G699,0)</f>
        <v/>
      </c>
      <c r="I699" s="38" t="n"/>
      <c r="J699" s="29" t="n"/>
      <c r="K699" s="67">
        <f>IF(base!I699&lt;&gt;"",VLOOKUP(I699,de_para!$A$1:$B$31,2,0)*base!J699,0)</f>
        <v/>
      </c>
      <c r="L699" s="38" t="n"/>
      <c r="M699" s="29" t="n"/>
      <c r="N699" s="67">
        <f>IF(base!L699&lt;&gt;"",VLOOKUP(L699,de_para!$A$1:$B$31,2,0)*base!M699,0)</f>
        <v/>
      </c>
      <c r="O699" s="38" t="n"/>
      <c r="P699" s="29" t="n"/>
      <c r="Q699" s="67">
        <f>IF(base!O699&lt;&gt;"",VLOOKUP(O699,de_para!$A$1:$B$31,2,0)*base!P699,0)</f>
        <v/>
      </c>
      <c r="R699" s="38" t="n"/>
      <c r="S699" s="29" t="n"/>
      <c r="T699" s="67">
        <f>IF(base!R699&lt;&gt;"",VLOOKUP(R699,de_para!$A$1:$B$31,2,0)*base!S699,0)</f>
        <v/>
      </c>
      <c r="U699" s="68">
        <f>H699+K699+N699+Q699+T699</f>
        <v/>
      </c>
    </row>
    <row r="700">
      <c r="A700" s="29" t="n"/>
      <c r="B700" s="29" t="n"/>
      <c r="C700" s="29" t="n"/>
      <c r="D700" s="29" t="n"/>
      <c r="E700" s="29" t="n"/>
      <c r="F700" s="29" t="n"/>
      <c r="G700" s="29" t="n"/>
      <c r="H700" s="67">
        <f>IF(base!F700&lt;&gt;"",VLOOKUP(F700,de_para!$A$1:$B$31,2,0)*base!G700,0)</f>
        <v/>
      </c>
      <c r="I700" s="38" t="n"/>
      <c r="J700" s="29" t="n"/>
      <c r="K700" s="67">
        <f>IF(base!I700&lt;&gt;"",VLOOKUP(I700,de_para!$A$1:$B$31,2,0)*base!J700,0)</f>
        <v/>
      </c>
      <c r="L700" s="38" t="n"/>
      <c r="M700" s="29" t="n"/>
      <c r="N700" s="67">
        <f>IF(base!L700&lt;&gt;"",VLOOKUP(L700,de_para!$A$1:$B$31,2,0)*base!M700,0)</f>
        <v/>
      </c>
      <c r="O700" s="38" t="n"/>
      <c r="P700" s="29" t="n"/>
      <c r="Q700" s="67">
        <f>IF(base!O700&lt;&gt;"",VLOOKUP(O700,de_para!$A$1:$B$31,2,0)*base!P700,0)</f>
        <v/>
      </c>
      <c r="R700" s="38" t="n"/>
      <c r="S700" s="29" t="n"/>
      <c r="T700" s="67">
        <f>IF(base!R700&lt;&gt;"",VLOOKUP(R700,de_para!$A$1:$B$31,2,0)*base!S700,0)</f>
        <v/>
      </c>
      <c r="U700" s="68">
        <f>H700+K700+N700+Q700+T700</f>
        <v/>
      </c>
    </row>
    <row r="701">
      <c r="A701" s="29" t="n"/>
      <c r="B701" s="29" t="n"/>
      <c r="C701" s="29" t="n"/>
      <c r="D701" s="29" t="n"/>
      <c r="E701" s="29" t="n"/>
      <c r="F701" s="29" t="n"/>
      <c r="G701" s="29" t="n"/>
      <c r="H701" s="67">
        <f>IF(base!F701&lt;&gt;"",VLOOKUP(F701,de_para!$A$1:$B$31,2,0)*base!G701,0)</f>
        <v/>
      </c>
      <c r="I701" s="38" t="n"/>
      <c r="J701" s="29" t="n"/>
      <c r="K701" s="67">
        <f>IF(base!I701&lt;&gt;"",VLOOKUP(I701,de_para!$A$1:$B$31,2,0)*base!J701,0)</f>
        <v/>
      </c>
      <c r="L701" s="38" t="n"/>
      <c r="M701" s="29" t="n"/>
      <c r="N701" s="67">
        <f>IF(base!L701&lt;&gt;"",VLOOKUP(L701,de_para!$A$1:$B$31,2,0)*base!M701,0)</f>
        <v/>
      </c>
      <c r="O701" s="38" t="n"/>
      <c r="P701" s="29" t="n"/>
      <c r="Q701" s="67">
        <f>IF(base!O701&lt;&gt;"",VLOOKUP(O701,de_para!$A$1:$B$31,2,0)*base!P701,0)</f>
        <v/>
      </c>
      <c r="R701" s="38" t="n"/>
      <c r="S701" s="29" t="n"/>
      <c r="T701" s="67">
        <f>IF(base!R701&lt;&gt;"",VLOOKUP(R701,de_para!$A$1:$B$31,2,0)*base!S701,0)</f>
        <v/>
      </c>
      <c r="U701" s="68">
        <f>H701+K701+N701+Q701+T701</f>
        <v/>
      </c>
    </row>
    <row r="702">
      <c r="A702" s="29" t="n"/>
      <c r="B702" s="29" t="n"/>
      <c r="C702" s="29" t="n"/>
      <c r="D702" s="29" t="n"/>
      <c r="E702" s="29" t="n"/>
      <c r="F702" s="29" t="n"/>
      <c r="G702" s="29" t="n"/>
      <c r="H702" s="67">
        <f>IF(base!F702&lt;&gt;"",VLOOKUP(F702,de_para!$A$1:$B$31,2,0)*base!G702,0)</f>
        <v/>
      </c>
      <c r="I702" s="38" t="n"/>
      <c r="J702" s="29" t="n"/>
      <c r="K702" s="67">
        <f>IF(base!I702&lt;&gt;"",VLOOKUP(I702,de_para!$A$1:$B$31,2,0)*base!J702,0)</f>
        <v/>
      </c>
      <c r="L702" s="38" t="n"/>
      <c r="M702" s="29" t="n"/>
      <c r="N702" s="67">
        <f>IF(base!L702&lt;&gt;"",VLOOKUP(L702,de_para!$A$1:$B$31,2,0)*base!M702,0)</f>
        <v/>
      </c>
      <c r="O702" s="38" t="n"/>
      <c r="P702" s="29" t="n"/>
      <c r="Q702" s="67">
        <f>IF(base!O702&lt;&gt;"",VLOOKUP(O702,de_para!$A$1:$B$31,2,0)*base!P702,0)</f>
        <v/>
      </c>
      <c r="R702" s="38" t="n"/>
      <c r="S702" s="29" t="n"/>
      <c r="T702" s="67">
        <f>IF(base!R702&lt;&gt;"",VLOOKUP(R702,de_para!$A$1:$B$31,2,0)*base!S702,0)</f>
        <v/>
      </c>
      <c r="U702" s="68">
        <f>H702+K702+N702+Q702+T702</f>
        <v/>
      </c>
    </row>
    <row r="703">
      <c r="A703" s="29" t="n"/>
      <c r="B703" s="29" t="n"/>
      <c r="C703" s="29" t="n"/>
      <c r="D703" s="29" t="n"/>
      <c r="E703" s="29" t="n"/>
      <c r="F703" s="29" t="n"/>
      <c r="G703" s="29" t="n"/>
      <c r="H703" s="67">
        <f>IF(base!F703&lt;&gt;"",VLOOKUP(F703,de_para!$A$1:$B$31,2,0)*base!G703,0)</f>
        <v/>
      </c>
      <c r="I703" s="38" t="n"/>
      <c r="J703" s="29" t="n"/>
      <c r="K703" s="67">
        <f>IF(base!I703&lt;&gt;"",VLOOKUP(I703,de_para!$A$1:$B$31,2,0)*base!J703,0)</f>
        <v/>
      </c>
      <c r="L703" s="38" t="n"/>
      <c r="M703" s="29" t="n"/>
      <c r="N703" s="67">
        <f>IF(base!L703&lt;&gt;"",VLOOKUP(L703,de_para!$A$1:$B$31,2,0)*base!M703,0)</f>
        <v/>
      </c>
      <c r="O703" s="38" t="n"/>
      <c r="P703" s="29" t="n"/>
      <c r="Q703" s="67">
        <f>IF(base!O703&lt;&gt;"",VLOOKUP(O703,de_para!$A$1:$B$31,2,0)*base!P703,0)</f>
        <v/>
      </c>
      <c r="R703" s="38" t="n"/>
      <c r="S703" s="29" t="n"/>
      <c r="T703" s="67">
        <f>IF(base!R703&lt;&gt;"",VLOOKUP(R703,de_para!$A$1:$B$31,2,0)*base!S703,0)</f>
        <v/>
      </c>
      <c r="U703" s="68">
        <f>H703+K703+N703+Q703+T703</f>
        <v/>
      </c>
    </row>
    <row r="704">
      <c r="A704" s="29" t="n"/>
      <c r="B704" s="29" t="n"/>
      <c r="C704" s="29" t="n"/>
      <c r="D704" s="29" t="n"/>
      <c r="E704" s="29" t="n"/>
      <c r="F704" s="29" t="n"/>
      <c r="G704" s="29" t="n"/>
      <c r="H704" s="67">
        <f>IF(base!F704&lt;&gt;"",VLOOKUP(F704,de_para!$A$1:$B$31,2,0)*base!G704,0)</f>
        <v/>
      </c>
      <c r="I704" s="38" t="n"/>
      <c r="J704" s="29" t="n"/>
      <c r="K704" s="67">
        <f>IF(base!I704&lt;&gt;"",VLOOKUP(I704,de_para!$A$1:$B$31,2,0)*base!J704,0)</f>
        <v/>
      </c>
      <c r="L704" s="38" t="n"/>
      <c r="M704" s="29" t="n"/>
      <c r="N704" s="67">
        <f>IF(base!L704&lt;&gt;"",VLOOKUP(L704,de_para!$A$1:$B$31,2,0)*base!M704,0)</f>
        <v/>
      </c>
      <c r="O704" s="38" t="n"/>
      <c r="P704" s="29" t="n"/>
      <c r="Q704" s="67">
        <f>IF(base!O704&lt;&gt;"",VLOOKUP(O704,de_para!$A$1:$B$31,2,0)*base!P704,0)</f>
        <v/>
      </c>
      <c r="R704" s="38" t="n"/>
      <c r="S704" s="29" t="n"/>
      <c r="T704" s="67">
        <f>IF(base!R704&lt;&gt;"",VLOOKUP(R704,de_para!$A$1:$B$31,2,0)*base!S704,0)</f>
        <v/>
      </c>
      <c r="U704" s="68">
        <f>H704+K704+N704+Q704+T704</f>
        <v/>
      </c>
    </row>
    <row r="705">
      <c r="A705" s="29" t="n"/>
      <c r="B705" s="29" t="n"/>
      <c r="C705" s="29" t="n"/>
      <c r="D705" s="29" t="n"/>
      <c r="E705" s="29" t="n"/>
      <c r="F705" s="29" t="n"/>
      <c r="G705" s="29" t="n"/>
      <c r="H705" s="67">
        <f>IF(base!F705&lt;&gt;"",VLOOKUP(F705,de_para!$A$1:$B$31,2,0)*base!G705,0)</f>
        <v/>
      </c>
      <c r="I705" s="38" t="n"/>
      <c r="J705" s="29" t="n"/>
      <c r="K705" s="67">
        <f>IF(base!I705&lt;&gt;"",VLOOKUP(I705,de_para!$A$1:$B$31,2,0)*base!J705,0)</f>
        <v/>
      </c>
      <c r="L705" s="38" t="n"/>
      <c r="M705" s="29" t="n"/>
      <c r="N705" s="67">
        <f>IF(base!L705&lt;&gt;"",VLOOKUP(L705,de_para!$A$1:$B$31,2,0)*base!M705,0)</f>
        <v/>
      </c>
      <c r="O705" s="38" t="n"/>
      <c r="P705" s="29" t="n"/>
      <c r="Q705" s="67">
        <f>IF(base!O705&lt;&gt;"",VLOOKUP(O705,de_para!$A$1:$B$31,2,0)*base!P705,0)</f>
        <v/>
      </c>
      <c r="R705" s="38" t="n"/>
      <c r="S705" s="29" t="n"/>
      <c r="T705" s="67">
        <f>IF(base!R705&lt;&gt;"",VLOOKUP(R705,de_para!$A$1:$B$31,2,0)*base!S705,0)</f>
        <v/>
      </c>
      <c r="U705" s="68">
        <f>H705+K705+N705+Q705+T705</f>
        <v/>
      </c>
    </row>
    <row r="706">
      <c r="A706" s="29" t="n"/>
      <c r="B706" s="29" t="n"/>
      <c r="C706" s="29" t="n"/>
      <c r="D706" s="29" t="n"/>
      <c r="E706" s="29" t="n"/>
      <c r="F706" s="29" t="n"/>
      <c r="G706" s="29" t="n"/>
      <c r="H706" s="67">
        <f>IF(base!F706&lt;&gt;"",VLOOKUP(F706,de_para!$A$1:$B$31,2,0)*base!G706,0)</f>
        <v/>
      </c>
      <c r="I706" s="38" t="n"/>
      <c r="J706" s="29" t="n"/>
      <c r="K706" s="67">
        <f>IF(base!I706&lt;&gt;"",VLOOKUP(I706,de_para!$A$1:$B$31,2,0)*base!J706,0)</f>
        <v/>
      </c>
      <c r="L706" s="38" t="n"/>
      <c r="M706" s="29" t="n"/>
      <c r="N706" s="67">
        <f>IF(base!L706&lt;&gt;"",VLOOKUP(L706,de_para!$A$1:$B$31,2,0)*base!M706,0)</f>
        <v/>
      </c>
      <c r="O706" s="38" t="n"/>
      <c r="P706" s="29" t="n"/>
      <c r="Q706" s="67">
        <f>IF(base!O706&lt;&gt;"",VLOOKUP(O706,de_para!$A$1:$B$31,2,0)*base!P706,0)</f>
        <v/>
      </c>
      <c r="R706" s="38" t="n"/>
      <c r="S706" s="29" t="n"/>
      <c r="T706" s="67">
        <f>IF(base!R706&lt;&gt;"",VLOOKUP(R706,de_para!$A$1:$B$31,2,0)*base!S706,0)</f>
        <v/>
      </c>
      <c r="U706" s="68">
        <f>H706+K706+N706+Q706+T706</f>
        <v/>
      </c>
    </row>
    <row r="707">
      <c r="A707" s="29" t="n"/>
      <c r="B707" s="29" t="n"/>
      <c r="C707" s="29" t="n"/>
      <c r="D707" s="29" t="n"/>
      <c r="E707" s="29" t="n"/>
      <c r="F707" s="29" t="n"/>
      <c r="G707" s="29" t="n"/>
      <c r="H707" s="67">
        <f>IF(base!F707&lt;&gt;"",VLOOKUP(F707,de_para!$A$1:$B$31,2,0)*base!G707,0)</f>
        <v/>
      </c>
      <c r="I707" s="38" t="n"/>
      <c r="J707" s="29" t="n"/>
      <c r="K707" s="67">
        <f>IF(base!I707&lt;&gt;"",VLOOKUP(I707,de_para!$A$1:$B$31,2,0)*base!J707,0)</f>
        <v/>
      </c>
      <c r="L707" s="38" t="n"/>
      <c r="M707" s="29" t="n"/>
      <c r="N707" s="67">
        <f>IF(base!L707&lt;&gt;"",VLOOKUP(L707,de_para!$A$1:$B$31,2,0)*base!M707,0)</f>
        <v/>
      </c>
      <c r="O707" s="38" t="n"/>
      <c r="P707" s="29" t="n"/>
      <c r="Q707" s="67">
        <f>IF(base!O707&lt;&gt;"",VLOOKUP(O707,de_para!$A$1:$B$31,2,0)*base!P707,0)</f>
        <v/>
      </c>
      <c r="R707" s="38" t="n"/>
      <c r="S707" s="29" t="n"/>
      <c r="T707" s="67">
        <f>IF(base!R707&lt;&gt;"",VLOOKUP(R707,de_para!$A$1:$B$31,2,0)*base!S707,0)</f>
        <v/>
      </c>
      <c r="U707" s="68">
        <f>H707+K707+N707+Q707+T707</f>
        <v/>
      </c>
    </row>
    <row r="708">
      <c r="A708" s="29" t="n"/>
      <c r="B708" s="29" t="n"/>
      <c r="C708" s="29" t="n"/>
      <c r="D708" s="29" t="n"/>
      <c r="E708" s="29" t="n"/>
      <c r="F708" s="29" t="n"/>
      <c r="G708" s="29" t="n"/>
      <c r="H708" s="67">
        <f>IF(base!F708&lt;&gt;"",VLOOKUP(F708,de_para!$A$1:$B$31,2,0)*base!G708,0)</f>
        <v/>
      </c>
      <c r="I708" s="38" t="n"/>
      <c r="J708" s="29" t="n"/>
      <c r="K708" s="67">
        <f>IF(base!I708&lt;&gt;"",VLOOKUP(I708,de_para!$A$1:$B$31,2,0)*base!J708,0)</f>
        <v/>
      </c>
      <c r="L708" s="38" t="n"/>
      <c r="M708" s="29" t="n"/>
      <c r="N708" s="67">
        <f>IF(base!L708&lt;&gt;"",VLOOKUP(L708,de_para!$A$1:$B$31,2,0)*base!M708,0)</f>
        <v/>
      </c>
      <c r="O708" s="38" t="n"/>
      <c r="P708" s="29" t="n"/>
      <c r="Q708" s="67">
        <f>IF(base!O708&lt;&gt;"",VLOOKUP(O708,de_para!$A$1:$B$31,2,0)*base!P708,0)</f>
        <v/>
      </c>
      <c r="R708" s="38" t="n"/>
      <c r="S708" s="29" t="n"/>
      <c r="T708" s="67">
        <f>IF(base!R708&lt;&gt;"",VLOOKUP(R708,de_para!$A$1:$B$31,2,0)*base!S708,0)</f>
        <v/>
      </c>
      <c r="U708" s="68">
        <f>H708+K708+N708+Q708+T708</f>
        <v/>
      </c>
    </row>
    <row r="709">
      <c r="A709" s="29" t="n"/>
      <c r="B709" s="29" t="n"/>
      <c r="C709" s="29" t="n"/>
      <c r="D709" s="29" t="n"/>
      <c r="E709" s="29" t="n"/>
      <c r="F709" s="29" t="n"/>
      <c r="G709" s="29" t="n"/>
      <c r="H709" s="67">
        <f>IF(base!F709&lt;&gt;"",VLOOKUP(F709,de_para!$A$1:$B$31,2,0)*base!G709,0)</f>
        <v/>
      </c>
      <c r="I709" s="38" t="n"/>
      <c r="J709" s="29" t="n"/>
      <c r="K709" s="67">
        <f>IF(base!I709&lt;&gt;"",VLOOKUP(I709,de_para!$A$1:$B$31,2,0)*base!J709,0)</f>
        <v/>
      </c>
      <c r="L709" s="38" t="n"/>
      <c r="M709" s="29" t="n"/>
      <c r="N709" s="67">
        <f>IF(base!L709&lt;&gt;"",VLOOKUP(L709,de_para!$A$1:$B$31,2,0)*base!M709,0)</f>
        <v/>
      </c>
      <c r="O709" s="38" t="n"/>
      <c r="P709" s="29" t="n"/>
      <c r="Q709" s="67">
        <f>IF(base!O709&lt;&gt;"",VLOOKUP(O709,de_para!$A$1:$B$31,2,0)*base!P709,0)</f>
        <v/>
      </c>
      <c r="R709" s="38" t="n"/>
      <c r="S709" s="29" t="n"/>
      <c r="T709" s="67">
        <f>IF(base!R709&lt;&gt;"",VLOOKUP(R709,de_para!$A$1:$B$31,2,0)*base!S709,0)</f>
        <v/>
      </c>
      <c r="U709" s="68">
        <f>H709+K709+N709+Q709+T709</f>
        <v/>
      </c>
    </row>
    <row r="710">
      <c r="A710" s="29" t="n"/>
      <c r="B710" s="29" t="n"/>
      <c r="C710" s="29" t="n"/>
      <c r="D710" s="29" t="n"/>
      <c r="E710" s="29" t="n"/>
      <c r="F710" s="29" t="n"/>
      <c r="G710" s="29" t="n"/>
      <c r="H710" s="67">
        <f>IF(base!F710&lt;&gt;"",VLOOKUP(F710,de_para!$A$1:$B$31,2,0)*base!G710,0)</f>
        <v/>
      </c>
      <c r="I710" s="38" t="n"/>
      <c r="J710" s="29" t="n"/>
      <c r="K710" s="67">
        <f>IF(base!I710&lt;&gt;"",VLOOKUP(I710,de_para!$A$1:$B$31,2,0)*base!J710,0)</f>
        <v/>
      </c>
      <c r="L710" s="38" t="n"/>
      <c r="M710" s="29" t="n"/>
      <c r="N710" s="67">
        <f>IF(base!L710&lt;&gt;"",VLOOKUP(L710,de_para!$A$1:$B$31,2,0)*base!M710,0)</f>
        <v/>
      </c>
      <c r="O710" s="38" t="n"/>
      <c r="P710" s="29" t="n"/>
      <c r="Q710" s="67">
        <f>IF(base!O710&lt;&gt;"",VLOOKUP(O710,de_para!$A$1:$B$31,2,0)*base!P710,0)</f>
        <v/>
      </c>
      <c r="R710" s="38" t="n"/>
      <c r="S710" s="29" t="n"/>
      <c r="T710" s="67">
        <f>IF(base!R710&lt;&gt;"",VLOOKUP(R710,de_para!$A$1:$B$31,2,0)*base!S710,0)</f>
        <v/>
      </c>
      <c r="U710" s="68">
        <f>H710+K710+N710+Q710+T710</f>
        <v/>
      </c>
    </row>
    <row r="711">
      <c r="A711" s="29" t="n"/>
      <c r="B711" s="29" t="n"/>
      <c r="C711" s="29" t="n"/>
      <c r="D711" s="29" t="n"/>
      <c r="E711" s="29" t="n"/>
      <c r="F711" s="29" t="n"/>
      <c r="G711" s="29" t="n"/>
      <c r="H711" s="67">
        <f>IF(base!F711&lt;&gt;"",VLOOKUP(F711,de_para!$A$1:$B$31,2,0)*base!G711,0)</f>
        <v/>
      </c>
      <c r="I711" s="38" t="n"/>
      <c r="J711" s="29" t="n"/>
      <c r="K711" s="67">
        <f>IF(base!I711&lt;&gt;"",VLOOKUP(I711,de_para!$A$1:$B$31,2,0)*base!J711,0)</f>
        <v/>
      </c>
      <c r="L711" s="38" t="n"/>
      <c r="M711" s="29" t="n"/>
      <c r="N711" s="67">
        <f>IF(base!L711&lt;&gt;"",VLOOKUP(L711,de_para!$A$1:$B$31,2,0)*base!M711,0)</f>
        <v/>
      </c>
      <c r="O711" s="38" t="n"/>
      <c r="P711" s="29" t="n"/>
      <c r="Q711" s="67">
        <f>IF(base!O711&lt;&gt;"",VLOOKUP(O711,de_para!$A$1:$B$31,2,0)*base!P711,0)</f>
        <v/>
      </c>
      <c r="R711" s="38" t="n"/>
      <c r="S711" s="29" t="n"/>
      <c r="T711" s="67">
        <f>IF(base!R711&lt;&gt;"",VLOOKUP(R711,de_para!$A$1:$B$31,2,0)*base!S711,0)</f>
        <v/>
      </c>
      <c r="U711" s="68">
        <f>H711+K711+N711+Q711+T711</f>
        <v/>
      </c>
    </row>
    <row r="712">
      <c r="A712" s="29" t="n"/>
      <c r="B712" s="29" t="n"/>
      <c r="C712" s="29" t="n"/>
      <c r="D712" s="29" t="n"/>
      <c r="E712" s="29" t="n"/>
      <c r="F712" s="29" t="n"/>
      <c r="G712" s="29" t="n"/>
      <c r="H712" s="67">
        <f>IF(base!F712&lt;&gt;"",VLOOKUP(F712,de_para!$A$1:$B$31,2,0)*base!G712,0)</f>
        <v/>
      </c>
      <c r="I712" s="38" t="n"/>
      <c r="J712" s="29" t="n"/>
      <c r="K712" s="67">
        <f>IF(base!I712&lt;&gt;"",VLOOKUP(I712,de_para!$A$1:$B$31,2,0)*base!J712,0)</f>
        <v/>
      </c>
      <c r="L712" s="38" t="n"/>
      <c r="M712" s="29" t="n"/>
      <c r="N712" s="67">
        <f>IF(base!L712&lt;&gt;"",VLOOKUP(L712,de_para!$A$1:$B$31,2,0)*base!M712,0)</f>
        <v/>
      </c>
      <c r="O712" s="38" t="n"/>
      <c r="P712" s="29" t="n"/>
      <c r="Q712" s="67">
        <f>IF(base!O712&lt;&gt;"",VLOOKUP(O712,de_para!$A$1:$B$31,2,0)*base!P712,0)</f>
        <v/>
      </c>
      <c r="R712" s="38" t="n"/>
      <c r="S712" s="29" t="n"/>
      <c r="T712" s="67">
        <f>IF(base!R712&lt;&gt;"",VLOOKUP(R712,de_para!$A$1:$B$31,2,0)*base!S712,0)</f>
        <v/>
      </c>
      <c r="U712" s="68">
        <f>H712+K712+N712+Q712+T712</f>
        <v/>
      </c>
    </row>
    <row r="713">
      <c r="A713" s="29" t="n"/>
      <c r="B713" s="29" t="n"/>
      <c r="C713" s="29" t="n"/>
      <c r="D713" s="29" t="n"/>
      <c r="E713" s="29" t="n"/>
      <c r="F713" s="29" t="n"/>
      <c r="G713" s="29" t="n"/>
      <c r="H713" s="67">
        <f>IF(base!F713&lt;&gt;"",VLOOKUP(F713,de_para!$A$1:$B$31,2,0)*base!G713,0)</f>
        <v/>
      </c>
      <c r="I713" s="38" t="n"/>
      <c r="J713" s="29" t="n"/>
      <c r="K713" s="67">
        <f>IF(base!I713&lt;&gt;"",VLOOKUP(I713,de_para!$A$1:$B$31,2,0)*base!J713,0)</f>
        <v/>
      </c>
      <c r="L713" s="38" t="n"/>
      <c r="M713" s="29" t="n"/>
      <c r="N713" s="67">
        <f>IF(base!L713&lt;&gt;"",VLOOKUP(L713,de_para!$A$1:$B$31,2,0)*base!M713,0)</f>
        <v/>
      </c>
      <c r="O713" s="38" t="n"/>
      <c r="P713" s="29" t="n"/>
      <c r="Q713" s="67">
        <f>IF(base!O713&lt;&gt;"",VLOOKUP(O713,de_para!$A$1:$B$31,2,0)*base!P713,0)</f>
        <v/>
      </c>
      <c r="R713" s="38" t="n"/>
      <c r="S713" s="29" t="n"/>
      <c r="T713" s="67">
        <f>IF(base!R713&lt;&gt;"",VLOOKUP(R713,de_para!$A$1:$B$31,2,0)*base!S713,0)</f>
        <v/>
      </c>
      <c r="U713" s="68">
        <f>H713+K713+N713+Q713+T713</f>
        <v/>
      </c>
    </row>
    <row r="714">
      <c r="A714" s="29" t="n"/>
      <c r="B714" s="29" t="n"/>
      <c r="C714" s="29" t="n"/>
      <c r="D714" s="29" t="n"/>
      <c r="E714" s="29" t="n"/>
      <c r="F714" s="29" t="n"/>
      <c r="G714" s="29" t="n"/>
      <c r="H714" s="67">
        <f>IF(base!F714&lt;&gt;"",VLOOKUP(F714,de_para!$A$1:$B$31,2,0)*base!G714,0)</f>
        <v/>
      </c>
      <c r="I714" s="38" t="n"/>
      <c r="J714" s="29" t="n"/>
      <c r="K714" s="67">
        <f>IF(base!I714&lt;&gt;"",VLOOKUP(I714,de_para!$A$1:$B$31,2,0)*base!J714,0)</f>
        <v/>
      </c>
      <c r="L714" s="38" t="n"/>
      <c r="M714" s="29" t="n"/>
      <c r="N714" s="67">
        <f>IF(base!L714&lt;&gt;"",VLOOKUP(L714,de_para!$A$1:$B$31,2,0)*base!M714,0)</f>
        <v/>
      </c>
      <c r="O714" s="38" t="n"/>
      <c r="P714" s="29" t="n"/>
      <c r="Q714" s="67">
        <f>IF(base!O714&lt;&gt;"",VLOOKUP(O714,de_para!$A$1:$B$31,2,0)*base!P714,0)</f>
        <v/>
      </c>
      <c r="R714" s="38" t="n"/>
      <c r="S714" s="29" t="n"/>
      <c r="T714" s="67">
        <f>IF(base!R714&lt;&gt;"",VLOOKUP(R714,de_para!$A$1:$B$31,2,0)*base!S714,0)</f>
        <v/>
      </c>
      <c r="U714" s="68">
        <f>H714+K714+N714+Q714+T714</f>
        <v/>
      </c>
    </row>
    <row r="715">
      <c r="A715" s="29" t="n"/>
      <c r="B715" s="29" t="n"/>
      <c r="C715" s="29" t="n"/>
      <c r="D715" s="29" t="n"/>
      <c r="E715" s="29" t="n"/>
      <c r="F715" s="29" t="n"/>
      <c r="G715" s="29" t="n"/>
      <c r="H715" s="67">
        <f>IF(base!F715&lt;&gt;"",VLOOKUP(F715,de_para!$A$1:$B$31,2,0)*base!G715,0)</f>
        <v/>
      </c>
      <c r="I715" s="38" t="n"/>
      <c r="J715" s="29" t="n"/>
      <c r="K715" s="67">
        <f>IF(base!I715&lt;&gt;"",VLOOKUP(I715,de_para!$A$1:$B$31,2,0)*base!J715,0)</f>
        <v/>
      </c>
      <c r="L715" s="38" t="n"/>
      <c r="M715" s="29" t="n"/>
      <c r="N715" s="67">
        <f>IF(base!L715&lt;&gt;"",VLOOKUP(L715,de_para!$A$1:$B$31,2,0)*base!M715,0)</f>
        <v/>
      </c>
      <c r="O715" s="38" t="n"/>
      <c r="P715" s="29" t="n"/>
      <c r="Q715" s="67">
        <f>IF(base!O715&lt;&gt;"",VLOOKUP(O715,de_para!$A$1:$B$31,2,0)*base!P715,0)</f>
        <v/>
      </c>
      <c r="R715" s="38" t="n"/>
      <c r="S715" s="29" t="n"/>
      <c r="T715" s="67">
        <f>IF(base!R715&lt;&gt;"",VLOOKUP(R715,de_para!$A$1:$B$31,2,0)*base!S715,0)</f>
        <v/>
      </c>
      <c r="U715" s="68">
        <f>H715+K715+N715+Q715+T715</f>
        <v/>
      </c>
    </row>
    <row r="716">
      <c r="A716" s="29" t="n"/>
      <c r="B716" s="29" t="n"/>
      <c r="C716" s="29" t="n"/>
      <c r="D716" s="29" t="n"/>
      <c r="E716" s="29" t="n"/>
      <c r="F716" s="29" t="n"/>
      <c r="G716" s="29" t="n"/>
      <c r="H716" s="67">
        <f>IF(base!F716&lt;&gt;"",VLOOKUP(F716,de_para!$A$1:$B$31,2,0)*base!G716,0)</f>
        <v/>
      </c>
      <c r="I716" s="38" t="n"/>
      <c r="J716" s="29" t="n"/>
      <c r="K716" s="67">
        <f>IF(base!I716&lt;&gt;"",VLOOKUP(I716,de_para!$A$1:$B$31,2,0)*base!J716,0)</f>
        <v/>
      </c>
      <c r="L716" s="38" t="n"/>
      <c r="M716" s="29" t="n"/>
      <c r="N716" s="67">
        <f>IF(base!L716&lt;&gt;"",VLOOKUP(L716,de_para!$A$1:$B$31,2,0)*base!M716,0)</f>
        <v/>
      </c>
      <c r="O716" s="38" t="n"/>
      <c r="P716" s="29" t="n"/>
      <c r="Q716" s="67">
        <f>IF(base!O716&lt;&gt;"",VLOOKUP(O716,de_para!$A$1:$B$31,2,0)*base!P716,0)</f>
        <v/>
      </c>
      <c r="R716" s="38" t="n"/>
      <c r="S716" s="29" t="n"/>
      <c r="T716" s="67">
        <f>IF(base!R716&lt;&gt;"",VLOOKUP(R716,de_para!$A$1:$B$31,2,0)*base!S716,0)</f>
        <v/>
      </c>
      <c r="U716" s="68">
        <f>H716+K716+N716+Q716+T716</f>
        <v/>
      </c>
    </row>
    <row r="717">
      <c r="A717" s="29" t="n"/>
      <c r="B717" s="29" t="n"/>
      <c r="C717" s="29" t="n"/>
      <c r="D717" s="29" t="n"/>
      <c r="E717" s="29" t="n"/>
      <c r="F717" s="29" t="n"/>
      <c r="G717" s="29" t="n"/>
      <c r="H717" s="67">
        <f>IF(base!F717&lt;&gt;"",VLOOKUP(F717,de_para!$A$1:$B$31,2,0)*base!G717,0)</f>
        <v/>
      </c>
      <c r="I717" s="38" t="n"/>
      <c r="J717" s="29" t="n"/>
      <c r="K717" s="67">
        <f>IF(base!I717&lt;&gt;"",VLOOKUP(I717,de_para!$A$1:$B$31,2,0)*base!J717,0)</f>
        <v/>
      </c>
      <c r="L717" s="38" t="n"/>
      <c r="M717" s="29" t="n"/>
      <c r="N717" s="67">
        <f>IF(base!L717&lt;&gt;"",VLOOKUP(L717,de_para!$A$1:$B$31,2,0)*base!M717,0)</f>
        <v/>
      </c>
      <c r="O717" s="38" t="n"/>
      <c r="P717" s="29" t="n"/>
      <c r="Q717" s="67">
        <f>IF(base!O717&lt;&gt;"",VLOOKUP(O717,de_para!$A$1:$B$31,2,0)*base!P717,0)</f>
        <v/>
      </c>
      <c r="R717" s="38" t="n"/>
      <c r="S717" s="29" t="n"/>
      <c r="T717" s="67">
        <f>IF(base!R717&lt;&gt;"",VLOOKUP(R717,de_para!$A$1:$B$31,2,0)*base!S717,0)</f>
        <v/>
      </c>
      <c r="U717" s="68">
        <f>H717+K717+N717+Q717+T717</f>
        <v/>
      </c>
    </row>
    <row r="718">
      <c r="A718" s="29" t="n"/>
      <c r="B718" s="29" t="n"/>
      <c r="C718" s="29" t="n"/>
      <c r="D718" s="29" t="n"/>
      <c r="E718" s="29" t="n"/>
      <c r="F718" s="29" t="n"/>
      <c r="G718" s="29" t="n"/>
      <c r="H718" s="67">
        <f>IF(base!F718&lt;&gt;"",VLOOKUP(F718,de_para!$A$1:$B$31,2,0)*base!G718,0)</f>
        <v/>
      </c>
      <c r="I718" s="38" t="n"/>
      <c r="J718" s="29" t="n"/>
      <c r="K718" s="67">
        <f>IF(base!I718&lt;&gt;"",VLOOKUP(I718,de_para!$A$1:$B$31,2,0)*base!J718,0)</f>
        <v/>
      </c>
      <c r="L718" s="38" t="n"/>
      <c r="M718" s="29" t="n"/>
      <c r="N718" s="67">
        <f>IF(base!L718&lt;&gt;"",VLOOKUP(L718,de_para!$A$1:$B$31,2,0)*base!M718,0)</f>
        <v/>
      </c>
      <c r="O718" s="38" t="n"/>
      <c r="P718" s="29" t="n"/>
      <c r="Q718" s="67">
        <f>IF(base!O718&lt;&gt;"",VLOOKUP(O718,de_para!$A$1:$B$31,2,0)*base!P718,0)</f>
        <v/>
      </c>
      <c r="R718" s="38" t="n"/>
      <c r="S718" s="29" t="n"/>
      <c r="T718" s="67">
        <f>IF(base!R718&lt;&gt;"",VLOOKUP(R718,de_para!$A$1:$B$31,2,0)*base!S718,0)</f>
        <v/>
      </c>
      <c r="U718" s="68">
        <f>H718+K718+N718+Q718+T718</f>
        <v/>
      </c>
    </row>
    <row r="719">
      <c r="A719" s="29" t="n"/>
      <c r="B719" s="29" t="n"/>
      <c r="C719" s="29" t="n"/>
      <c r="D719" s="29" t="n"/>
      <c r="E719" s="29" t="n"/>
      <c r="F719" s="29" t="n"/>
      <c r="G719" s="29" t="n"/>
      <c r="H719" s="67">
        <f>IF(base!F719&lt;&gt;"",VLOOKUP(F719,de_para!$A$1:$B$31,2,0)*base!G719,0)</f>
        <v/>
      </c>
      <c r="I719" s="38" t="n"/>
      <c r="J719" s="29" t="n"/>
      <c r="K719" s="67">
        <f>IF(base!I719&lt;&gt;"",VLOOKUP(I719,de_para!$A$1:$B$31,2,0)*base!J719,0)</f>
        <v/>
      </c>
      <c r="L719" s="38" t="n"/>
      <c r="M719" s="29" t="n"/>
      <c r="N719" s="67">
        <f>IF(base!L719&lt;&gt;"",VLOOKUP(L719,de_para!$A$1:$B$31,2,0)*base!M719,0)</f>
        <v/>
      </c>
      <c r="O719" s="38" t="n"/>
      <c r="P719" s="29" t="n"/>
      <c r="Q719" s="67">
        <f>IF(base!O719&lt;&gt;"",VLOOKUP(O719,de_para!$A$1:$B$31,2,0)*base!P719,0)</f>
        <v/>
      </c>
      <c r="R719" s="38" t="n"/>
      <c r="S719" s="29" t="n"/>
      <c r="T719" s="67">
        <f>IF(base!R719&lt;&gt;"",VLOOKUP(R719,de_para!$A$1:$B$31,2,0)*base!S719,0)</f>
        <v/>
      </c>
      <c r="U719" s="68">
        <f>H719+K719+N719+Q719+T719</f>
        <v/>
      </c>
    </row>
    <row r="720">
      <c r="A720" s="29" t="n"/>
      <c r="B720" s="29" t="n"/>
      <c r="C720" s="29" t="n"/>
      <c r="D720" s="29" t="n"/>
      <c r="E720" s="29" t="n"/>
      <c r="F720" s="29" t="n"/>
      <c r="G720" s="29" t="n"/>
      <c r="H720" s="67">
        <f>IF(base!F720&lt;&gt;"",VLOOKUP(F720,de_para!$A$1:$B$31,2,0)*base!G720,0)</f>
        <v/>
      </c>
      <c r="I720" s="38" t="n"/>
      <c r="J720" s="29" t="n"/>
      <c r="K720" s="67">
        <f>IF(base!I720&lt;&gt;"",VLOOKUP(I720,de_para!$A$1:$B$31,2,0)*base!J720,0)</f>
        <v/>
      </c>
      <c r="L720" s="38" t="n"/>
      <c r="M720" s="29" t="n"/>
      <c r="N720" s="67">
        <f>IF(base!L720&lt;&gt;"",VLOOKUP(L720,de_para!$A$1:$B$31,2,0)*base!M720,0)</f>
        <v/>
      </c>
      <c r="O720" s="38" t="n"/>
      <c r="P720" s="29" t="n"/>
      <c r="Q720" s="67">
        <f>IF(base!O720&lt;&gt;"",VLOOKUP(O720,de_para!$A$1:$B$31,2,0)*base!P720,0)</f>
        <v/>
      </c>
      <c r="R720" s="38" t="n"/>
      <c r="S720" s="29" t="n"/>
      <c r="T720" s="67">
        <f>IF(base!R720&lt;&gt;"",VLOOKUP(R720,de_para!$A$1:$B$31,2,0)*base!S720,0)</f>
        <v/>
      </c>
      <c r="U720" s="68">
        <f>H720+K720+N720+Q720+T720</f>
        <v/>
      </c>
    </row>
    <row r="721">
      <c r="A721" s="29" t="n"/>
      <c r="B721" s="29" t="n"/>
      <c r="C721" s="29" t="n"/>
      <c r="D721" s="29" t="n"/>
      <c r="E721" s="29" t="n"/>
      <c r="F721" s="29" t="n"/>
      <c r="G721" s="29" t="n"/>
      <c r="H721" s="67">
        <f>IF(base!F721&lt;&gt;"",VLOOKUP(F721,de_para!$A$1:$B$31,2,0)*base!G721,0)</f>
        <v/>
      </c>
      <c r="I721" s="38" t="n"/>
      <c r="J721" s="29" t="n"/>
      <c r="K721" s="67">
        <f>IF(base!I721&lt;&gt;"",VLOOKUP(I721,de_para!$A$1:$B$31,2,0)*base!J721,0)</f>
        <v/>
      </c>
      <c r="L721" s="38" t="n"/>
      <c r="M721" s="29" t="n"/>
      <c r="N721" s="67">
        <f>IF(base!L721&lt;&gt;"",VLOOKUP(L721,de_para!$A$1:$B$31,2,0)*base!M721,0)</f>
        <v/>
      </c>
      <c r="O721" s="38" t="n"/>
      <c r="P721" s="29" t="n"/>
      <c r="Q721" s="67">
        <f>IF(base!O721&lt;&gt;"",VLOOKUP(O721,de_para!$A$1:$B$31,2,0)*base!P721,0)</f>
        <v/>
      </c>
      <c r="R721" s="38" t="n"/>
      <c r="S721" s="29" t="n"/>
      <c r="T721" s="67">
        <f>IF(base!R721&lt;&gt;"",VLOOKUP(R721,de_para!$A$1:$B$31,2,0)*base!S721,0)</f>
        <v/>
      </c>
      <c r="U721" s="68">
        <f>H721+K721+N721+Q721+T721</f>
        <v/>
      </c>
    </row>
    <row r="722">
      <c r="A722" s="29" t="n"/>
      <c r="B722" s="29" t="n"/>
      <c r="C722" s="29" t="n"/>
      <c r="D722" s="29" t="n"/>
      <c r="E722" s="29" t="n"/>
      <c r="F722" s="29" t="n"/>
      <c r="G722" s="29" t="n"/>
      <c r="H722" s="67">
        <f>IF(base!F722&lt;&gt;"",VLOOKUP(F722,de_para!$A$1:$B$31,2,0)*base!G722,0)</f>
        <v/>
      </c>
      <c r="I722" s="38" t="n"/>
      <c r="J722" s="29" t="n"/>
      <c r="K722" s="67">
        <f>IF(base!I722&lt;&gt;"",VLOOKUP(I722,de_para!$A$1:$B$31,2,0)*base!J722,0)</f>
        <v/>
      </c>
      <c r="L722" s="38" t="n"/>
      <c r="M722" s="29" t="n"/>
      <c r="N722" s="67">
        <f>IF(base!L722&lt;&gt;"",VLOOKUP(L722,de_para!$A$1:$B$31,2,0)*base!M722,0)</f>
        <v/>
      </c>
      <c r="O722" s="38" t="n"/>
      <c r="P722" s="29" t="n"/>
      <c r="Q722" s="67">
        <f>IF(base!O722&lt;&gt;"",VLOOKUP(O722,de_para!$A$1:$B$31,2,0)*base!P722,0)</f>
        <v/>
      </c>
      <c r="R722" s="38" t="n"/>
      <c r="S722" s="29" t="n"/>
      <c r="T722" s="67">
        <f>IF(base!R722&lt;&gt;"",VLOOKUP(R722,de_para!$A$1:$B$31,2,0)*base!S722,0)</f>
        <v/>
      </c>
      <c r="U722" s="68">
        <f>H722+K722+N722+Q722+T722</f>
        <v/>
      </c>
    </row>
    <row r="723">
      <c r="A723" s="29" t="n"/>
      <c r="B723" s="29" t="n"/>
      <c r="C723" s="29" t="n"/>
      <c r="D723" s="29" t="n"/>
      <c r="E723" s="29" t="n"/>
      <c r="F723" s="29" t="n"/>
      <c r="G723" s="29" t="n"/>
      <c r="H723" s="67">
        <f>IF(base!F723&lt;&gt;"",VLOOKUP(F723,de_para!$A$1:$B$31,2,0)*base!G723,0)</f>
        <v/>
      </c>
      <c r="I723" s="38" t="n"/>
      <c r="J723" s="29" t="n"/>
      <c r="K723" s="67">
        <f>IF(base!I723&lt;&gt;"",VLOOKUP(I723,de_para!$A$1:$B$31,2,0)*base!J723,0)</f>
        <v/>
      </c>
      <c r="L723" s="38" t="n"/>
      <c r="M723" s="29" t="n"/>
      <c r="N723" s="67">
        <f>IF(base!L723&lt;&gt;"",VLOOKUP(L723,de_para!$A$1:$B$31,2,0)*base!M723,0)</f>
        <v/>
      </c>
      <c r="O723" s="38" t="n"/>
      <c r="P723" s="29" t="n"/>
      <c r="Q723" s="67">
        <f>IF(base!O723&lt;&gt;"",VLOOKUP(O723,de_para!$A$1:$B$31,2,0)*base!P723,0)</f>
        <v/>
      </c>
      <c r="R723" s="38" t="n"/>
      <c r="S723" s="29" t="n"/>
      <c r="T723" s="67">
        <f>IF(base!R723&lt;&gt;"",VLOOKUP(R723,de_para!$A$1:$B$31,2,0)*base!S723,0)</f>
        <v/>
      </c>
      <c r="U723" s="68">
        <f>H723+K723+N723+Q723+T723</f>
        <v/>
      </c>
    </row>
    <row r="724">
      <c r="A724" s="29" t="n"/>
      <c r="B724" s="29" t="n"/>
      <c r="C724" s="29" t="n"/>
      <c r="D724" s="29" t="n"/>
      <c r="E724" s="29" t="n"/>
      <c r="F724" s="29" t="n"/>
      <c r="G724" s="29" t="n"/>
      <c r="H724" s="67">
        <f>IF(base!F724&lt;&gt;"",VLOOKUP(F724,de_para!$A$1:$B$31,2,0)*base!G724,0)</f>
        <v/>
      </c>
      <c r="I724" s="38" t="n"/>
      <c r="J724" s="29" t="n"/>
      <c r="K724" s="67">
        <f>IF(base!I724&lt;&gt;"",VLOOKUP(I724,de_para!$A$1:$B$31,2,0)*base!J724,0)</f>
        <v/>
      </c>
      <c r="L724" s="38" t="n"/>
      <c r="M724" s="29" t="n"/>
      <c r="N724" s="67">
        <f>IF(base!L724&lt;&gt;"",VLOOKUP(L724,de_para!$A$1:$B$31,2,0)*base!M724,0)</f>
        <v/>
      </c>
      <c r="O724" s="38" t="n"/>
      <c r="P724" s="29" t="n"/>
      <c r="Q724" s="67">
        <f>IF(base!O724&lt;&gt;"",VLOOKUP(O724,de_para!$A$1:$B$31,2,0)*base!P724,0)</f>
        <v/>
      </c>
      <c r="R724" s="38" t="n"/>
      <c r="S724" s="29" t="n"/>
      <c r="T724" s="67">
        <f>IF(base!R724&lt;&gt;"",VLOOKUP(R724,de_para!$A$1:$B$31,2,0)*base!S724,0)</f>
        <v/>
      </c>
      <c r="U724" s="68">
        <f>H724+K724+N724+Q724+T724</f>
        <v/>
      </c>
    </row>
    <row r="725">
      <c r="A725" s="29" t="n"/>
      <c r="B725" s="29" t="n"/>
      <c r="C725" s="29" t="n"/>
      <c r="D725" s="29" t="n"/>
      <c r="E725" s="29" t="n"/>
      <c r="F725" s="29" t="n"/>
      <c r="G725" s="29" t="n"/>
      <c r="H725" s="67">
        <f>IF(base!F725&lt;&gt;"",VLOOKUP(F725,de_para!$A$1:$B$31,2,0)*base!G725,0)</f>
        <v/>
      </c>
      <c r="I725" s="38" t="n"/>
      <c r="J725" s="29" t="n"/>
      <c r="K725" s="67">
        <f>IF(base!I725&lt;&gt;"",VLOOKUP(I725,de_para!$A$1:$B$31,2,0)*base!J725,0)</f>
        <v/>
      </c>
      <c r="L725" s="38" t="n"/>
      <c r="M725" s="29" t="n"/>
      <c r="N725" s="67">
        <f>IF(base!L725&lt;&gt;"",VLOOKUP(L725,de_para!$A$1:$B$31,2,0)*base!M725,0)</f>
        <v/>
      </c>
      <c r="O725" s="38" t="n"/>
      <c r="P725" s="29" t="n"/>
      <c r="Q725" s="67">
        <f>IF(base!O725&lt;&gt;"",VLOOKUP(O725,de_para!$A$1:$B$31,2,0)*base!P725,0)</f>
        <v/>
      </c>
      <c r="R725" s="38" t="n"/>
      <c r="S725" s="29" t="n"/>
      <c r="T725" s="67">
        <f>IF(base!R725&lt;&gt;"",VLOOKUP(R725,de_para!$A$1:$B$31,2,0)*base!S725,0)</f>
        <v/>
      </c>
      <c r="U725" s="68">
        <f>H725+K725+N725+Q725+T725</f>
        <v/>
      </c>
    </row>
    <row r="726">
      <c r="A726" s="29" t="n"/>
      <c r="B726" s="29" t="n"/>
      <c r="C726" s="29" t="n"/>
      <c r="D726" s="29" t="n"/>
      <c r="E726" s="29" t="n"/>
      <c r="F726" s="29" t="n"/>
      <c r="G726" s="29" t="n"/>
      <c r="H726" s="67">
        <f>IF(base!F726&lt;&gt;"",VLOOKUP(F726,de_para!$A$1:$B$31,2,0)*base!G726,0)</f>
        <v/>
      </c>
      <c r="I726" s="38" t="n"/>
      <c r="J726" s="29" t="n"/>
      <c r="K726" s="67">
        <f>IF(base!I726&lt;&gt;"",VLOOKUP(I726,de_para!$A$1:$B$31,2,0)*base!J726,0)</f>
        <v/>
      </c>
      <c r="L726" s="38" t="n"/>
      <c r="M726" s="29" t="n"/>
      <c r="N726" s="67">
        <f>IF(base!L726&lt;&gt;"",VLOOKUP(L726,de_para!$A$1:$B$31,2,0)*base!M726,0)</f>
        <v/>
      </c>
      <c r="O726" s="38" t="n"/>
      <c r="P726" s="29" t="n"/>
      <c r="Q726" s="67">
        <f>IF(base!O726&lt;&gt;"",VLOOKUP(O726,de_para!$A$1:$B$31,2,0)*base!P726,0)</f>
        <v/>
      </c>
      <c r="R726" s="38" t="n"/>
      <c r="S726" s="29" t="n"/>
      <c r="T726" s="67">
        <f>IF(base!R726&lt;&gt;"",VLOOKUP(R726,de_para!$A$1:$B$31,2,0)*base!S726,0)</f>
        <v/>
      </c>
      <c r="U726" s="68">
        <f>H726+K726+N726+Q726+T726</f>
        <v/>
      </c>
    </row>
    <row r="727">
      <c r="A727" s="29" t="n"/>
      <c r="B727" s="29" t="n"/>
      <c r="C727" s="29" t="n"/>
      <c r="D727" s="29" t="n"/>
      <c r="E727" s="29" t="n"/>
      <c r="F727" s="29" t="n"/>
      <c r="G727" s="29" t="n"/>
      <c r="H727" s="67">
        <f>IF(base!F727&lt;&gt;"",VLOOKUP(F727,de_para!$A$1:$B$31,2,0)*base!G727,0)</f>
        <v/>
      </c>
      <c r="I727" s="38" t="n"/>
      <c r="J727" s="29" t="n"/>
      <c r="K727" s="67">
        <f>IF(base!I727&lt;&gt;"",VLOOKUP(I727,de_para!$A$1:$B$31,2,0)*base!J727,0)</f>
        <v/>
      </c>
      <c r="L727" s="38" t="n"/>
      <c r="M727" s="29" t="n"/>
      <c r="N727" s="67">
        <f>IF(base!L727&lt;&gt;"",VLOOKUP(L727,de_para!$A$1:$B$31,2,0)*base!M727,0)</f>
        <v/>
      </c>
      <c r="O727" s="38" t="n"/>
      <c r="P727" s="29" t="n"/>
      <c r="Q727" s="67">
        <f>IF(base!O727&lt;&gt;"",VLOOKUP(O727,de_para!$A$1:$B$31,2,0)*base!P727,0)</f>
        <v/>
      </c>
      <c r="R727" s="38" t="n"/>
      <c r="S727" s="29" t="n"/>
      <c r="T727" s="67">
        <f>IF(base!R727&lt;&gt;"",VLOOKUP(R727,de_para!$A$1:$B$31,2,0)*base!S727,0)</f>
        <v/>
      </c>
      <c r="U727" s="68">
        <f>H727+K727+N727+Q727+T727</f>
        <v/>
      </c>
    </row>
    <row r="728">
      <c r="A728" s="29" t="n"/>
      <c r="B728" s="29" t="n"/>
      <c r="C728" s="29" t="n"/>
      <c r="D728" s="29" t="n"/>
      <c r="E728" s="29" t="n"/>
      <c r="F728" s="29" t="n"/>
      <c r="G728" s="29" t="n"/>
      <c r="H728" s="67">
        <f>IF(base!F728&lt;&gt;"",VLOOKUP(F728,de_para!$A$1:$B$31,2,0)*base!G728,0)</f>
        <v/>
      </c>
      <c r="I728" s="38" t="n"/>
      <c r="J728" s="29" t="n"/>
      <c r="K728" s="67">
        <f>IF(base!I728&lt;&gt;"",VLOOKUP(I728,de_para!$A$1:$B$31,2,0)*base!J728,0)</f>
        <v/>
      </c>
      <c r="L728" s="38" t="n"/>
      <c r="M728" s="29" t="n"/>
      <c r="N728" s="67">
        <f>IF(base!L728&lt;&gt;"",VLOOKUP(L728,de_para!$A$1:$B$31,2,0)*base!M728,0)</f>
        <v/>
      </c>
      <c r="O728" s="38" t="n"/>
      <c r="P728" s="29" t="n"/>
      <c r="Q728" s="67">
        <f>IF(base!O728&lt;&gt;"",VLOOKUP(O728,de_para!$A$1:$B$31,2,0)*base!P728,0)</f>
        <v/>
      </c>
      <c r="R728" s="38" t="n"/>
      <c r="S728" s="29" t="n"/>
      <c r="T728" s="67">
        <f>IF(base!R728&lt;&gt;"",VLOOKUP(R728,de_para!$A$1:$B$31,2,0)*base!S728,0)</f>
        <v/>
      </c>
      <c r="U728" s="68">
        <f>H728+K728+N728+Q728+T728</f>
        <v/>
      </c>
    </row>
    <row r="729">
      <c r="A729" s="29" t="n"/>
      <c r="B729" s="29" t="n"/>
      <c r="C729" s="29" t="n"/>
      <c r="D729" s="29" t="n"/>
      <c r="E729" s="29" t="n"/>
      <c r="F729" s="29" t="n"/>
      <c r="G729" s="29" t="n"/>
      <c r="H729" s="67">
        <f>IF(base!F729&lt;&gt;"",VLOOKUP(F729,de_para!$A$1:$B$31,2,0)*base!G729,0)</f>
        <v/>
      </c>
      <c r="I729" s="38" t="n"/>
      <c r="J729" s="29" t="n"/>
      <c r="K729" s="67">
        <f>IF(base!I729&lt;&gt;"",VLOOKUP(I729,de_para!$A$1:$B$31,2,0)*base!J729,0)</f>
        <v/>
      </c>
      <c r="L729" s="38" t="n"/>
      <c r="M729" s="29" t="n"/>
      <c r="N729" s="67">
        <f>IF(base!L729&lt;&gt;"",VLOOKUP(L729,de_para!$A$1:$B$31,2,0)*base!M729,0)</f>
        <v/>
      </c>
      <c r="O729" s="38" t="n"/>
      <c r="P729" s="29" t="n"/>
      <c r="Q729" s="67">
        <f>IF(base!O729&lt;&gt;"",VLOOKUP(O729,de_para!$A$1:$B$31,2,0)*base!P729,0)</f>
        <v/>
      </c>
      <c r="R729" s="38" t="n"/>
      <c r="S729" s="29" t="n"/>
      <c r="T729" s="67">
        <f>IF(base!R729&lt;&gt;"",VLOOKUP(R729,de_para!$A$1:$B$31,2,0)*base!S729,0)</f>
        <v/>
      </c>
      <c r="U729" s="68">
        <f>H729+K729+N729+Q729+T729</f>
        <v/>
      </c>
    </row>
    <row r="730">
      <c r="A730" s="29" t="n"/>
      <c r="B730" s="29" t="n"/>
      <c r="C730" s="29" t="n"/>
      <c r="D730" s="29" t="n"/>
      <c r="E730" s="29" t="n"/>
      <c r="F730" s="29" t="n"/>
      <c r="G730" s="29" t="n"/>
      <c r="H730" s="67">
        <f>IF(base!F730&lt;&gt;"",VLOOKUP(F730,de_para!$A$1:$B$31,2,0)*base!G730,0)</f>
        <v/>
      </c>
      <c r="I730" s="38" t="n"/>
      <c r="J730" s="29" t="n"/>
      <c r="K730" s="67">
        <f>IF(base!I730&lt;&gt;"",VLOOKUP(I730,de_para!$A$1:$B$31,2,0)*base!J730,0)</f>
        <v/>
      </c>
      <c r="L730" s="38" t="n"/>
      <c r="M730" s="29" t="n"/>
      <c r="N730" s="67">
        <f>IF(base!L730&lt;&gt;"",VLOOKUP(L730,de_para!$A$1:$B$31,2,0)*base!M730,0)</f>
        <v/>
      </c>
      <c r="O730" s="38" t="n"/>
      <c r="P730" s="29" t="n"/>
      <c r="Q730" s="67">
        <f>IF(base!O730&lt;&gt;"",VLOOKUP(O730,de_para!$A$1:$B$31,2,0)*base!P730,0)</f>
        <v/>
      </c>
      <c r="R730" s="38" t="n"/>
      <c r="S730" s="29" t="n"/>
      <c r="T730" s="67">
        <f>IF(base!R730&lt;&gt;"",VLOOKUP(R730,de_para!$A$1:$B$31,2,0)*base!S730,0)</f>
        <v/>
      </c>
      <c r="U730" s="68">
        <f>H730+K730+N730+Q730+T730</f>
        <v/>
      </c>
    </row>
    <row r="731">
      <c r="A731" s="29" t="n"/>
      <c r="B731" s="29" t="n"/>
      <c r="C731" s="29" t="n"/>
      <c r="D731" s="29" t="n"/>
      <c r="E731" s="29" t="n"/>
      <c r="F731" s="29" t="n"/>
      <c r="G731" s="29" t="n"/>
      <c r="H731" s="67">
        <f>IF(base!F731&lt;&gt;"",VLOOKUP(F731,de_para!$A$1:$B$31,2,0)*base!G731,0)</f>
        <v/>
      </c>
      <c r="I731" s="38" t="n"/>
      <c r="J731" s="29" t="n"/>
      <c r="K731" s="67">
        <f>IF(base!I731&lt;&gt;"",VLOOKUP(I731,de_para!$A$1:$B$31,2,0)*base!J731,0)</f>
        <v/>
      </c>
      <c r="L731" s="38" t="n"/>
      <c r="M731" s="29" t="n"/>
      <c r="N731" s="67">
        <f>IF(base!L731&lt;&gt;"",VLOOKUP(L731,de_para!$A$1:$B$31,2,0)*base!M731,0)</f>
        <v/>
      </c>
      <c r="O731" s="38" t="n"/>
      <c r="P731" s="29" t="n"/>
      <c r="Q731" s="67">
        <f>IF(base!O731&lt;&gt;"",VLOOKUP(O731,de_para!$A$1:$B$31,2,0)*base!P731,0)</f>
        <v/>
      </c>
      <c r="R731" s="38" t="n"/>
      <c r="S731" s="29" t="n"/>
      <c r="T731" s="67">
        <f>IF(base!R731&lt;&gt;"",VLOOKUP(R731,de_para!$A$1:$B$31,2,0)*base!S731,0)</f>
        <v/>
      </c>
      <c r="U731" s="68">
        <f>H731+K731+N731+Q731+T731</f>
        <v/>
      </c>
    </row>
    <row r="732">
      <c r="A732" s="29" t="n"/>
      <c r="B732" s="29" t="n"/>
      <c r="C732" s="29" t="n"/>
      <c r="D732" s="29" t="n"/>
      <c r="E732" s="29" t="n"/>
      <c r="F732" s="29" t="n"/>
      <c r="G732" s="29" t="n"/>
      <c r="H732" s="67">
        <f>IF(base!F732&lt;&gt;"",VLOOKUP(F732,de_para!$A$1:$B$31,2,0)*base!G732,0)</f>
        <v/>
      </c>
      <c r="I732" s="38" t="n"/>
      <c r="J732" s="29" t="n"/>
      <c r="K732" s="67">
        <f>IF(base!I732&lt;&gt;"",VLOOKUP(I732,de_para!$A$1:$B$31,2,0)*base!J732,0)</f>
        <v/>
      </c>
      <c r="L732" s="38" t="n"/>
      <c r="M732" s="29" t="n"/>
      <c r="N732" s="67">
        <f>IF(base!L732&lt;&gt;"",VLOOKUP(L732,de_para!$A$1:$B$31,2,0)*base!M732,0)</f>
        <v/>
      </c>
      <c r="O732" s="38" t="n"/>
      <c r="P732" s="29" t="n"/>
      <c r="Q732" s="67">
        <f>IF(base!O732&lt;&gt;"",VLOOKUP(O732,de_para!$A$1:$B$31,2,0)*base!P732,0)</f>
        <v/>
      </c>
      <c r="R732" s="38" t="n"/>
      <c r="S732" s="29" t="n"/>
      <c r="T732" s="67">
        <f>IF(base!R732&lt;&gt;"",VLOOKUP(R732,de_para!$A$1:$B$31,2,0)*base!S732,0)</f>
        <v/>
      </c>
      <c r="U732" s="68">
        <f>H732+K732+N732+Q732+T732</f>
        <v/>
      </c>
    </row>
    <row r="733">
      <c r="A733" s="29" t="n"/>
      <c r="B733" s="29" t="n"/>
      <c r="C733" s="29" t="n"/>
      <c r="D733" s="29" t="n"/>
      <c r="E733" s="29" t="n"/>
      <c r="F733" s="29" t="n"/>
      <c r="G733" s="29" t="n"/>
      <c r="H733" s="67">
        <f>IF(base!F733&lt;&gt;"",VLOOKUP(F733,de_para!$A$1:$B$31,2,0)*base!G733,0)</f>
        <v/>
      </c>
      <c r="I733" s="38" t="n"/>
      <c r="J733" s="29" t="n"/>
      <c r="K733" s="67">
        <f>IF(base!I733&lt;&gt;"",VLOOKUP(I733,de_para!$A$1:$B$31,2,0)*base!J733,0)</f>
        <v/>
      </c>
      <c r="L733" s="38" t="n"/>
      <c r="M733" s="29" t="n"/>
      <c r="N733" s="67">
        <f>IF(base!L733&lt;&gt;"",VLOOKUP(L733,de_para!$A$1:$B$31,2,0)*base!M733,0)</f>
        <v/>
      </c>
      <c r="O733" s="38" t="n"/>
      <c r="P733" s="29" t="n"/>
      <c r="Q733" s="67">
        <f>IF(base!O733&lt;&gt;"",VLOOKUP(O733,de_para!$A$1:$B$31,2,0)*base!P733,0)</f>
        <v/>
      </c>
      <c r="R733" s="38" t="n"/>
      <c r="S733" s="29" t="n"/>
      <c r="T733" s="67">
        <f>IF(base!R733&lt;&gt;"",VLOOKUP(R733,de_para!$A$1:$B$31,2,0)*base!S733,0)</f>
        <v/>
      </c>
      <c r="U733" s="68">
        <f>H733+K733+N733+Q733+T733</f>
        <v/>
      </c>
    </row>
    <row r="734">
      <c r="A734" s="29" t="n"/>
      <c r="B734" s="29" t="n"/>
      <c r="C734" s="29" t="n"/>
      <c r="D734" s="29" t="n"/>
      <c r="E734" s="29" t="n"/>
      <c r="F734" s="29" t="n"/>
      <c r="G734" s="29" t="n"/>
      <c r="H734" s="67">
        <f>IF(base!F734&lt;&gt;"",VLOOKUP(F734,de_para!$A$1:$B$31,2,0)*base!G734,0)</f>
        <v/>
      </c>
      <c r="I734" s="38" t="n"/>
      <c r="J734" s="29" t="n"/>
      <c r="K734" s="67">
        <f>IF(base!I734&lt;&gt;"",VLOOKUP(I734,de_para!$A$1:$B$31,2,0)*base!J734,0)</f>
        <v/>
      </c>
      <c r="L734" s="38" t="n"/>
      <c r="M734" s="29" t="n"/>
      <c r="N734" s="67">
        <f>IF(base!L734&lt;&gt;"",VLOOKUP(L734,de_para!$A$1:$B$31,2,0)*base!M734,0)</f>
        <v/>
      </c>
      <c r="O734" s="38" t="n"/>
      <c r="P734" s="29" t="n"/>
      <c r="Q734" s="67">
        <f>IF(base!O734&lt;&gt;"",VLOOKUP(O734,de_para!$A$1:$B$31,2,0)*base!P734,0)</f>
        <v/>
      </c>
      <c r="R734" s="38" t="n"/>
      <c r="S734" s="29" t="n"/>
      <c r="T734" s="67">
        <f>IF(base!R734&lt;&gt;"",VLOOKUP(R734,de_para!$A$1:$B$31,2,0)*base!S734,0)</f>
        <v/>
      </c>
      <c r="U734" s="68">
        <f>H734+K734+N734+Q734+T734</f>
        <v/>
      </c>
    </row>
    <row r="735">
      <c r="A735" s="29" t="n"/>
      <c r="B735" s="29" t="n"/>
      <c r="C735" s="29" t="n"/>
      <c r="D735" s="29" t="n"/>
      <c r="E735" s="29" t="n"/>
      <c r="F735" s="29" t="n"/>
      <c r="G735" s="29" t="n"/>
      <c r="H735" s="67">
        <f>IF(base!F735&lt;&gt;"",VLOOKUP(F735,de_para!$A$1:$B$31,2,0)*base!G735,0)</f>
        <v/>
      </c>
      <c r="I735" s="38" t="n"/>
      <c r="J735" s="29" t="n"/>
      <c r="K735" s="67">
        <f>IF(base!I735&lt;&gt;"",VLOOKUP(I735,de_para!$A$1:$B$31,2,0)*base!J735,0)</f>
        <v/>
      </c>
      <c r="L735" s="38" t="n"/>
      <c r="M735" s="29" t="n"/>
      <c r="N735" s="67">
        <f>IF(base!L735&lt;&gt;"",VLOOKUP(L735,de_para!$A$1:$B$31,2,0)*base!M735,0)</f>
        <v/>
      </c>
      <c r="O735" s="38" t="n"/>
      <c r="P735" s="29" t="n"/>
      <c r="Q735" s="67">
        <f>IF(base!O735&lt;&gt;"",VLOOKUP(O735,de_para!$A$1:$B$31,2,0)*base!P735,0)</f>
        <v/>
      </c>
      <c r="R735" s="38" t="n"/>
      <c r="S735" s="29" t="n"/>
      <c r="T735" s="67">
        <f>IF(base!R735&lt;&gt;"",VLOOKUP(R735,de_para!$A$1:$B$31,2,0)*base!S735,0)</f>
        <v/>
      </c>
      <c r="U735" s="68">
        <f>H735+K735+N735+Q735+T735</f>
        <v/>
      </c>
    </row>
    <row r="736">
      <c r="A736" s="29" t="n"/>
      <c r="B736" s="29" t="n"/>
      <c r="C736" s="29" t="n"/>
      <c r="D736" s="29" t="n"/>
      <c r="E736" s="29" t="n"/>
      <c r="F736" s="29" t="n"/>
      <c r="G736" s="29" t="n"/>
      <c r="H736" s="67">
        <f>IF(base!F736&lt;&gt;"",VLOOKUP(F736,de_para!$A$1:$B$31,2,0)*base!G736,0)</f>
        <v/>
      </c>
      <c r="I736" s="38" t="n"/>
      <c r="J736" s="29" t="n"/>
      <c r="K736" s="67">
        <f>IF(base!I736&lt;&gt;"",VLOOKUP(I736,de_para!$A$1:$B$31,2,0)*base!J736,0)</f>
        <v/>
      </c>
      <c r="L736" s="38" t="n"/>
      <c r="M736" s="29" t="n"/>
      <c r="N736" s="67">
        <f>IF(base!L736&lt;&gt;"",VLOOKUP(L736,de_para!$A$1:$B$31,2,0)*base!M736,0)</f>
        <v/>
      </c>
      <c r="O736" s="38" t="n"/>
      <c r="P736" s="29" t="n"/>
      <c r="Q736" s="67">
        <f>IF(base!O736&lt;&gt;"",VLOOKUP(O736,de_para!$A$1:$B$31,2,0)*base!P736,0)</f>
        <v/>
      </c>
      <c r="R736" s="38" t="n"/>
      <c r="S736" s="29" t="n"/>
      <c r="T736" s="67">
        <f>IF(base!R736&lt;&gt;"",VLOOKUP(R736,de_para!$A$1:$B$31,2,0)*base!S736,0)</f>
        <v/>
      </c>
      <c r="U736" s="68">
        <f>H736+K736+N736+Q736+T736</f>
        <v/>
      </c>
    </row>
    <row r="737">
      <c r="A737" s="29" t="n"/>
      <c r="B737" s="29" t="n"/>
      <c r="C737" s="29" t="n"/>
      <c r="D737" s="29" t="n"/>
      <c r="E737" s="29" t="n"/>
      <c r="F737" s="29" t="n"/>
      <c r="G737" s="29" t="n"/>
      <c r="H737" s="67">
        <f>IF(base!F737&lt;&gt;"",VLOOKUP(F737,de_para!$A$1:$B$31,2,0)*base!G737,0)</f>
        <v/>
      </c>
      <c r="I737" s="38" t="n"/>
      <c r="J737" s="29" t="n"/>
      <c r="K737" s="67">
        <f>IF(base!I737&lt;&gt;"",VLOOKUP(I737,de_para!$A$1:$B$31,2,0)*base!J737,0)</f>
        <v/>
      </c>
      <c r="L737" s="38" t="n"/>
      <c r="M737" s="29" t="n"/>
      <c r="N737" s="67">
        <f>IF(base!L737&lt;&gt;"",VLOOKUP(L737,de_para!$A$1:$B$31,2,0)*base!M737,0)</f>
        <v/>
      </c>
      <c r="O737" s="38" t="n"/>
      <c r="P737" s="29" t="n"/>
      <c r="Q737" s="67">
        <f>IF(base!O737&lt;&gt;"",VLOOKUP(O737,de_para!$A$1:$B$31,2,0)*base!P737,0)</f>
        <v/>
      </c>
      <c r="R737" s="38" t="n"/>
      <c r="S737" s="29" t="n"/>
      <c r="T737" s="67">
        <f>IF(base!R737&lt;&gt;"",VLOOKUP(R737,de_para!$A$1:$B$31,2,0)*base!S737,0)</f>
        <v/>
      </c>
      <c r="U737" s="68">
        <f>H737+K737+N737+Q737+T737</f>
        <v/>
      </c>
    </row>
    <row r="738">
      <c r="A738" s="29" t="n"/>
      <c r="B738" s="29" t="n"/>
      <c r="C738" s="29" t="n"/>
      <c r="D738" s="29" t="n"/>
      <c r="E738" s="29" t="n"/>
      <c r="F738" s="29" t="n"/>
      <c r="G738" s="29" t="n"/>
      <c r="H738" s="67">
        <f>IF(base!F738&lt;&gt;"",VLOOKUP(F738,de_para!$A$1:$B$31,2,0)*base!G738,0)</f>
        <v/>
      </c>
      <c r="I738" s="38" t="n"/>
      <c r="J738" s="29" t="n"/>
      <c r="K738" s="67">
        <f>IF(base!I738&lt;&gt;"",VLOOKUP(I738,de_para!$A$1:$B$31,2,0)*base!J738,0)</f>
        <v/>
      </c>
      <c r="L738" s="38" t="n"/>
      <c r="M738" s="29" t="n"/>
      <c r="N738" s="67">
        <f>IF(base!L738&lt;&gt;"",VLOOKUP(L738,de_para!$A$1:$B$31,2,0)*base!M738,0)</f>
        <v/>
      </c>
      <c r="O738" s="38" t="n"/>
      <c r="P738" s="29" t="n"/>
      <c r="Q738" s="67">
        <f>IF(base!O738&lt;&gt;"",VLOOKUP(O738,de_para!$A$1:$B$31,2,0)*base!P738,0)</f>
        <v/>
      </c>
      <c r="R738" s="38" t="n"/>
      <c r="S738" s="29" t="n"/>
      <c r="T738" s="67">
        <f>IF(base!R738&lt;&gt;"",VLOOKUP(R738,de_para!$A$1:$B$31,2,0)*base!S738,0)</f>
        <v/>
      </c>
      <c r="U738" s="68">
        <f>H738+K738+N738+Q738+T738</f>
        <v/>
      </c>
    </row>
    <row r="739">
      <c r="A739" s="29" t="n"/>
      <c r="B739" s="29" t="n"/>
      <c r="C739" s="29" t="n"/>
      <c r="D739" s="29" t="n"/>
      <c r="E739" s="29" t="n"/>
      <c r="F739" s="29" t="n"/>
      <c r="G739" s="29" t="n"/>
      <c r="H739" s="67">
        <f>IF(base!F739&lt;&gt;"",VLOOKUP(F739,de_para!$A$1:$B$31,2,0)*base!G739,0)</f>
        <v/>
      </c>
      <c r="I739" s="38" t="n"/>
      <c r="J739" s="29" t="n"/>
      <c r="K739" s="67">
        <f>IF(base!I739&lt;&gt;"",VLOOKUP(I739,de_para!$A$1:$B$31,2,0)*base!J739,0)</f>
        <v/>
      </c>
      <c r="L739" s="38" t="n"/>
      <c r="M739" s="29" t="n"/>
      <c r="N739" s="67">
        <f>IF(base!L739&lt;&gt;"",VLOOKUP(L739,de_para!$A$1:$B$31,2,0)*base!M739,0)</f>
        <v/>
      </c>
      <c r="O739" s="38" t="n"/>
      <c r="P739" s="29" t="n"/>
      <c r="Q739" s="67">
        <f>IF(base!O739&lt;&gt;"",VLOOKUP(O739,de_para!$A$1:$B$31,2,0)*base!P739,0)</f>
        <v/>
      </c>
      <c r="R739" s="38" t="n"/>
      <c r="S739" s="29" t="n"/>
      <c r="T739" s="67">
        <f>IF(base!R739&lt;&gt;"",VLOOKUP(R739,de_para!$A$1:$B$31,2,0)*base!S739,0)</f>
        <v/>
      </c>
      <c r="U739" s="68">
        <f>H739+K739+N739+Q739+T739</f>
        <v/>
      </c>
    </row>
    <row r="740">
      <c r="A740" s="29" t="n"/>
      <c r="B740" s="29" t="n"/>
      <c r="C740" s="29" t="n"/>
      <c r="D740" s="29" t="n"/>
      <c r="E740" s="29" t="n"/>
      <c r="F740" s="29" t="n"/>
      <c r="G740" s="29" t="n"/>
      <c r="H740" s="67">
        <f>IF(base!F740&lt;&gt;"",VLOOKUP(F740,de_para!$A$1:$B$31,2,0)*base!G740,0)</f>
        <v/>
      </c>
      <c r="I740" s="38" t="n"/>
      <c r="J740" s="29" t="n"/>
      <c r="K740" s="67">
        <f>IF(base!I740&lt;&gt;"",VLOOKUP(I740,de_para!$A$1:$B$31,2,0)*base!J740,0)</f>
        <v/>
      </c>
      <c r="L740" s="38" t="n"/>
      <c r="M740" s="29" t="n"/>
      <c r="N740" s="67">
        <f>IF(base!L740&lt;&gt;"",VLOOKUP(L740,de_para!$A$1:$B$31,2,0)*base!M740,0)</f>
        <v/>
      </c>
      <c r="O740" s="38" t="n"/>
      <c r="P740" s="29" t="n"/>
      <c r="Q740" s="67">
        <f>IF(base!O740&lt;&gt;"",VLOOKUP(O740,de_para!$A$1:$B$31,2,0)*base!P740,0)</f>
        <v/>
      </c>
      <c r="R740" s="38" t="n"/>
      <c r="S740" s="29" t="n"/>
      <c r="T740" s="67">
        <f>IF(base!R740&lt;&gt;"",VLOOKUP(R740,de_para!$A$1:$B$31,2,0)*base!S740,0)</f>
        <v/>
      </c>
      <c r="U740" s="68">
        <f>H740+K740+N740+Q740+T740</f>
        <v/>
      </c>
    </row>
    <row r="741">
      <c r="A741" s="29" t="n"/>
      <c r="B741" s="29" t="n"/>
      <c r="C741" s="29" t="n"/>
      <c r="D741" s="29" t="n"/>
      <c r="E741" s="29" t="n"/>
      <c r="F741" s="29" t="n"/>
      <c r="G741" s="29" t="n"/>
      <c r="H741" s="67">
        <f>IF(base!F741&lt;&gt;"",VLOOKUP(F741,de_para!$A$1:$B$31,2,0)*base!G741,0)</f>
        <v/>
      </c>
      <c r="I741" s="38" t="n"/>
      <c r="J741" s="29" t="n"/>
      <c r="K741" s="67">
        <f>IF(base!I741&lt;&gt;"",VLOOKUP(I741,de_para!$A$1:$B$31,2,0)*base!J741,0)</f>
        <v/>
      </c>
      <c r="L741" s="38" t="n"/>
      <c r="M741" s="29" t="n"/>
      <c r="N741" s="67">
        <f>IF(base!L741&lt;&gt;"",VLOOKUP(L741,de_para!$A$1:$B$31,2,0)*base!M741,0)</f>
        <v/>
      </c>
      <c r="O741" s="38" t="n"/>
      <c r="P741" s="29" t="n"/>
      <c r="Q741" s="67">
        <f>IF(base!O741&lt;&gt;"",VLOOKUP(O741,de_para!$A$1:$B$31,2,0)*base!P741,0)</f>
        <v/>
      </c>
      <c r="R741" s="38" t="n"/>
      <c r="S741" s="29" t="n"/>
      <c r="T741" s="67">
        <f>IF(base!R741&lt;&gt;"",VLOOKUP(R741,de_para!$A$1:$B$31,2,0)*base!S741,0)</f>
        <v/>
      </c>
      <c r="U741" s="68">
        <f>H741+K741+N741+Q741+T741</f>
        <v/>
      </c>
    </row>
    <row r="742">
      <c r="A742" s="29" t="n"/>
      <c r="B742" s="29" t="n"/>
      <c r="C742" s="29" t="n"/>
      <c r="D742" s="29" t="n"/>
      <c r="E742" s="29" t="n"/>
      <c r="F742" s="29" t="n"/>
      <c r="G742" s="29" t="n"/>
      <c r="H742" s="67">
        <f>IF(base!F742&lt;&gt;"",VLOOKUP(F742,de_para!$A$1:$B$31,2,0)*base!G742,0)</f>
        <v/>
      </c>
      <c r="I742" s="38" t="n"/>
      <c r="J742" s="29" t="n"/>
      <c r="K742" s="67">
        <f>IF(base!I742&lt;&gt;"",VLOOKUP(I742,de_para!$A$1:$B$31,2,0)*base!J742,0)</f>
        <v/>
      </c>
      <c r="L742" s="38" t="n"/>
      <c r="M742" s="29" t="n"/>
      <c r="N742" s="67">
        <f>IF(base!L742&lt;&gt;"",VLOOKUP(L742,de_para!$A$1:$B$31,2,0)*base!M742,0)</f>
        <v/>
      </c>
      <c r="O742" s="38" t="n"/>
      <c r="P742" s="29" t="n"/>
      <c r="Q742" s="67">
        <f>IF(base!O742&lt;&gt;"",VLOOKUP(O742,de_para!$A$1:$B$31,2,0)*base!P742,0)</f>
        <v/>
      </c>
      <c r="R742" s="38" t="n"/>
      <c r="S742" s="29" t="n"/>
      <c r="T742" s="67">
        <f>IF(base!R742&lt;&gt;"",VLOOKUP(R742,de_para!$A$1:$B$31,2,0)*base!S742,0)</f>
        <v/>
      </c>
      <c r="U742" s="68">
        <f>H742+K742+N742+Q742+T742</f>
        <v/>
      </c>
    </row>
    <row r="743">
      <c r="A743" s="29" t="n"/>
      <c r="B743" s="29" t="n"/>
      <c r="C743" s="29" t="n"/>
      <c r="D743" s="29" t="n"/>
      <c r="E743" s="29" t="n"/>
      <c r="F743" s="29" t="n"/>
      <c r="G743" s="29" t="n"/>
      <c r="H743" s="67">
        <f>IF(base!F743&lt;&gt;"",VLOOKUP(F743,de_para!$A$1:$B$31,2,0)*base!G743,0)</f>
        <v/>
      </c>
      <c r="I743" s="38" t="n"/>
      <c r="J743" s="29" t="n"/>
      <c r="K743" s="67">
        <f>IF(base!I743&lt;&gt;"",VLOOKUP(I743,de_para!$A$1:$B$31,2,0)*base!J743,0)</f>
        <v/>
      </c>
      <c r="L743" s="38" t="n"/>
      <c r="M743" s="29" t="n"/>
      <c r="N743" s="67">
        <f>IF(base!L743&lt;&gt;"",VLOOKUP(L743,de_para!$A$1:$B$31,2,0)*base!M743,0)</f>
        <v/>
      </c>
      <c r="O743" s="38" t="n"/>
      <c r="P743" s="29" t="n"/>
      <c r="Q743" s="67">
        <f>IF(base!O743&lt;&gt;"",VLOOKUP(O743,de_para!$A$1:$B$31,2,0)*base!P743,0)</f>
        <v/>
      </c>
      <c r="R743" s="38" t="n"/>
      <c r="S743" s="29" t="n"/>
      <c r="T743" s="67">
        <f>IF(base!R743&lt;&gt;"",VLOOKUP(R743,de_para!$A$1:$B$31,2,0)*base!S743,0)</f>
        <v/>
      </c>
      <c r="U743" s="68">
        <f>H743+K743+N743+Q743+T743</f>
        <v/>
      </c>
    </row>
    <row r="744">
      <c r="A744" s="29" t="n"/>
      <c r="B744" s="29" t="n"/>
      <c r="C744" s="29" t="n"/>
      <c r="D744" s="29" t="n"/>
      <c r="E744" s="29" t="n"/>
      <c r="F744" s="29" t="n"/>
      <c r="G744" s="29" t="n"/>
      <c r="H744" s="67">
        <f>IF(base!F744&lt;&gt;"",VLOOKUP(F744,de_para!$A$1:$B$31,2,0)*base!G744,0)</f>
        <v/>
      </c>
      <c r="I744" s="38" t="n"/>
      <c r="J744" s="29" t="n"/>
      <c r="K744" s="67">
        <f>IF(base!I744&lt;&gt;"",VLOOKUP(I744,de_para!$A$1:$B$31,2,0)*base!J744,0)</f>
        <v/>
      </c>
      <c r="L744" s="38" t="n"/>
      <c r="M744" s="29" t="n"/>
      <c r="N744" s="67">
        <f>IF(base!L744&lt;&gt;"",VLOOKUP(L744,de_para!$A$1:$B$31,2,0)*base!M744,0)</f>
        <v/>
      </c>
      <c r="O744" s="38" t="n"/>
      <c r="P744" s="29" t="n"/>
      <c r="Q744" s="67">
        <f>IF(base!O744&lt;&gt;"",VLOOKUP(O744,de_para!$A$1:$B$31,2,0)*base!P744,0)</f>
        <v/>
      </c>
      <c r="R744" s="38" t="n"/>
      <c r="S744" s="29" t="n"/>
      <c r="T744" s="67">
        <f>IF(base!R744&lt;&gt;"",VLOOKUP(R744,de_para!$A$1:$B$31,2,0)*base!S744,0)</f>
        <v/>
      </c>
      <c r="U744" s="68">
        <f>H744+K744+N744+Q744+T744</f>
        <v/>
      </c>
    </row>
    <row r="745">
      <c r="A745" s="29" t="n"/>
      <c r="B745" s="29" t="n"/>
      <c r="C745" s="29" t="n"/>
      <c r="D745" s="29" t="n"/>
      <c r="E745" s="29" t="n"/>
      <c r="F745" s="29" t="n"/>
      <c r="G745" s="29" t="n"/>
      <c r="H745" s="67">
        <f>IF(base!F745&lt;&gt;"",VLOOKUP(F745,de_para!$A$1:$B$31,2,0)*base!G745,0)</f>
        <v/>
      </c>
      <c r="I745" s="38" t="n"/>
      <c r="J745" s="29" t="n"/>
      <c r="K745" s="67">
        <f>IF(base!I745&lt;&gt;"",VLOOKUP(I745,de_para!$A$1:$B$31,2,0)*base!J745,0)</f>
        <v/>
      </c>
      <c r="L745" s="38" t="n"/>
      <c r="M745" s="29" t="n"/>
      <c r="N745" s="67">
        <f>IF(base!L745&lt;&gt;"",VLOOKUP(L745,de_para!$A$1:$B$31,2,0)*base!M745,0)</f>
        <v/>
      </c>
      <c r="O745" s="38" t="n"/>
      <c r="P745" s="29" t="n"/>
      <c r="Q745" s="67">
        <f>IF(base!O745&lt;&gt;"",VLOOKUP(O745,de_para!$A$1:$B$31,2,0)*base!P745,0)</f>
        <v/>
      </c>
      <c r="R745" s="38" t="n"/>
      <c r="S745" s="29" t="n"/>
      <c r="T745" s="67">
        <f>IF(base!R745&lt;&gt;"",VLOOKUP(R745,de_para!$A$1:$B$31,2,0)*base!S745,0)</f>
        <v/>
      </c>
      <c r="U745" s="68">
        <f>H745+K745+N745+Q745+T745</f>
        <v/>
      </c>
    </row>
    <row r="746">
      <c r="A746" s="29" t="n"/>
      <c r="B746" s="29" t="n"/>
      <c r="C746" s="29" t="n"/>
      <c r="D746" s="29" t="n"/>
      <c r="E746" s="29" t="n"/>
      <c r="F746" s="29" t="n"/>
      <c r="G746" s="29" t="n"/>
      <c r="H746" s="67">
        <f>IF(base!F746&lt;&gt;"",VLOOKUP(F746,de_para!$A$1:$B$31,2,0)*base!G746,0)</f>
        <v/>
      </c>
      <c r="I746" s="38" t="n"/>
      <c r="J746" s="29" t="n"/>
      <c r="K746" s="67">
        <f>IF(base!I746&lt;&gt;"",VLOOKUP(I746,de_para!$A$1:$B$31,2,0)*base!J746,0)</f>
        <v/>
      </c>
      <c r="L746" s="38" t="n"/>
      <c r="M746" s="29" t="n"/>
      <c r="N746" s="67">
        <f>IF(base!L746&lt;&gt;"",VLOOKUP(L746,de_para!$A$1:$B$31,2,0)*base!M746,0)</f>
        <v/>
      </c>
      <c r="O746" s="38" t="n"/>
      <c r="P746" s="29" t="n"/>
      <c r="Q746" s="67">
        <f>IF(base!O746&lt;&gt;"",VLOOKUP(O746,de_para!$A$1:$B$31,2,0)*base!P746,0)</f>
        <v/>
      </c>
      <c r="R746" s="38" t="n"/>
      <c r="S746" s="29" t="n"/>
      <c r="T746" s="67">
        <f>IF(base!R746&lt;&gt;"",VLOOKUP(R746,de_para!$A$1:$B$31,2,0)*base!S746,0)</f>
        <v/>
      </c>
      <c r="U746" s="68">
        <f>H746+K746+N746+Q746+T746</f>
        <v/>
      </c>
    </row>
    <row r="747">
      <c r="A747" s="29" t="n"/>
      <c r="B747" s="29" t="n"/>
      <c r="C747" s="29" t="n"/>
      <c r="D747" s="29" t="n"/>
      <c r="E747" s="29" t="n"/>
      <c r="F747" s="29" t="n"/>
      <c r="G747" s="29" t="n"/>
      <c r="H747" s="67">
        <f>IF(base!F747&lt;&gt;"",VLOOKUP(F747,de_para!$A$1:$B$31,2,0)*base!G747,0)</f>
        <v/>
      </c>
      <c r="I747" s="38" t="n"/>
      <c r="J747" s="29" t="n"/>
      <c r="K747" s="67">
        <f>IF(base!I747&lt;&gt;"",VLOOKUP(I747,de_para!$A$1:$B$31,2,0)*base!J747,0)</f>
        <v/>
      </c>
      <c r="L747" s="38" t="n"/>
      <c r="M747" s="29" t="n"/>
      <c r="N747" s="67">
        <f>IF(base!L747&lt;&gt;"",VLOOKUP(L747,de_para!$A$1:$B$31,2,0)*base!M747,0)</f>
        <v/>
      </c>
      <c r="O747" s="38" t="n"/>
      <c r="P747" s="29" t="n"/>
      <c r="Q747" s="67">
        <f>IF(base!O747&lt;&gt;"",VLOOKUP(O747,de_para!$A$1:$B$31,2,0)*base!P747,0)</f>
        <v/>
      </c>
      <c r="R747" s="38" t="n"/>
      <c r="S747" s="29" t="n"/>
      <c r="T747" s="67">
        <f>IF(base!R747&lt;&gt;"",VLOOKUP(R747,de_para!$A$1:$B$31,2,0)*base!S747,0)</f>
        <v/>
      </c>
      <c r="U747" s="68">
        <f>H747+K747+N747+Q747+T747</f>
        <v/>
      </c>
    </row>
    <row r="748">
      <c r="A748" s="29" t="n"/>
      <c r="B748" s="29" t="n"/>
      <c r="C748" s="29" t="n"/>
      <c r="D748" s="29" t="n"/>
      <c r="E748" s="29" t="n"/>
      <c r="F748" s="29" t="n"/>
      <c r="G748" s="29" t="n"/>
      <c r="H748" s="67">
        <f>IF(base!F748&lt;&gt;"",VLOOKUP(F748,de_para!$A$1:$B$31,2,0)*base!G748,0)</f>
        <v/>
      </c>
      <c r="I748" s="38" t="n"/>
      <c r="J748" s="29" t="n"/>
      <c r="K748" s="67">
        <f>IF(base!I748&lt;&gt;"",VLOOKUP(I748,de_para!$A$1:$B$31,2,0)*base!J748,0)</f>
        <v/>
      </c>
      <c r="L748" s="38" t="n"/>
      <c r="M748" s="29" t="n"/>
      <c r="N748" s="67">
        <f>IF(base!L748&lt;&gt;"",VLOOKUP(L748,de_para!$A$1:$B$31,2,0)*base!M748,0)</f>
        <v/>
      </c>
      <c r="O748" s="38" t="n"/>
      <c r="P748" s="29" t="n"/>
      <c r="Q748" s="67">
        <f>IF(base!O748&lt;&gt;"",VLOOKUP(O748,de_para!$A$1:$B$31,2,0)*base!P748,0)</f>
        <v/>
      </c>
      <c r="R748" s="38" t="n"/>
      <c r="S748" s="29" t="n"/>
      <c r="T748" s="67">
        <f>IF(base!R748&lt;&gt;"",VLOOKUP(R748,de_para!$A$1:$B$31,2,0)*base!S748,0)</f>
        <v/>
      </c>
      <c r="U748" s="68">
        <f>H748+K748+N748+Q748+T748</f>
        <v/>
      </c>
    </row>
    <row r="749">
      <c r="A749" s="29" t="n"/>
      <c r="B749" s="29" t="n"/>
      <c r="C749" s="29" t="n"/>
      <c r="D749" s="29" t="n"/>
      <c r="E749" s="29" t="n"/>
      <c r="F749" s="29" t="n"/>
      <c r="G749" s="29" t="n"/>
      <c r="H749" s="67">
        <f>IF(base!F749&lt;&gt;"",VLOOKUP(F749,de_para!$A$1:$B$31,2,0)*base!G749,0)</f>
        <v/>
      </c>
      <c r="I749" s="38" t="n"/>
      <c r="J749" s="29" t="n"/>
      <c r="K749" s="67">
        <f>IF(base!I749&lt;&gt;"",VLOOKUP(I749,de_para!$A$1:$B$31,2,0)*base!J749,0)</f>
        <v/>
      </c>
      <c r="L749" s="38" t="n"/>
      <c r="M749" s="29" t="n"/>
      <c r="N749" s="67">
        <f>IF(base!L749&lt;&gt;"",VLOOKUP(L749,de_para!$A$1:$B$31,2,0)*base!M749,0)</f>
        <v/>
      </c>
      <c r="O749" s="38" t="n"/>
      <c r="P749" s="29" t="n"/>
      <c r="Q749" s="67">
        <f>IF(base!O749&lt;&gt;"",VLOOKUP(O749,de_para!$A$1:$B$31,2,0)*base!P749,0)</f>
        <v/>
      </c>
      <c r="R749" s="38" t="n"/>
      <c r="S749" s="29" t="n"/>
      <c r="T749" s="67">
        <f>IF(base!R749&lt;&gt;"",VLOOKUP(R749,de_para!$A$1:$B$31,2,0)*base!S749,0)</f>
        <v/>
      </c>
      <c r="U749" s="68">
        <f>H749+K749+N749+Q749+T749</f>
        <v/>
      </c>
    </row>
    <row r="750">
      <c r="A750" s="29" t="n"/>
      <c r="B750" s="29" t="n"/>
      <c r="C750" s="29" t="n"/>
      <c r="D750" s="29" t="n"/>
      <c r="E750" s="29" t="n"/>
      <c r="F750" s="29" t="n"/>
      <c r="G750" s="29" t="n"/>
      <c r="H750" s="67">
        <f>IF(base!F750&lt;&gt;"",VLOOKUP(F750,de_para!$A$1:$B$31,2,0)*base!G750,0)</f>
        <v/>
      </c>
      <c r="I750" s="38" t="n"/>
      <c r="J750" s="29" t="n"/>
      <c r="K750" s="67">
        <f>IF(base!I750&lt;&gt;"",VLOOKUP(I750,de_para!$A$1:$B$31,2,0)*base!J750,0)</f>
        <v/>
      </c>
      <c r="L750" s="38" t="n"/>
      <c r="M750" s="29" t="n"/>
      <c r="N750" s="67">
        <f>IF(base!L750&lt;&gt;"",VLOOKUP(L750,de_para!$A$1:$B$31,2,0)*base!M750,0)</f>
        <v/>
      </c>
      <c r="O750" s="38" t="n"/>
      <c r="P750" s="29" t="n"/>
      <c r="Q750" s="67">
        <f>IF(base!O750&lt;&gt;"",VLOOKUP(O750,de_para!$A$1:$B$31,2,0)*base!P750,0)</f>
        <v/>
      </c>
      <c r="R750" s="38" t="n"/>
      <c r="S750" s="29" t="n"/>
      <c r="T750" s="67">
        <f>IF(base!R750&lt;&gt;"",VLOOKUP(R750,de_para!$A$1:$B$31,2,0)*base!S750,0)</f>
        <v/>
      </c>
      <c r="U750" s="68">
        <f>H750+K750+N750+Q750+T750</f>
        <v/>
      </c>
    </row>
    <row r="751">
      <c r="A751" s="29" t="n"/>
      <c r="B751" s="29" t="n"/>
      <c r="C751" s="29" t="n"/>
      <c r="D751" s="29" t="n"/>
      <c r="E751" s="29" t="n"/>
      <c r="F751" s="29" t="n"/>
      <c r="G751" s="29" t="n"/>
      <c r="H751" s="67">
        <f>IF(base!F751&lt;&gt;"",VLOOKUP(F751,de_para!$A$1:$B$31,2,0)*base!G751,0)</f>
        <v/>
      </c>
      <c r="I751" s="38" t="n"/>
      <c r="J751" s="29" t="n"/>
      <c r="K751" s="67">
        <f>IF(base!I751&lt;&gt;"",VLOOKUP(I751,de_para!$A$1:$B$31,2,0)*base!J751,0)</f>
        <v/>
      </c>
      <c r="L751" s="38" t="n"/>
      <c r="M751" s="29" t="n"/>
      <c r="N751" s="67">
        <f>IF(base!L751&lt;&gt;"",VLOOKUP(L751,de_para!$A$1:$B$31,2,0)*base!M751,0)</f>
        <v/>
      </c>
      <c r="O751" s="38" t="n"/>
      <c r="P751" s="29" t="n"/>
      <c r="Q751" s="67">
        <f>IF(base!O751&lt;&gt;"",VLOOKUP(O751,de_para!$A$1:$B$31,2,0)*base!P751,0)</f>
        <v/>
      </c>
      <c r="R751" s="38" t="n"/>
      <c r="S751" s="29" t="n"/>
      <c r="T751" s="67">
        <f>IF(base!R751&lt;&gt;"",VLOOKUP(R751,de_para!$A$1:$B$31,2,0)*base!S751,0)</f>
        <v/>
      </c>
      <c r="U751" s="68">
        <f>H751+K751+N751+Q751+T751</f>
        <v/>
      </c>
    </row>
    <row r="752">
      <c r="A752" s="29" t="n"/>
      <c r="B752" s="29" t="n"/>
      <c r="C752" s="29" t="n"/>
      <c r="D752" s="29" t="n"/>
      <c r="E752" s="29" t="n"/>
      <c r="F752" s="29" t="n"/>
      <c r="G752" s="29" t="n"/>
      <c r="H752" s="67">
        <f>IF(base!F752&lt;&gt;"",VLOOKUP(F752,de_para!$A$1:$B$31,2,0)*base!G752,0)</f>
        <v/>
      </c>
      <c r="I752" s="38" t="n"/>
      <c r="J752" s="29" t="n"/>
      <c r="K752" s="67">
        <f>IF(base!I752&lt;&gt;"",VLOOKUP(I752,de_para!$A$1:$B$31,2,0)*base!J752,0)</f>
        <v/>
      </c>
      <c r="L752" s="38" t="n"/>
      <c r="M752" s="29" t="n"/>
      <c r="N752" s="67">
        <f>IF(base!L752&lt;&gt;"",VLOOKUP(L752,de_para!$A$1:$B$31,2,0)*base!M752,0)</f>
        <v/>
      </c>
      <c r="O752" s="38" t="n"/>
      <c r="P752" s="29" t="n"/>
      <c r="Q752" s="67">
        <f>IF(base!O752&lt;&gt;"",VLOOKUP(O752,de_para!$A$1:$B$31,2,0)*base!P752,0)</f>
        <v/>
      </c>
      <c r="R752" s="38" t="n"/>
      <c r="S752" s="29" t="n"/>
      <c r="T752" s="67">
        <f>IF(base!R752&lt;&gt;"",VLOOKUP(R752,de_para!$A$1:$B$31,2,0)*base!S752,0)</f>
        <v/>
      </c>
      <c r="U752" s="68">
        <f>H752+K752+N752+Q752+T752</f>
        <v/>
      </c>
    </row>
    <row r="753">
      <c r="A753" s="29" t="n"/>
      <c r="B753" s="29" t="n"/>
      <c r="C753" s="29" t="n"/>
      <c r="D753" s="29" t="n"/>
      <c r="E753" s="29" t="n"/>
      <c r="F753" s="29" t="n"/>
      <c r="G753" s="29" t="n"/>
      <c r="H753" s="67">
        <f>IF(base!F753&lt;&gt;"",VLOOKUP(F753,de_para!$A$1:$B$31,2,0)*base!G753,0)</f>
        <v/>
      </c>
      <c r="I753" s="38" t="n"/>
      <c r="J753" s="29" t="n"/>
      <c r="K753" s="67">
        <f>IF(base!I753&lt;&gt;"",VLOOKUP(I753,de_para!$A$1:$B$31,2,0)*base!J753,0)</f>
        <v/>
      </c>
      <c r="L753" s="38" t="n"/>
      <c r="M753" s="29" t="n"/>
      <c r="N753" s="67">
        <f>IF(base!L753&lt;&gt;"",VLOOKUP(L753,de_para!$A$1:$B$31,2,0)*base!M753,0)</f>
        <v/>
      </c>
      <c r="O753" s="38" t="n"/>
      <c r="P753" s="29" t="n"/>
      <c r="Q753" s="67">
        <f>IF(base!O753&lt;&gt;"",VLOOKUP(O753,de_para!$A$1:$B$31,2,0)*base!P753,0)</f>
        <v/>
      </c>
      <c r="R753" s="38" t="n"/>
      <c r="S753" s="29" t="n"/>
      <c r="T753" s="67">
        <f>IF(base!R753&lt;&gt;"",VLOOKUP(R753,de_para!$A$1:$B$31,2,0)*base!S753,0)</f>
        <v/>
      </c>
      <c r="U753" s="68">
        <f>H753+K753+N753+Q753+T753</f>
        <v/>
      </c>
    </row>
    <row r="754">
      <c r="A754" s="29" t="n"/>
      <c r="B754" s="29" t="n"/>
      <c r="C754" s="29" t="n"/>
      <c r="D754" s="29" t="n"/>
      <c r="E754" s="29" t="n"/>
      <c r="F754" s="29" t="n"/>
      <c r="G754" s="29" t="n"/>
      <c r="H754" s="67">
        <f>IF(base!F754&lt;&gt;"",VLOOKUP(F754,de_para!$A$1:$B$31,2,0)*base!G754,0)</f>
        <v/>
      </c>
      <c r="I754" s="38" t="n"/>
      <c r="J754" s="29" t="n"/>
      <c r="K754" s="67">
        <f>IF(base!I754&lt;&gt;"",VLOOKUP(I754,de_para!$A$1:$B$31,2,0)*base!J754,0)</f>
        <v/>
      </c>
      <c r="L754" s="38" t="n"/>
      <c r="M754" s="29" t="n"/>
      <c r="N754" s="67">
        <f>IF(base!L754&lt;&gt;"",VLOOKUP(L754,de_para!$A$1:$B$31,2,0)*base!M754,0)</f>
        <v/>
      </c>
      <c r="O754" s="38" t="n"/>
      <c r="P754" s="29" t="n"/>
      <c r="Q754" s="67">
        <f>IF(base!O754&lt;&gt;"",VLOOKUP(O754,de_para!$A$1:$B$31,2,0)*base!P754,0)</f>
        <v/>
      </c>
      <c r="R754" s="38" t="n"/>
      <c r="S754" s="29" t="n"/>
      <c r="T754" s="67">
        <f>IF(base!R754&lt;&gt;"",VLOOKUP(R754,de_para!$A$1:$B$31,2,0)*base!S754,0)</f>
        <v/>
      </c>
      <c r="U754" s="68">
        <f>H754+K754+N754+Q754+T754</f>
        <v/>
      </c>
    </row>
    <row r="755">
      <c r="A755" s="29" t="n"/>
      <c r="B755" s="29" t="n"/>
      <c r="C755" s="29" t="n"/>
      <c r="D755" s="29" t="n"/>
      <c r="E755" s="29" t="n"/>
      <c r="F755" s="29" t="n"/>
      <c r="G755" s="29" t="n"/>
      <c r="H755" s="67">
        <f>IF(base!F755&lt;&gt;"",VLOOKUP(F755,de_para!$A$1:$B$31,2,0)*base!G755,0)</f>
        <v/>
      </c>
      <c r="I755" s="38" t="n"/>
      <c r="J755" s="29" t="n"/>
      <c r="K755" s="67">
        <f>IF(base!I755&lt;&gt;"",VLOOKUP(I755,de_para!$A$1:$B$31,2,0)*base!J755,0)</f>
        <v/>
      </c>
      <c r="L755" s="38" t="n"/>
      <c r="M755" s="29" t="n"/>
      <c r="N755" s="67">
        <f>IF(base!L755&lt;&gt;"",VLOOKUP(L755,de_para!$A$1:$B$31,2,0)*base!M755,0)</f>
        <v/>
      </c>
      <c r="O755" s="38" t="n"/>
      <c r="P755" s="29" t="n"/>
      <c r="Q755" s="67">
        <f>IF(base!O755&lt;&gt;"",VLOOKUP(O755,de_para!$A$1:$B$31,2,0)*base!P755,0)</f>
        <v/>
      </c>
      <c r="R755" s="38" t="n"/>
      <c r="S755" s="29" t="n"/>
      <c r="T755" s="67">
        <f>IF(base!R755&lt;&gt;"",VLOOKUP(R755,de_para!$A$1:$B$31,2,0)*base!S755,0)</f>
        <v/>
      </c>
      <c r="U755" s="68">
        <f>H755+K755+N755+Q755+T755</f>
        <v/>
      </c>
    </row>
    <row r="756">
      <c r="A756" s="29" t="n"/>
      <c r="B756" s="29" t="n"/>
      <c r="C756" s="29" t="n"/>
      <c r="D756" s="29" t="n"/>
      <c r="E756" s="29" t="n"/>
      <c r="F756" s="29" t="n"/>
      <c r="G756" s="29" t="n"/>
      <c r="H756" s="67">
        <f>IF(base!F756&lt;&gt;"",VLOOKUP(F756,de_para!$A$1:$B$31,2,0)*base!G756,0)</f>
        <v/>
      </c>
      <c r="I756" s="38" t="n"/>
      <c r="J756" s="29" t="n"/>
      <c r="K756" s="67">
        <f>IF(base!I756&lt;&gt;"",VLOOKUP(I756,de_para!$A$1:$B$31,2,0)*base!J756,0)</f>
        <v/>
      </c>
      <c r="L756" s="38" t="n"/>
      <c r="M756" s="29" t="n"/>
      <c r="N756" s="67">
        <f>IF(base!L756&lt;&gt;"",VLOOKUP(L756,de_para!$A$1:$B$31,2,0)*base!M756,0)</f>
        <v/>
      </c>
      <c r="O756" s="38" t="n"/>
      <c r="P756" s="29" t="n"/>
      <c r="Q756" s="67">
        <f>IF(base!O756&lt;&gt;"",VLOOKUP(O756,de_para!$A$1:$B$31,2,0)*base!P756,0)</f>
        <v/>
      </c>
      <c r="R756" s="38" t="n"/>
      <c r="S756" s="29" t="n"/>
      <c r="T756" s="67">
        <f>IF(base!R756&lt;&gt;"",VLOOKUP(R756,de_para!$A$1:$B$31,2,0)*base!S756,0)</f>
        <v/>
      </c>
      <c r="U756" s="68">
        <f>H756+K756+N756+Q756+T756</f>
        <v/>
      </c>
    </row>
    <row r="757">
      <c r="A757" s="29" t="n"/>
      <c r="B757" s="29" t="n"/>
      <c r="C757" s="29" t="n"/>
      <c r="D757" s="29" t="n"/>
      <c r="E757" s="29" t="n"/>
      <c r="F757" s="29" t="n"/>
      <c r="G757" s="29" t="n"/>
      <c r="H757" s="67">
        <f>IF(base!F757&lt;&gt;"",VLOOKUP(F757,de_para!$A$1:$B$31,2,0)*base!G757,0)</f>
        <v/>
      </c>
      <c r="I757" s="38" t="n"/>
      <c r="J757" s="29" t="n"/>
      <c r="K757" s="67">
        <f>IF(base!I757&lt;&gt;"",VLOOKUP(I757,de_para!$A$1:$B$31,2,0)*base!J757,0)</f>
        <v/>
      </c>
      <c r="L757" s="38" t="n"/>
      <c r="M757" s="29" t="n"/>
      <c r="N757" s="67">
        <f>IF(base!L757&lt;&gt;"",VLOOKUP(L757,de_para!$A$1:$B$31,2,0)*base!M757,0)</f>
        <v/>
      </c>
      <c r="O757" s="38" t="n"/>
      <c r="P757" s="29" t="n"/>
      <c r="Q757" s="67">
        <f>IF(base!O757&lt;&gt;"",VLOOKUP(O757,de_para!$A$1:$B$31,2,0)*base!P757,0)</f>
        <v/>
      </c>
      <c r="R757" s="38" t="n"/>
      <c r="S757" s="29" t="n"/>
      <c r="T757" s="67">
        <f>IF(base!R757&lt;&gt;"",VLOOKUP(R757,de_para!$A$1:$B$31,2,0)*base!S757,0)</f>
        <v/>
      </c>
      <c r="U757" s="68">
        <f>H757+K757+N757+Q757+T757</f>
        <v/>
      </c>
    </row>
    <row r="758">
      <c r="A758" s="29" t="n"/>
      <c r="B758" s="29" t="n"/>
      <c r="C758" s="29" t="n"/>
      <c r="D758" s="29" t="n"/>
      <c r="E758" s="29" t="n"/>
      <c r="F758" s="29" t="n"/>
      <c r="G758" s="29" t="n"/>
      <c r="H758" s="67">
        <f>IF(base!F758&lt;&gt;"",VLOOKUP(F758,de_para!$A$1:$B$31,2,0)*base!G758,0)</f>
        <v/>
      </c>
      <c r="I758" s="38" t="n"/>
      <c r="J758" s="29" t="n"/>
      <c r="K758" s="67">
        <f>IF(base!I758&lt;&gt;"",VLOOKUP(I758,de_para!$A$1:$B$31,2,0)*base!J758,0)</f>
        <v/>
      </c>
      <c r="L758" s="38" t="n"/>
      <c r="M758" s="29" t="n"/>
      <c r="N758" s="67">
        <f>IF(base!L758&lt;&gt;"",VLOOKUP(L758,de_para!$A$1:$B$31,2,0)*base!M758,0)</f>
        <v/>
      </c>
      <c r="O758" s="38" t="n"/>
      <c r="P758" s="29" t="n"/>
      <c r="Q758" s="67">
        <f>IF(base!O758&lt;&gt;"",VLOOKUP(O758,de_para!$A$1:$B$31,2,0)*base!P758,0)</f>
        <v/>
      </c>
      <c r="R758" s="38" t="n"/>
      <c r="S758" s="29" t="n"/>
      <c r="T758" s="67">
        <f>IF(base!R758&lt;&gt;"",VLOOKUP(R758,de_para!$A$1:$B$31,2,0)*base!S758,0)</f>
        <v/>
      </c>
      <c r="U758" s="68">
        <f>H758+K758+N758+Q758+T758</f>
        <v/>
      </c>
    </row>
    <row r="759">
      <c r="A759" s="29" t="n"/>
      <c r="B759" s="29" t="n"/>
      <c r="C759" s="29" t="n"/>
      <c r="D759" s="29" t="n"/>
      <c r="E759" s="29" t="n"/>
      <c r="F759" s="29" t="n"/>
      <c r="G759" s="29" t="n"/>
      <c r="H759" s="67">
        <f>IF(base!F759&lt;&gt;"",VLOOKUP(F759,de_para!$A$1:$B$31,2,0)*base!G759,0)</f>
        <v/>
      </c>
      <c r="I759" s="38" t="n"/>
      <c r="J759" s="29" t="n"/>
      <c r="K759" s="67">
        <f>IF(base!I759&lt;&gt;"",VLOOKUP(I759,de_para!$A$1:$B$31,2,0)*base!J759,0)</f>
        <v/>
      </c>
      <c r="L759" s="38" t="n"/>
      <c r="M759" s="29" t="n"/>
      <c r="N759" s="67">
        <f>IF(base!L759&lt;&gt;"",VLOOKUP(L759,de_para!$A$1:$B$31,2,0)*base!M759,0)</f>
        <v/>
      </c>
      <c r="O759" s="38" t="n"/>
      <c r="P759" s="29" t="n"/>
      <c r="Q759" s="67">
        <f>IF(base!O759&lt;&gt;"",VLOOKUP(O759,de_para!$A$1:$B$31,2,0)*base!P759,0)</f>
        <v/>
      </c>
      <c r="R759" s="38" t="n"/>
      <c r="S759" s="29" t="n"/>
      <c r="T759" s="67">
        <f>IF(base!R759&lt;&gt;"",VLOOKUP(R759,de_para!$A$1:$B$31,2,0)*base!S759,0)</f>
        <v/>
      </c>
      <c r="U759" s="68">
        <f>H759+K759+N759+Q759+T759</f>
        <v/>
      </c>
    </row>
    <row r="760">
      <c r="A760" s="29" t="n"/>
      <c r="B760" s="29" t="n"/>
      <c r="C760" s="29" t="n"/>
      <c r="D760" s="29" t="n"/>
      <c r="E760" s="29" t="n"/>
      <c r="F760" s="29" t="n"/>
      <c r="G760" s="29" t="n"/>
      <c r="H760" s="67">
        <f>IF(base!F760&lt;&gt;"",VLOOKUP(F760,de_para!$A$1:$B$31,2,0)*base!G760,0)</f>
        <v/>
      </c>
      <c r="I760" s="38" t="n"/>
      <c r="J760" s="29" t="n"/>
      <c r="K760" s="67">
        <f>IF(base!I760&lt;&gt;"",VLOOKUP(I760,de_para!$A$1:$B$31,2,0)*base!J760,0)</f>
        <v/>
      </c>
      <c r="L760" s="38" t="n"/>
      <c r="M760" s="29" t="n"/>
      <c r="N760" s="67">
        <f>IF(base!L760&lt;&gt;"",VLOOKUP(L760,de_para!$A$1:$B$31,2,0)*base!M760,0)</f>
        <v/>
      </c>
      <c r="O760" s="38" t="n"/>
      <c r="P760" s="29" t="n"/>
      <c r="Q760" s="67">
        <f>IF(base!O760&lt;&gt;"",VLOOKUP(O760,de_para!$A$1:$B$31,2,0)*base!P760,0)</f>
        <v/>
      </c>
      <c r="R760" s="38" t="n"/>
      <c r="S760" s="29" t="n"/>
      <c r="T760" s="67">
        <f>IF(base!R760&lt;&gt;"",VLOOKUP(R760,de_para!$A$1:$B$31,2,0)*base!S760,0)</f>
        <v/>
      </c>
      <c r="U760" s="68">
        <f>H760+K760+N760+Q760+T760</f>
        <v/>
      </c>
    </row>
    <row r="761">
      <c r="A761" s="29" t="n"/>
      <c r="B761" s="29" t="n"/>
      <c r="C761" s="29" t="n"/>
      <c r="D761" s="29" t="n"/>
      <c r="E761" s="29" t="n"/>
      <c r="F761" s="29" t="n"/>
      <c r="G761" s="29" t="n"/>
      <c r="H761" s="67">
        <f>IF(base!F761&lt;&gt;"",VLOOKUP(F761,de_para!$A$1:$B$31,2,0)*base!G761,0)</f>
        <v/>
      </c>
      <c r="I761" s="38" t="n"/>
      <c r="J761" s="29" t="n"/>
      <c r="K761" s="67">
        <f>IF(base!I761&lt;&gt;"",VLOOKUP(I761,de_para!$A$1:$B$31,2,0)*base!J761,0)</f>
        <v/>
      </c>
      <c r="L761" s="38" t="n"/>
      <c r="M761" s="29" t="n"/>
      <c r="N761" s="67">
        <f>IF(base!L761&lt;&gt;"",VLOOKUP(L761,de_para!$A$1:$B$31,2,0)*base!M761,0)</f>
        <v/>
      </c>
      <c r="O761" s="38" t="n"/>
      <c r="P761" s="29" t="n"/>
      <c r="Q761" s="67">
        <f>IF(base!O761&lt;&gt;"",VLOOKUP(O761,de_para!$A$1:$B$31,2,0)*base!P761,0)</f>
        <v/>
      </c>
      <c r="R761" s="38" t="n"/>
      <c r="S761" s="29" t="n"/>
      <c r="T761" s="67">
        <f>IF(base!R761&lt;&gt;"",VLOOKUP(R761,de_para!$A$1:$B$31,2,0)*base!S761,0)</f>
        <v/>
      </c>
      <c r="U761" s="68">
        <f>H761+K761+N761+Q761+T761</f>
        <v/>
      </c>
    </row>
    <row r="762">
      <c r="A762" s="29" t="n"/>
      <c r="B762" s="29" t="n"/>
      <c r="C762" s="29" t="n"/>
      <c r="D762" s="29" t="n"/>
      <c r="E762" s="29" t="n"/>
      <c r="F762" s="29" t="n"/>
      <c r="G762" s="29" t="n"/>
      <c r="H762" s="67">
        <f>IF(base!F762&lt;&gt;"",VLOOKUP(F762,de_para!$A$1:$B$31,2,0)*base!G762,0)</f>
        <v/>
      </c>
      <c r="I762" s="38" t="n"/>
      <c r="J762" s="29" t="n"/>
      <c r="K762" s="67">
        <f>IF(base!I762&lt;&gt;"",VLOOKUP(I762,de_para!$A$1:$B$31,2,0)*base!J762,0)</f>
        <v/>
      </c>
      <c r="L762" s="38" t="n"/>
      <c r="M762" s="29" t="n"/>
      <c r="N762" s="67">
        <f>IF(base!L762&lt;&gt;"",VLOOKUP(L762,de_para!$A$1:$B$31,2,0)*base!M762,0)</f>
        <v/>
      </c>
      <c r="O762" s="38" t="n"/>
      <c r="P762" s="29" t="n"/>
      <c r="Q762" s="67">
        <f>IF(base!O762&lt;&gt;"",VLOOKUP(O762,de_para!$A$1:$B$31,2,0)*base!P762,0)</f>
        <v/>
      </c>
      <c r="R762" s="38" t="n"/>
      <c r="S762" s="29" t="n"/>
      <c r="T762" s="67">
        <f>IF(base!R762&lt;&gt;"",VLOOKUP(R762,de_para!$A$1:$B$31,2,0)*base!S762,0)</f>
        <v/>
      </c>
      <c r="U762" s="68">
        <f>H762+K762+N762+Q762+T762</f>
        <v/>
      </c>
    </row>
    <row r="763">
      <c r="A763" s="29" t="n"/>
      <c r="B763" s="29" t="n"/>
      <c r="C763" s="29" t="n"/>
      <c r="D763" s="29" t="n"/>
      <c r="E763" s="29" t="n"/>
      <c r="F763" s="29" t="n"/>
      <c r="G763" s="29" t="n"/>
      <c r="H763" s="67">
        <f>IF(base!F763&lt;&gt;"",VLOOKUP(F763,de_para!$A$1:$B$31,2,0)*base!G763,0)</f>
        <v/>
      </c>
      <c r="I763" s="38" t="n"/>
      <c r="J763" s="29" t="n"/>
      <c r="K763" s="67">
        <f>IF(base!I763&lt;&gt;"",VLOOKUP(I763,de_para!$A$1:$B$31,2,0)*base!J763,0)</f>
        <v/>
      </c>
      <c r="L763" s="38" t="n"/>
      <c r="M763" s="29" t="n"/>
      <c r="N763" s="67">
        <f>IF(base!L763&lt;&gt;"",VLOOKUP(L763,de_para!$A$1:$B$31,2,0)*base!M763,0)</f>
        <v/>
      </c>
      <c r="O763" s="38" t="n"/>
      <c r="P763" s="29" t="n"/>
      <c r="Q763" s="67">
        <f>IF(base!O763&lt;&gt;"",VLOOKUP(O763,de_para!$A$1:$B$31,2,0)*base!P763,0)</f>
        <v/>
      </c>
      <c r="R763" s="38" t="n"/>
      <c r="S763" s="29" t="n"/>
      <c r="T763" s="67">
        <f>IF(base!R763&lt;&gt;"",VLOOKUP(R763,de_para!$A$1:$B$31,2,0)*base!S763,0)</f>
        <v/>
      </c>
      <c r="U763" s="68">
        <f>H763+K763+N763+Q763+T763</f>
        <v/>
      </c>
    </row>
    <row r="764">
      <c r="A764" s="29" t="n"/>
      <c r="B764" s="29" t="n"/>
      <c r="C764" s="29" t="n"/>
      <c r="D764" s="29" t="n"/>
      <c r="E764" s="29" t="n"/>
      <c r="F764" s="29" t="n"/>
      <c r="G764" s="29" t="n"/>
      <c r="H764" s="67">
        <f>IF(base!F764&lt;&gt;"",VLOOKUP(F764,de_para!$A$1:$B$31,2,0)*base!G764,0)</f>
        <v/>
      </c>
      <c r="I764" s="38" t="n"/>
      <c r="J764" s="29" t="n"/>
      <c r="K764" s="67">
        <f>IF(base!I764&lt;&gt;"",VLOOKUP(I764,de_para!$A$1:$B$31,2,0)*base!J764,0)</f>
        <v/>
      </c>
      <c r="L764" s="38" t="n"/>
      <c r="M764" s="29" t="n"/>
      <c r="N764" s="67">
        <f>IF(base!L764&lt;&gt;"",VLOOKUP(L764,de_para!$A$1:$B$31,2,0)*base!M764,0)</f>
        <v/>
      </c>
      <c r="O764" s="38" t="n"/>
      <c r="P764" s="29" t="n"/>
      <c r="Q764" s="67">
        <f>IF(base!O764&lt;&gt;"",VLOOKUP(O764,de_para!$A$1:$B$31,2,0)*base!P764,0)</f>
        <v/>
      </c>
      <c r="R764" s="38" t="n"/>
      <c r="S764" s="29" t="n"/>
      <c r="T764" s="67">
        <f>IF(base!R764&lt;&gt;"",VLOOKUP(R764,de_para!$A$1:$B$31,2,0)*base!S764,0)</f>
        <v/>
      </c>
      <c r="U764" s="68">
        <f>H764+K764+N764+Q764+T764</f>
        <v/>
      </c>
    </row>
    <row r="765">
      <c r="A765" s="29" t="n"/>
      <c r="B765" s="29" t="n"/>
      <c r="C765" s="29" t="n"/>
      <c r="D765" s="29" t="n"/>
      <c r="E765" s="29" t="n"/>
      <c r="F765" s="29" t="n"/>
      <c r="G765" s="29" t="n"/>
      <c r="H765" s="67">
        <f>IF(base!F765&lt;&gt;"",VLOOKUP(F765,de_para!$A$1:$B$31,2,0)*base!G765,0)</f>
        <v/>
      </c>
      <c r="I765" s="38" t="n"/>
      <c r="J765" s="29" t="n"/>
      <c r="K765" s="67">
        <f>IF(base!I765&lt;&gt;"",VLOOKUP(I765,de_para!$A$1:$B$31,2,0)*base!J765,0)</f>
        <v/>
      </c>
      <c r="L765" s="38" t="n"/>
      <c r="M765" s="29" t="n"/>
      <c r="N765" s="67">
        <f>IF(base!L765&lt;&gt;"",VLOOKUP(L765,de_para!$A$1:$B$31,2,0)*base!M765,0)</f>
        <v/>
      </c>
      <c r="O765" s="38" t="n"/>
      <c r="P765" s="29" t="n"/>
      <c r="Q765" s="67">
        <f>IF(base!O765&lt;&gt;"",VLOOKUP(O765,de_para!$A$1:$B$31,2,0)*base!P765,0)</f>
        <v/>
      </c>
      <c r="R765" s="38" t="n"/>
      <c r="S765" s="29" t="n"/>
      <c r="T765" s="67">
        <f>IF(base!R765&lt;&gt;"",VLOOKUP(R765,de_para!$A$1:$B$31,2,0)*base!S765,0)</f>
        <v/>
      </c>
      <c r="U765" s="68">
        <f>H765+K765+N765+Q765+T765</f>
        <v/>
      </c>
    </row>
    <row r="766">
      <c r="A766" s="29" t="n"/>
      <c r="B766" s="29" t="n"/>
      <c r="C766" s="29" t="n"/>
      <c r="D766" s="29" t="n"/>
      <c r="E766" s="29" t="n"/>
      <c r="F766" s="29" t="n"/>
      <c r="G766" s="29" t="n"/>
      <c r="H766" s="67">
        <f>IF(base!F766&lt;&gt;"",VLOOKUP(F766,de_para!$A$1:$B$31,2,0)*base!G766,0)</f>
        <v/>
      </c>
      <c r="I766" s="38" t="n"/>
      <c r="J766" s="29" t="n"/>
      <c r="K766" s="67">
        <f>IF(base!I766&lt;&gt;"",VLOOKUP(I766,de_para!$A$1:$B$31,2,0)*base!J766,0)</f>
        <v/>
      </c>
      <c r="L766" s="38" t="n"/>
      <c r="M766" s="29" t="n"/>
      <c r="N766" s="67">
        <f>IF(base!L766&lt;&gt;"",VLOOKUP(L766,de_para!$A$1:$B$31,2,0)*base!M766,0)</f>
        <v/>
      </c>
      <c r="O766" s="38" t="n"/>
      <c r="P766" s="29" t="n"/>
      <c r="Q766" s="67">
        <f>IF(base!O766&lt;&gt;"",VLOOKUP(O766,de_para!$A$1:$B$31,2,0)*base!P766,0)</f>
        <v/>
      </c>
      <c r="R766" s="38" t="n"/>
      <c r="S766" s="29" t="n"/>
      <c r="T766" s="67">
        <f>IF(base!R766&lt;&gt;"",VLOOKUP(R766,de_para!$A$1:$B$31,2,0)*base!S766,0)</f>
        <v/>
      </c>
      <c r="U766" s="68">
        <f>H766+K766+N766+Q766+T766</f>
        <v/>
      </c>
    </row>
    <row r="767">
      <c r="A767" s="29" t="n"/>
      <c r="B767" s="29" t="n"/>
      <c r="C767" s="29" t="n"/>
      <c r="D767" s="29" t="n"/>
      <c r="E767" s="29" t="n"/>
      <c r="F767" s="29" t="n"/>
      <c r="G767" s="29" t="n"/>
      <c r="H767" s="67">
        <f>IF(base!F767&lt;&gt;"",VLOOKUP(F767,de_para!$A$1:$B$31,2,0)*base!G767,0)</f>
        <v/>
      </c>
      <c r="I767" s="38" t="n"/>
      <c r="J767" s="29" t="n"/>
      <c r="K767" s="67">
        <f>IF(base!I767&lt;&gt;"",VLOOKUP(I767,de_para!$A$1:$B$31,2,0)*base!J767,0)</f>
        <v/>
      </c>
      <c r="L767" s="38" t="n"/>
      <c r="M767" s="29" t="n"/>
      <c r="N767" s="67">
        <f>IF(base!L767&lt;&gt;"",VLOOKUP(L767,de_para!$A$1:$B$31,2,0)*base!M767,0)</f>
        <v/>
      </c>
      <c r="O767" s="38" t="n"/>
      <c r="P767" s="29" t="n"/>
      <c r="Q767" s="67">
        <f>IF(base!O767&lt;&gt;"",VLOOKUP(O767,de_para!$A$1:$B$31,2,0)*base!P767,0)</f>
        <v/>
      </c>
      <c r="R767" s="38" t="n"/>
      <c r="S767" s="29" t="n"/>
      <c r="T767" s="67">
        <f>IF(base!R767&lt;&gt;"",VLOOKUP(R767,de_para!$A$1:$B$31,2,0)*base!S767,0)</f>
        <v/>
      </c>
      <c r="U767" s="68">
        <f>H767+K767+N767+Q767+T767</f>
        <v/>
      </c>
    </row>
    <row r="768">
      <c r="A768" s="29" t="n"/>
      <c r="B768" s="29" t="n"/>
      <c r="C768" s="29" t="n"/>
      <c r="D768" s="29" t="n"/>
      <c r="E768" s="29" t="n"/>
      <c r="F768" s="29" t="n"/>
      <c r="G768" s="29" t="n"/>
      <c r="H768" s="67">
        <f>IF(base!F768&lt;&gt;"",VLOOKUP(F768,de_para!$A$1:$B$31,2,0)*base!G768,0)</f>
        <v/>
      </c>
      <c r="I768" s="38" t="n"/>
      <c r="J768" s="29" t="n"/>
      <c r="K768" s="67">
        <f>IF(base!I768&lt;&gt;"",VLOOKUP(I768,de_para!$A$1:$B$31,2,0)*base!J768,0)</f>
        <v/>
      </c>
      <c r="L768" s="38" t="n"/>
      <c r="M768" s="29" t="n"/>
      <c r="N768" s="67">
        <f>IF(base!L768&lt;&gt;"",VLOOKUP(L768,de_para!$A$1:$B$31,2,0)*base!M768,0)</f>
        <v/>
      </c>
      <c r="O768" s="38" t="n"/>
      <c r="P768" s="29" t="n"/>
      <c r="Q768" s="67">
        <f>IF(base!O768&lt;&gt;"",VLOOKUP(O768,de_para!$A$1:$B$31,2,0)*base!P768,0)</f>
        <v/>
      </c>
      <c r="R768" s="38" t="n"/>
      <c r="S768" s="29" t="n"/>
      <c r="T768" s="67">
        <f>IF(base!R768&lt;&gt;"",VLOOKUP(R768,de_para!$A$1:$B$31,2,0)*base!S768,0)</f>
        <v/>
      </c>
      <c r="U768" s="68">
        <f>H768+K768+N768+Q768+T768</f>
        <v/>
      </c>
    </row>
    <row r="769">
      <c r="A769" s="29" t="n"/>
      <c r="B769" s="29" t="n"/>
      <c r="C769" s="29" t="n"/>
      <c r="D769" s="29" t="n"/>
      <c r="E769" s="29" t="n"/>
      <c r="F769" s="29" t="n"/>
      <c r="G769" s="29" t="n"/>
      <c r="H769" s="67">
        <f>IF(base!F769&lt;&gt;"",VLOOKUP(F769,de_para!$A$1:$B$31,2,0)*base!G769,0)</f>
        <v/>
      </c>
      <c r="I769" s="38" t="n"/>
      <c r="J769" s="29" t="n"/>
      <c r="K769" s="67">
        <f>IF(base!I769&lt;&gt;"",VLOOKUP(I769,de_para!$A$1:$B$31,2,0)*base!J769,0)</f>
        <v/>
      </c>
      <c r="L769" s="38" t="n"/>
      <c r="M769" s="29" t="n"/>
      <c r="N769" s="67">
        <f>IF(base!L769&lt;&gt;"",VLOOKUP(L769,de_para!$A$1:$B$31,2,0)*base!M769,0)</f>
        <v/>
      </c>
      <c r="O769" s="38" t="n"/>
      <c r="P769" s="29" t="n"/>
      <c r="Q769" s="67">
        <f>IF(base!O769&lt;&gt;"",VLOOKUP(O769,de_para!$A$1:$B$31,2,0)*base!P769,0)</f>
        <v/>
      </c>
      <c r="R769" s="38" t="n"/>
      <c r="S769" s="29" t="n"/>
      <c r="T769" s="67">
        <f>IF(base!R769&lt;&gt;"",VLOOKUP(R769,de_para!$A$1:$B$31,2,0)*base!S769,0)</f>
        <v/>
      </c>
      <c r="U769" s="68">
        <f>H769+K769+N769+Q769+T769</f>
        <v/>
      </c>
    </row>
    <row r="770">
      <c r="A770" s="29" t="n"/>
      <c r="B770" s="29" t="n"/>
      <c r="C770" s="29" t="n"/>
      <c r="D770" s="29" t="n"/>
      <c r="E770" s="29" t="n"/>
      <c r="F770" s="29" t="n"/>
      <c r="G770" s="29" t="n"/>
      <c r="H770" s="67">
        <f>IF(base!F770&lt;&gt;"",VLOOKUP(F770,de_para!$A$1:$B$31,2,0)*base!G770,0)</f>
        <v/>
      </c>
      <c r="I770" s="38" t="n"/>
      <c r="J770" s="29" t="n"/>
      <c r="K770" s="67">
        <f>IF(base!I770&lt;&gt;"",VLOOKUP(I770,de_para!$A$1:$B$31,2,0)*base!J770,0)</f>
        <v/>
      </c>
      <c r="L770" s="38" t="n"/>
      <c r="M770" s="29" t="n"/>
      <c r="N770" s="67">
        <f>IF(base!L770&lt;&gt;"",VLOOKUP(L770,de_para!$A$1:$B$31,2,0)*base!M770,0)</f>
        <v/>
      </c>
      <c r="O770" s="38" t="n"/>
      <c r="P770" s="29" t="n"/>
      <c r="Q770" s="67">
        <f>IF(base!O770&lt;&gt;"",VLOOKUP(O770,de_para!$A$1:$B$31,2,0)*base!P770,0)</f>
        <v/>
      </c>
      <c r="R770" s="38" t="n"/>
      <c r="S770" s="29" t="n"/>
      <c r="T770" s="67">
        <f>IF(base!R770&lt;&gt;"",VLOOKUP(R770,de_para!$A$1:$B$31,2,0)*base!S770,0)</f>
        <v/>
      </c>
      <c r="U770" s="68">
        <f>H770+K770+N770+Q770+T770</f>
        <v/>
      </c>
    </row>
    <row r="771">
      <c r="A771" s="29" t="n"/>
      <c r="B771" s="29" t="n"/>
      <c r="C771" s="29" t="n"/>
      <c r="D771" s="29" t="n"/>
      <c r="E771" s="29" t="n"/>
      <c r="F771" s="29" t="n"/>
      <c r="G771" s="29" t="n"/>
      <c r="H771" s="67">
        <f>IF(base!F771&lt;&gt;"",VLOOKUP(F771,de_para!$A$1:$B$31,2,0)*base!G771,0)</f>
        <v/>
      </c>
      <c r="I771" s="38" t="n"/>
      <c r="J771" s="29" t="n"/>
      <c r="K771" s="67">
        <f>IF(base!I771&lt;&gt;"",VLOOKUP(I771,de_para!$A$1:$B$31,2,0)*base!J771,0)</f>
        <v/>
      </c>
      <c r="L771" s="38" t="n"/>
      <c r="M771" s="29" t="n"/>
      <c r="N771" s="67">
        <f>IF(base!L771&lt;&gt;"",VLOOKUP(L771,de_para!$A$1:$B$31,2,0)*base!M771,0)</f>
        <v/>
      </c>
      <c r="O771" s="38" t="n"/>
      <c r="P771" s="29" t="n"/>
      <c r="Q771" s="67">
        <f>IF(base!O771&lt;&gt;"",VLOOKUP(O771,de_para!$A$1:$B$31,2,0)*base!P771,0)</f>
        <v/>
      </c>
      <c r="R771" s="38" t="n"/>
      <c r="S771" s="29" t="n"/>
      <c r="T771" s="67">
        <f>IF(base!R771&lt;&gt;"",VLOOKUP(R771,de_para!$A$1:$B$31,2,0)*base!S771,0)</f>
        <v/>
      </c>
      <c r="U771" s="68">
        <f>H771+K771+N771+Q771+T771</f>
        <v/>
      </c>
    </row>
    <row r="772">
      <c r="A772" s="29" t="n"/>
      <c r="B772" s="29" t="n"/>
      <c r="C772" s="29" t="n"/>
      <c r="D772" s="29" t="n"/>
      <c r="E772" s="29" t="n"/>
      <c r="F772" s="29" t="n"/>
      <c r="G772" s="29" t="n"/>
      <c r="H772" s="67">
        <f>IF(base!F772&lt;&gt;"",VLOOKUP(F772,de_para!$A$1:$B$31,2,0)*base!G772,0)</f>
        <v/>
      </c>
      <c r="I772" s="38" t="n"/>
      <c r="J772" s="29" t="n"/>
      <c r="K772" s="67">
        <f>IF(base!I772&lt;&gt;"",VLOOKUP(I772,de_para!$A$1:$B$31,2,0)*base!J772,0)</f>
        <v/>
      </c>
      <c r="L772" s="38" t="n"/>
      <c r="M772" s="29" t="n"/>
      <c r="N772" s="67">
        <f>IF(base!L772&lt;&gt;"",VLOOKUP(L772,de_para!$A$1:$B$31,2,0)*base!M772,0)</f>
        <v/>
      </c>
      <c r="O772" s="38" t="n"/>
      <c r="P772" s="29" t="n"/>
      <c r="Q772" s="67">
        <f>IF(base!O772&lt;&gt;"",VLOOKUP(O772,de_para!$A$1:$B$31,2,0)*base!P772,0)</f>
        <v/>
      </c>
      <c r="R772" s="38" t="n"/>
      <c r="S772" s="29" t="n"/>
      <c r="T772" s="67">
        <f>IF(base!R772&lt;&gt;"",VLOOKUP(R772,de_para!$A$1:$B$31,2,0)*base!S772,0)</f>
        <v/>
      </c>
      <c r="U772" s="68">
        <f>H772+K772+N772+Q772+T772</f>
        <v/>
      </c>
    </row>
    <row r="773">
      <c r="A773" s="29" t="n"/>
      <c r="B773" s="29" t="n"/>
      <c r="C773" s="29" t="n"/>
      <c r="D773" s="29" t="n"/>
      <c r="E773" s="29" t="n"/>
      <c r="F773" s="29" t="n"/>
      <c r="G773" s="29" t="n"/>
      <c r="H773" s="67">
        <f>IF(base!F773&lt;&gt;"",VLOOKUP(F773,de_para!$A$1:$B$31,2,0)*base!G773,0)</f>
        <v/>
      </c>
      <c r="I773" s="38" t="n"/>
      <c r="J773" s="29" t="n"/>
      <c r="K773" s="67">
        <f>IF(base!I773&lt;&gt;"",VLOOKUP(I773,de_para!$A$1:$B$31,2,0)*base!J773,0)</f>
        <v/>
      </c>
      <c r="L773" s="38" t="n"/>
      <c r="M773" s="29" t="n"/>
      <c r="N773" s="67">
        <f>IF(base!L773&lt;&gt;"",VLOOKUP(L773,de_para!$A$1:$B$31,2,0)*base!M773,0)</f>
        <v/>
      </c>
      <c r="O773" s="38" t="n"/>
      <c r="P773" s="29" t="n"/>
      <c r="Q773" s="67">
        <f>IF(base!O773&lt;&gt;"",VLOOKUP(O773,de_para!$A$1:$B$31,2,0)*base!P773,0)</f>
        <v/>
      </c>
      <c r="R773" s="38" t="n"/>
      <c r="S773" s="29" t="n"/>
      <c r="T773" s="67">
        <f>IF(base!R773&lt;&gt;"",VLOOKUP(R773,de_para!$A$1:$B$31,2,0)*base!S773,0)</f>
        <v/>
      </c>
      <c r="U773" s="68">
        <f>H773+K773+N773+Q773+T773</f>
        <v/>
      </c>
    </row>
    <row r="774">
      <c r="A774" s="29" t="n"/>
      <c r="B774" s="29" t="n"/>
      <c r="C774" s="29" t="n"/>
      <c r="D774" s="29" t="n"/>
      <c r="E774" s="29" t="n"/>
      <c r="F774" s="29" t="n"/>
      <c r="G774" s="29" t="n"/>
      <c r="H774" s="67">
        <f>IF(base!F774&lt;&gt;"",VLOOKUP(F774,de_para!$A$1:$B$31,2,0)*base!G774,0)</f>
        <v/>
      </c>
      <c r="I774" s="38" t="n"/>
      <c r="J774" s="29" t="n"/>
      <c r="K774" s="67">
        <f>IF(base!I774&lt;&gt;"",VLOOKUP(I774,de_para!$A$1:$B$31,2,0)*base!J774,0)</f>
        <v/>
      </c>
      <c r="L774" s="38" t="n"/>
      <c r="M774" s="29" t="n"/>
      <c r="N774" s="67">
        <f>IF(base!L774&lt;&gt;"",VLOOKUP(L774,de_para!$A$1:$B$31,2,0)*base!M774,0)</f>
        <v/>
      </c>
      <c r="O774" s="38" t="n"/>
      <c r="P774" s="29" t="n"/>
      <c r="Q774" s="67">
        <f>IF(base!O774&lt;&gt;"",VLOOKUP(O774,de_para!$A$1:$B$31,2,0)*base!P774,0)</f>
        <v/>
      </c>
      <c r="R774" s="38" t="n"/>
      <c r="S774" s="29" t="n"/>
      <c r="T774" s="67">
        <f>IF(base!R774&lt;&gt;"",VLOOKUP(R774,de_para!$A$1:$B$31,2,0)*base!S774,0)</f>
        <v/>
      </c>
      <c r="U774" s="68">
        <f>H774+K774+N774+Q774+T774</f>
        <v/>
      </c>
    </row>
    <row r="775">
      <c r="A775" s="29" t="n"/>
      <c r="B775" s="29" t="n"/>
      <c r="C775" s="29" t="n"/>
      <c r="D775" s="29" t="n"/>
      <c r="E775" s="29" t="n"/>
      <c r="F775" s="29" t="n"/>
      <c r="G775" s="29" t="n"/>
      <c r="H775" s="67">
        <f>IF(base!F775&lt;&gt;"",VLOOKUP(F775,de_para!$A$1:$B$31,2,0)*base!G775,0)</f>
        <v/>
      </c>
      <c r="I775" s="38" t="n"/>
      <c r="J775" s="29" t="n"/>
      <c r="K775" s="67">
        <f>IF(base!I775&lt;&gt;"",VLOOKUP(I775,de_para!$A$1:$B$31,2,0)*base!J775,0)</f>
        <v/>
      </c>
      <c r="L775" s="38" t="n"/>
      <c r="M775" s="29" t="n"/>
      <c r="N775" s="67">
        <f>IF(base!L775&lt;&gt;"",VLOOKUP(L775,de_para!$A$1:$B$31,2,0)*base!M775,0)</f>
        <v/>
      </c>
      <c r="O775" s="38" t="n"/>
      <c r="P775" s="29" t="n"/>
      <c r="Q775" s="67">
        <f>IF(base!O775&lt;&gt;"",VLOOKUP(O775,de_para!$A$1:$B$31,2,0)*base!P775,0)</f>
        <v/>
      </c>
      <c r="R775" s="38" t="n"/>
      <c r="S775" s="29" t="n"/>
      <c r="T775" s="67">
        <f>IF(base!R775&lt;&gt;"",VLOOKUP(R775,de_para!$A$1:$B$31,2,0)*base!S775,0)</f>
        <v/>
      </c>
      <c r="U775" s="68">
        <f>H775+K775+N775+Q775+T775</f>
        <v/>
      </c>
    </row>
    <row r="776">
      <c r="A776" s="29" t="n"/>
      <c r="B776" s="29" t="n"/>
      <c r="C776" s="29" t="n"/>
      <c r="D776" s="29" t="n"/>
      <c r="E776" s="29" t="n"/>
      <c r="F776" s="29" t="n"/>
      <c r="G776" s="29" t="n"/>
      <c r="H776" s="67">
        <f>IF(base!F776&lt;&gt;"",VLOOKUP(F776,de_para!$A$1:$B$31,2,0)*base!G776,0)</f>
        <v/>
      </c>
      <c r="I776" s="38" t="n"/>
      <c r="J776" s="29" t="n"/>
      <c r="K776" s="67">
        <f>IF(base!I776&lt;&gt;"",VLOOKUP(I776,de_para!$A$1:$B$31,2,0)*base!J776,0)</f>
        <v/>
      </c>
      <c r="L776" s="38" t="n"/>
      <c r="M776" s="29" t="n"/>
      <c r="N776" s="67">
        <f>IF(base!L776&lt;&gt;"",VLOOKUP(L776,de_para!$A$1:$B$31,2,0)*base!M776,0)</f>
        <v/>
      </c>
      <c r="O776" s="38" t="n"/>
      <c r="P776" s="29" t="n"/>
      <c r="Q776" s="67">
        <f>IF(base!O776&lt;&gt;"",VLOOKUP(O776,de_para!$A$1:$B$31,2,0)*base!P776,0)</f>
        <v/>
      </c>
      <c r="R776" s="38" t="n"/>
      <c r="S776" s="29" t="n"/>
      <c r="T776" s="67">
        <f>IF(base!R776&lt;&gt;"",VLOOKUP(R776,de_para!$A$1:$B$31,2,0)*base!S776,0)</f>
        <v/>
      </c>
      <c r="U776" s="68">
        <f>H776+K776+N776+Q776+T776</f>
        <v/>
      </c>
    </row>
    <row r="777">
      <c r="A777" s="29" t="n"/>
      <c r="B777" s="29" t="n"/>
      <c r="C777" s="29" t="n"/>
      <c r="D777" s="29" t="n"/>
      <c r="E777" s="29" t="n"/>
      <c r="F777" s="29" t="n"/>
      <c r="G777" s="29" t="n"/>
      <c r="H777" s="67">
        <f>IF(base!F777&lt;&gt;"",VLOOKUP(F777,de_para!$A$1:$B$31,2,0)*base!G777,0)</f>
        <v/>
      </c>
      <c r="I777" s="38" t="n"/>
      <c r="J777" s="29" t="n"/>
      <c r="K777" s="67">
        <f>IF(base!I777&lt;&gt;"",VLOOKUP(I777,de_para!$A$1:$B$31,2,0)*base!J777,0)</f>
        <v/>
      </c>
      <c r="L777" s="38" t="n"/>
      <c r="M777" s="29" t="n"/>
      <c r="N777" s="67">
        <f>IF(base!L777&lt;&gt;"",VLOOKUP(L777,de_para!$A$1:$B$31,2,0)*base!M777,0)</f>
        <v/>
      </c>
      <c r="O777" s="38" t="n"/>
      <c r="P777" s="29" t="n"/>
      <c r="Q777" s="67">
        <f>IF(base!O777&lt;&gt;"",VLOOKUP(O777,de_para!$A$1:$B$31,2,0)*base!P777,0)</f>
        <v/>
      </c>
      <c r="R777" s="38" t="n"/>
      <c r="S777" s="29" t="n"/>
      <c r="T777" s="67">
        <f>IF(base!R777&lt;&gt;"",VLOOKUP(R777,de_para!$A$1:$B$31,2,0)*base!S777,0)</f>
        <v/>
      </c>
      <c r="U777" s="68">
        <f>H777+K777+N777+Q777+T777</f>
        <v/>
      </c>
    </row>
    <row r="778">
      <c r="A778" s="29" t="n"/>
      <c r="B778" s="29" t="n"/>
      <c r="C778" s="29" t="n"/>
      <c r="D778" s="29" t="n"/>
      <c r="E778" s="29" t="n"/>
      <c r="F778" s="29" t="n"/>
      <c r="G778" s="29" t="n"/>
      <c r="H778" s="67">
        <f>IF(base!F778&lt;&gt;"",VLOOKUP(F778,de_para!$A$1:$B$31,2,0)*base!G778,0)</f>
        <v/>
      </c>
      <c r="I778" s="38" t="n"/>
      <c r="J778" s="29" t="n"/>
      <c r="K778" s="67">
        <f>IF(base!I778&lt;&gt;"",VLOOKUP(I778,de_para!$A$1:$B$31,2,0)*base!J778,0)</f>
        <v/>
      </c>
      <c r="L778" s="38" t="n"/>
      <c r="M778" s="29" t="n"/>
      <c r="N778" s="67">
        <f>IF(base!L778&lt;&gt;"",VLOOKUP(L778,de_para!$A$1:$B$31,2,0)*base!M778,0)</f>
        <v/>
      </c>
      <c r="O778" s="38" t="n"/>
      <c r="P778" s="29" t="n"/>
      <c r="Q778" s="67">
        <f>IF(base!O778&lt;&gt;"",VLOOKUP(O778,de_para!$A$1:$B$31,2,0)*base!P778,0)</f>
        <v/>
      </c>
      <c r="R778" s="38" t="n"/>
      <c r="S778" s="29" t="n"/>
      <c r="T778" s="67">
        <f>IF(base!R778&lt;&gt;"",VLOOKUP(R778,de_para!$A$1:$B$31,2,0)*base!S778,0)</f>
        <v/>
      </c>
      <c r="U778" s="68">
        <f>H778+K778+N778+Q778+T778</f>
        <v/>
      </c>
    </row>
    <row r="779">
      <c r="A779" s="29" t="n"/>
      <c r="B779" s="29" t="n"/>
      <c r="C779" s="29" t="n"/>
      <c r="D779" s="29" t="n"/>
      <c r="E779" s="29" t="n"/>
      <c r="F779" s="29" t="n"/>
      <c r="G779" s="29" t="n"/>
      <c r="H779" s="67">
        <f>IF(base!F779&lt;&gt;"",VLOOKUP(F779,de_para!$A$1:$B$31,2,0)*base!G779,0)</f>
        <v/>
      </c>
      <c r="I779" s="38" t="n"/>
      <c r="J779" s="29" t="n"/>
      <c r="K779" s="67">
        <f>IF(base!I779&lt;&gt;"",VLOOKUP(I779,de_para!$A$1:$B$31,2,0)*base!J779,0)</f>
        <v/>
      </c>
      <c r="L779" s="38" t="n"/>
      <c r="M779" s="29" t="n"/>
      <c r="N779" s="67">
        <f>IF(base!L779&lt;&gt;"",VLOOKUP(L779,de_para!$A$1:$B$31,2,0)*base!M779,0)</f>
        <v/>
      </c>
      <c r="O779" s="38" t="n"/>
      <c r="P779" s="29" t="n"/>
      <c r="Q779" s="67">
        <f>IF(base!O779&lt;&gt;"",VLOOKUP(O779,de_para!$A$1:$B$31,2,0)*base!P779,0)</f>
        <v/>
      </c>
      <c r="R779" s="38" t="n"/>
      <c r="S779" s="29" t="n"/>
      <c r="T779" s="67">
        <f>IF(base!R779&lt;&gt;"",VLOOKUP(R779,de_para!$A$1:$B$31,2,0)*base!S779,0)</f>
        <v/>
      </c>
      <c r="U779" s="68">
        <f>H779+K779+N779+Q779+T779</f>
        <v/>
      </c>
    </row>
    <row r="780">
      <c r="A780" s="29" t="n"/>
      <c r="B780" s="29" t="n"/>
      <c r="C780" s="29" t="n"/>
      <c r="D780" s="29" t="n"/>
      <c r="E780" s="29" t="n"/>
      <c r="F780" s="29" t="n"/>
      <c r="G780" s="29" t="n"/>
      <c r="H780" s="67">
        <f>IF(base!F780&lt;&gt;"",VLOOKUP(F780,de_para!$A$1:$B$31,2,0)*base!G780,0)</f>
        <v/>
      </c>
      <c r="I780" s="38" t="n"/>
      <c r="J780" s="29" t="n"/>
      <c r="K780" s="67">
        <f>IF(base!I780&lt;&gt;"",VLOOKUP(I780,de_para!$A$1:$B$31,2,0)*base!J780,0)</f>
        <v/>
      </c>
      <c r="L780" s="38" t="n"/>
      <c r="M780" s="29" t="n"/>
      <c r="N780" s="67">
        <f>IF(base!L780&lt;&gt;"",VLOOKUP(L780,de_para!$A$1:$B$31,2,0)*base!M780,0)</f>
        <v/>
      </c>
      <c r="O780" s="38" t="n"/>
      <c r="P780" s="29" t="n"/>
      <c r="Q780" s="67">
        <f>IF(base!O780&lt;&gt;"",VLOOKUP(O780,de_para!$A$1:$B$31,2,0)*base!P780,0)</f>
        <v/>
      </c>
      <c r="R780" s="38" t="n"/>
      <c r="S780" s="29" t="n"/>
      <c r="T780" s="67">
        <f>IF(base!R780&lt;&gt;"",VLOOKUP(R780,de_para!$A$1:$B$31,2,0)*base!S780,0)</f>
        <v/>
      </c>
      <c r="U780" s="68">
        <f>H780+K780+N780+Q780+T780</f>
        <v/>
      </c>
    </row>
    <row r="781">
      <c r="A781" s="29" t="n"/>
      <c r="B781" s="29" t="n"/>
      <c r="C781" s="29" t="n"/>
      <c r="D781" s="29" t="n"/>
      <c r="E781" s="29" t="n"/>
      <c r="F781" s="29" t="n"/>
      <c r="G781" s="29" t="n"/>
      <c r="H781" s="67">
        <f>IF(base!F781&lt;&gt;"",VLOOKUP(F781,de_para!$A$1:$B$31,2,0)*base!G781,0)</f>
        <v/>
      </c>
      <c r="I781" s="38" t="n"/>
      <c r="J781" s="29" t="n"/>
      <c r="K781" s="67">
        <f>IF(base!I781&lt;&gt;"",VLOOKUP(I781,de_para!$A$1:$B$31,2,0)*base!J781,0)</f>
        <v/>
      </c>
      <c r="L781" s="38" t="n"/>
      <c r="M781" s="29" t="n"/>
      <c r="N781" s="67">
        <f>IF(base!L781&lt;&gt;"",VLOOKUP(L781,de_para!$A$1:$B$31,2,0)*base!M781,0)</f>
        <v/>
      </c>
      <c r="O781" s="38" t="n"/>
      <c r="P781" s="29" t="n"/>
      <c r="Q781" s="67">
        <f>IF(base!O781&lt;&gt;"",VLOOKUP(O781,de_para!$A$1:$B$31,2,0)*base!P781,0)</f>
        <v/>
      </c>
      <c r="R781" s="38" t="n"/>
      <c r="S781" s="29" t="n"/>
      <c r="T781" s="67">
        <f>IF(base!R781&lt;&gt;"",VLOOKUP(R781,de_para!$A$1:$B$31,2,0)*base!S781,0)</f>
        <v/>
      </c>
      <c r="U781" s="68">
        <f>H781+K781+N781+Q781+T781</f>
        <v/>
      </c>
    </row>
    <row r="782">
      <c r="A782" s="29" t="n"/>
      <c r="B782" s="29" t="n"/>
      <c r="C782" s="29" t="n"/>
      <c r="D782" s="29" t="n"/>
      <c r="E782" s="29" t="n"/>
      <c r="F782" s="29" t="n"/>
      <c r="G782" s="29" t="n"/>
      <c r="H782" s="67">
        <f>IF(base!F782&lt;&gt;"",VLOOKUP(F782,de_para!$A$1:$B$31,2,0)*base!G782,0)</f>
        <v/>
      </c>
      <c r="I782" s="38" t="n"/>
      <c r="J782" s="29" t="n"/>
      <c r="K782" s="67">
        <f>IF(base!I782&lt;&gt;"",VLOOKUP(I782,de_para!$A$1:$B$31,2,0)*base!J782,0)</f>
        <v/>
      </c>
      <c r="L782" s="38" t="n"/>
      <c r="M782" s="29" t="n"/>
      <c r="N782" s="67">
        <f>IF(base!L782&lt;&gt;"",VLOOKUP(L782,de_para!$A$1:$B$31,2,0)*base!M782,0)</f>
        <v/>
      </c>
      <c r="O782" s="38" t="n"/>
      <c r="P782" s="29" t="n"/>
      <c r="Q782" s="67">
        <f>IF(base!O782&lt;&gt;"",VLOOKUP(O782,de_para!$A$1:$B$31,2,0)*base!P782,0)</f>
        <v/>
      </c>
      <c r="R782" s="38" t="n"/>
      <c r="S782" s="29" t="n"/>
      <c r="T782" s="67">
        <f>IF(base!R782&lt;&gt;"",VLOOKUP(R782,de_para!$A$1:$B$31,2,0)*base!S782,0)</f>
        <v/>
      </c>
      <c r="U782" s="68">
        <f>H782+K782+N782+Q782+T782</f>
        <v/>
      </c>
    </row>
    <row r="783">
      <c r="A783" s="29" t="n"/>
      <c r="B783" s="29" t="n"/>
      <c r="C783" s="29" t="n"/>
      <c r="D783" s="29" t="n"/>
      <c r="E783" s="29" t="n"/>
      <c r="F783" s="29" t="n"/>
      <c r="G783" s="29" t="n"/>
      <c r="H783" s="67">
        <f>IF(base!F783&lt;&gt;"",VLOOKUP(F783,de_para!$A$1:$B$31,2,0)*base!G783,0)</f>
        <v/>
      </c>
      <c r="I783" s="38" t="n"/>
      <c r="J783" s="29" t="n"/>
      <c r="K783" s="67">
        <f>IF(base!I783&lt;&gt;"",VLOOKUP(I783,de_para!$A$1:$B$31,2,0)*base!J783,0)</f>
        <v/>
      </c>
      <c r="L783" s="38" t="n"/>
      <c r="M783" s="29" t="n"/>
      <c r="N783" s="67">
        <f>IF(base!L783&lt;&gt;"",VLOOKUP(L783,de_para!$A$1:$B$31,2,0)*base!M783,0)</f>
        <v/>
      </c>
      <c r="O783" s="38" t="n"/>
      <c r="P783" s="29" t="n"/>
      <c r="Q783" s="67">
        <f>IF(base!O783&lt;&gt;"",VLOOKUP(O783,de_para!$A$1:$B$31,2,0)*base!P783,0)</f>
        <v/>
      </c>
      <c r="R783" s="38" t="n"/>
      <c r="S783" s="29" t="n"/>
      <c r="T783" s="67">
        <f>IF(base!R783&lt;&gt;"",VLOOKUP(R783,de_para!$A$1:$B$31,2,0)*base!S783,0)</f>
        <v/>
      </c>
      <c r="U783" s="68">
        <f>H783+K783+N783+Q783+T783</f>
        <v/>
      </c>
    </row>
    <row r="784">
      <c r="A784" s="29" t="n"/>
      <c r="B784" s="29" t="n"/>
      <c r="C784" s="29" t="n"/>
      <c r="D784" s="29" t="n"/>
      <c r="E784" s="29" t="n"/>
      <c r="F784" s="29" t="n"/>
      <c r="G784" s="29" t="n"/>
      <c r="H784" s="67">
        <f>IF(base!F784&lt;&gt;"",VLOOKUP(F784,de_para!$A$1:$B$31,2,0)*base!G784,0)</f>
        <v/>
      </c>
      <c r="I784" s="38" t="n"/>
      <c r="J784" s="29" t="n"/>
      <c r="K784" s="67">
        <f>IF(base!I784&lt;&gt;"",VLOOKUP(I784,de_para!$A$1:$B$31,2,0)*base!J784,0)</f>
        <v/>
      </c>
      <c r="L784" s="38" t="n"/>
      <c r="M784" s="29" t="n"/>
      <c r="N784" s="67">
        <f>IF(base!L784&lt;&gt;"",VLOOKUP(L784,de_para!$A$1:$B$31,2,0)*base!M784,0)</f>
        <v/>
      </c>
      <c r="O784" s="38" t="n"/>
      <c r="P784" s="29" t="n"/>
      <c r="Q784" s="67">
        <f>IF(base!O784&lt;&gt;"",VLOOKUP(O784,de_para!$A$1:$B$31,2,0)*base!P784,0)</f>
        <v/>
      </c>
      <c r="R784" s="38" t="n"/>
      <c r="S784" s="29" t="n"/>
      <c r="T784" s="67">
        <f>IF(base!R784&lt;&gt;"",VLOOKUP(R784,de_para!$A$1:$B$31,2,0)*base!S784,0)</f>
        <v/>
      </c>
      <c r="U784" s="68">
        <f>H784+K784+N784+Q784+T784</f>
        <v/>
      </c>
    </row>
    <row r="785">
      <c r="A785" s="29" t="n"/>
      <c r="B785" s="29" t="n"/>
      <c r="C785" s="29" t="n"/>
      <c r="D785" s="29" t="n"/>
      <c r="E785" s="29" t="n"/>
      <c r="F785" s="29" t="n"/>
      <c r="G785" s="29" t="n"/>
      <c r="H785" s="67">
        <f>IF(base!F785&lt;&gt;"",VLOOKUP(F785,de_para!$A$1:$B$31,2,0)*base!G785,0)</f>
        <v/>
      </c>
      <c r="I785" s="38" t="n"/>
      <c r="J785" s="29" t="n"/>
      <c r="K785" s="67">
        <f>IF(base!I785&lt;&gt;"",VLOOKUP(I785,de_para!$A$1:$B$31,2,0)*base!J785,0)</f>
        <v/>
      </c>
      <c r="L785" s="38" t="n"/>
      <c r="M785" s="29" t="n"/>
      <c r="N785" s="67">
        <f>IF(base!L785&lt;&gt;"",VLOOKUP(L785,de_para!$A$1:$B$31,2,0)*base!M785,0)</f>
        <v/>
      </c>
      <c r="O785" s="38" t="n"/>
      <c r="P785" s="29" t="n"/>
      <c r="Q785" s="67">
        <f>IF(base!O785&lt;&gt;"",VLOOKUP(O785,de_para!$A$1:$B$31,2,0)*base!P785,0)</f>
        <v/>
      </c>
      <c r="R785" s="38" t="n"/>
      <c r="S785" s="29" t="n"/>
      <c r="T785" s="67">
        <f>IF(base!R785&lt;&gt;"",VLOOKUP(R785,de_para!$A$1:$B$31,2,0)*base!S785,0)</f>
        <v/>
      </c>
      <c r="U785" s="68">
        <f>H785+K785+N785+Q785+T785</f>
        <v/>
      </c>
    </row>
    <row r="786">
      <c r="A786" s="29" t="n"/>
      <c r="B786" s="29" t="n"/>
      <c r="C786" s="29" t="n"/>
      <c r="D786" s="29" t="n"/>
      <c r="E786" s="29" t="n"/>
      <c r="F786" s="29" t="n"/>
      <c r="G786" s="29" t="n"/>
      <c r="H786" s="67">
        <f>IF(base!F786&lt;&gt;"",VLOOKUP(F786,de_para!$A$1:$B$31,2,0)*base!G786,0)</f>
        <v/>
      </c>
      <c r="I786" s="38" t="n"/>
      <c r="J786" s="29" t="n"/>
      <c r="K786" s="67">
        <f>IF(base!I786&lt;&gt;"",VLOOKUP(I786,de_para!$A$1:$B$31,2,0)*base!J786,0)</f>
        <v/>
      </c>
      <c r="L786" s="38" t="n"/>
      <c r="M786" s="29" t="n"/>
      <c r="N786" s="67">
        <f>IF(base!L786&lt;&gt;"",VLOOKUP(L786,de_para!$A$1:$B$31,2,0)*base!M786,0)</f>
        <v/>
      </c>
      <c r="O786" s="38" t="n"/>
      <c r="P786" s="29" t="n"/>
      <c r="Q786" s="67">
        <f>IF(base!O786&lt;&gt;"",VLOOKUP(O786,de_para!$A$1:$B$31,2,0)*base!P786,0)</f>
        <v/>
      </c>
      <c r="R786" s="38" t="n"/>
      <c r="S786" s="29" t="n"/>
      <c r="T786" s="67">
        <f>IF(base!R786&lt;&gt;"",VLOOKUP(R786,de_para!$A$1:$B$31,2,0)*base!S786,0)</f>
        <v/>
      </c>
      <c r="U786" s="68">
        <f>H786+K786+N786+Q786+T786</f>
        <v/>
      </c>
    </row>
    <row r="787">
      <c r="A787" s="29" t="n"/>
      <c r="B787" s="29" t="n"/>
      <c r="C787" s="29" t="n"/>
      <c r="D787" s="29" t="n"/>
      <c r="E787" s="29" t="n"/>
      <c r="F787" s="29" t="n"/>
      <c r="G787" s="29" t="n"/>
      <c r="H787" s="67">
        <f>IF(base!F787&lt;&gt;"",VLOOKUP(F787,de_para!$A$1:$B$31,2,0)*base!G787,0)</f>
        <v/>
      </c>
      <c r="I787" s="38" t="n"/>
      <c r="J787" s="29" t="n"/>
      <c r="K787" s="67">
        <f>IF(base!I787&lt;&gt;"",VLOOKUP(I787,de_para!$A$1:$B$31,2,0)*base!J787,0)</f>
        <v/>
      </c>
      <c r="L787" s="38" t="n"/>
      <c r="M787" s="29" t="n"/>
      <c r="N787" s="67">
        <f>IF(base!L787&lt;&gt;"",VLOOKUP(L787,de_para!$A$1:$B$31,2,0)*base!M787,0)</f>
        <v/>
      </c>
      <c r="O787" s="38" t="n"/>
      <c r="P787" s="29" t="n"/>
      <c r="Q787" s="67">
        <f>IF(base!O787&lt;&gt;"",VLOOKUP(O787,de_para!$A$1:$B$31,2,0)*base!P787,0)</f>
        <v/>
      </c>
      <c r="R787" s="38" t="n"/>
      <c r="S787" s="29" t="n"/>
      <c r="T787" s="67">
        <f>IF(base!R787&lt;&gt;"",VLOOKUP(R787,de_para!$A$1:$B$31,2,0)*base!S787,0)</f>
        <v/>
      </c>
      <c r="U787" s="68">
        <f>H787+K787+N787+Q787+T787</f>
        <v/>
      </c>
    </row>
    <row r="788">
      <c r="A788" s="29" t="n"/>
      <c r="B788" s="29" t="n"/>
      <c r="C788" s="29" t="n"/>
      <c r="D788" s="29" t="n"/>
      <c r="E788" s="29" t="n"/>
      <c r="F788" s="29" t="n"/>
      <c r="G788" s="29" t="n"/>
      <c r="H788" s="67">
        <f>IF(base!F788&lt;&gt;"",VLOOKUP(F788,de_para!$A$1:$B$31,2,0)*base!G788,0)</f>
        <v/>
      </c>
      <c r="I788" s="38" t="n"/>
      <c r="J788" s="29" t="n"/>
      <c r="K788" s="67">
        <f>IF(base!I788&lt;&gt;"",VLOOKUP(I788,de_para!$A$1:$B$31,2,0)*base!J788,0)</f>
        <v/>
      </c>
      <c r="L788" s="38" t="n"/>
      <c r="M788" s="29" t="n"/>
      <c r="N788" s="67">
        <f>IF(base!L788&lt;&gt;"",VLOOKUP(L788,de_para!$A$1:$B$31,2,0)*base!M788,0)</f>
        <v/>
      </c>
      <c r="O788" s="38" t="n"/>
      <c r="P788" s="29" t="n"/>
      <c r="Q788" s="67">
        <f>IF(base!O788&lt;&gt;"",VLOOKUP(O788,de_para!$A$1:$B$31,2,0)*base!P788,0)</f>
        <v/>
      </c>
      <c r="R788" s="38" t="n"/>
      <c r="S788" s="29" t="n"/>
      <c r="T788" s="67">
        <f>IF(base!R788&lt;&gt;"",VLOOKUP(R788,de_para!$A$1:$B$31,2,0)*base!S788,0)</f>
        <v/>
      </c>
      <c r="U788" s="68">
        <f>H788+K788+N788+Q788+T788</f>
        <v/>
      </c>
    </row>
    <row r="789">
      <c r="A789" s="29" t="n"/>
      <c r="B789" s="29" t="n"/>
      <c r="C789" s="29" t="n"/>
      <c r="D789" s="29" t="n"/>
      <c r="E789" s="29" t="n"/>
      <c r="F789" s="29" t="n"/>
      <c r="G789" s="29" t="n"/>
      <c r="H789" s="67">
        <f>IF(base!F789&lt;&gt;"",VLOOKUP(F789,de_para!$A$1:$B$31,2,0)*base!G789,0)</f>
        <v/>
      </c>
      <c r="I789" s="38" t="n"/>
      <c r="J789" s="29" t="n"/>
      <c r="K789" s="67">
        <f>IF(base!I789&lt;&gt;"",VLOOKUP(I789,de_para!$A$1:$B$31,2,0)*base!J789,0)</f>
        <v/>
      </c>
      <c r="L789" s="38" t="n"/>
      <c r="M789" s="29" t="n"/>
      <c r="N789" s="67">
        <f>IF(base!L789&lt;&gt;"",VLOOKUP(L789,de_para!$A$1:$B$31,2,0)*base!M789,0)</f>
        <v/>
      </c>
      <c r="O789" s="38" t="n"/>
      <c r="P789" s="29" t="n"/>
      <c r="Q789" s="67">
        <f>IF(base!O789&lt;&gt;"",VLOOKUP(O789,de_para!$A$1:$B$31,2,0)*base!P789,0)</f>
        <v/>
      </c>
      <c r="R789" s="38" t="n"/>
      <c r="S789" s="29" t="n"/>
      <c r="T789" s="67">
        <f>IF(base!R789&lt;&gt;"",VLOOKUP(R789,de_para!$A$1:$B$31,2,0)*base!S789,0)</f>
        <v/>
      </c>
      <c r="U789" s="68">
        <f>H789+K789+N789+Q789+T789</f>
        <v/>
      </c>
    </row>
    <row r="790">
      <c r="A790" s="29" t="n"/>
      <c r="B790" s="29" t="n"/>
      <c r="C790" s="29" t="n"/>
      <c r="D790" s="29" t="n"/>
      <c r="E790" s="29" t="n"/>
      <c r="F790" s="29" t="n"/>
      <c r="G790" s="29" t="n"/>
      <c r="H790" s="67">
        <f>IF(base!F790&lt;&gt;"",VLOOKUP(F790,de_para!$A$1:$B$31,2,0)*base!G790,0)</f>
        <v/>
      </c>
      <c r="I790" s="38" t="n"/>
      <c r="J790" s="29" t="n"/>
      <c r="K790" s="67">
        <f>IF(base!I790&lt;&gt;"",VLOOKUP(I790,de_para!$A$1:$B$31,2,0)*base!J790,0)</f>
        <v/>
      </c>
      <c r="L790" s="38" t="n"/>
      <c r="M790" s="29" t="n"/>
      <c r="N790" s="67">
        <f>IF(base!L790&lt;&gt;"",VLOOKUP(L790,de_para!$A$1:$B$31,2,0)*base!M790,0)</f>
        <v/>
      </c>
      <c r="O790" s="38" t="n"/>
      <c r="P790" s="29" t="n"/>
      <c r="Q790" s="67">
        <f>IF(base!O790&lt;&gt;"",VLOOKUP(O790,de_para!$A$1:$B$31,2,0)*base!P790,0)</f>
        <v/>
      </c>
      <c r="R790" s="38" t="n"/>
      <c r="S790" s="29" t="n"/>
      <c r="T790" s="67">
        <f>IF(base!R790&lt;&gt;"",VLOOKUP(R790,de_para!$A$1:$B$31,2,0)*base!S790,0)</f>
        <v/>
      </c>
      <c r="U790" s="68">
        <f>H790+K790+N790+Q790+T790</f>
        <v/>
      </c>
    </row>
    <row r="791">
      <c r="A791" s="29" t="n"/>
      <c r="B791" s="29" t="n"/>
      <c r="C791" s="29" t="n"/>
      <c r="D791" s="29" t="n"/>
      <c r="E791" s="29" t="n"/>
      <c r="F791" s="29" t="n"/>
      <c r="G791" s="29" t="n"/>
      <c r="H791" s="67">
        <f>IF(base!F791&lt;&gt;"",VLOOKUP(F791,de_para!$A$1:$B$31,2,0)*base!G791,0)</f>
        <v/>
      </c>
      <c r="I791" s="38" t="n"/>
      <c r="J791" s="29" t="n"/>
      <c r="K791" s="67">
        <f>IF(base!I791&lt;&gt;"",VLOOKUP(I791,de_para!$A$1:$B$31,2,0)*base!J791,0)</f>
        <v/>
      </c>
      <c r="L791" s="38" t="n"/>
      <c r="M791" s="29" t="n"/>
      <c r="N791" s="67">
        <f>IF(base!L791&lt;&gt;"",VLOOKUP(L791,de_para!$A$1:$B$31,2,0)*base!M791,0)</f>
        <v/>
      </c>
      <c r="O791" s="38" t="n"/>
      <c r="P791" s="29" t="n"/>
      <c r="Q791" s="67">
        <f>IF(base!O791&lt;&gt;"",VLOOKUP(O791,de_para!$A$1:$B$31,2,0)*base!P791,0)</f>
        <v/>
      </c>
      <c r="R791" s="38" t="n"/>
      <c r="S791" s="29" t="n"/>
      <c r="T791" s="67">
        <f>IF(base!R791&lt;&gt;"",VLOOKUP(R791,de_para!$A$1:$B$31,2,0)*base!S791,0)</f>
        <v/>
      </c>
      <c r="U791" s="68">
        <f>H791+K791+N791+Q791+T791</f>
        <v/>
      </c>
    </row>
    <row r="792">
      <c r="A792" s="29" t="n"/>
      <c r="B792" s="29" t="n"/>
      <c r="C792" s="29" t="n"/>
      <c r="D792" s="29" t="n"/>
      <c r="E792" s="29" t="n"/>
      <c r="F792" s="29" t="n"/>
      <c r="G792" s="29" t="n"/>
      <c r="H792" s="67">
        <f>IF(base!F792&lt;&gt;"",VLOOKUP(F792,de_para!$A$1:$B$31,2,0)*base!G792,0)</f>
        <v/>
      </c>
      <c r="I792" s="38" t="n"/>
      <c r="J792" s="29" t="n"/>
      <c r="K792" s="67">
        <f>IF(base!I792&lt;&gt;"",VLOOKUP(I792,de_para!$A$1:$B$31,2,0)*base!J792,0)</f>
        <v/>
      </c>
      <c r="L792" s="38" t="n"/>
      <c r="M792" s="29" t="n"/>
      <c r="N792" s="67">
        <f>IF(base!L792&lt;&gt;"",VLOOKUP(L792,de_para!$A$1:$B$31,2,0)*base!M792,0)</f>
        <v/>
      </c>
      <c r="O792" s="38" t="n"/>
      <c r="P792" s="29" t="n"/>
      <c r="Q792" s="67">
        <f>IF(base!O792&lt;&gt;"",VLOOKUP(O792,de_para!$A$1:$B$31,2,0)*base!P792,0)</f>
        <v/>
      </c>
      <c r="R792" s="38" t="n"/>
      <c r="S792" s="29" t="n"/>
      <c r="T792" s="67">
        <f>IF(base!R792&lt;&gt;"",VLOOKUP(R792,de_para!$A$1:$B$31,2,0)*base!S792,0)</f>
        <v/>
      </c>
      <c r="U792" s="68">
        <f>H792+K792+N792+Q792+T792</f>
        <v/>
      </c>
    </row>
    <row r="793">
      <c r="A793" s="29" t="n"/>
      <c r="B793" s="29" t="n"/>
      <c r="C793" s="29" t="n"/>
      <c r="D793" s="29" t="n"/>
      <c r="E793" s="29" t="n"/>
      <c r="F793" s="29" t="n"/>
      <c r="G793" s="29" t="n"/>
      <c r="H793" s="67">
        <f>IF(base!F793&lt;&gt;"",VLOOKUP(F793,de_para!$A$1:$B$31,2,0)*base!G793,0)</f>
        <v/>
      </c>
      <c r="I793" s="38" t="n"/>
      <c r="J793" s="29" t="n"/>
      <c r="K793" s="67">
        <f>IF(base!I793&lt;&gt;"",VLOOKUP(I793,de_para!$A$1:$B$31,2,0)*base!J793,0)</f>
        <v/>
      </c>
      <c r="L793" s="38" t="n"/>
      <c r="M793" s="29" t="n"/>
      <c r="N793" s="67">
        <f>IF(base!L793&lt;&gt;"",VLOOKUP(L793,de_para!$A$1:$B$31,2,0)*base!M793,0)</f>
        <v/>
      </c>
      <c r="O793" s="38" t="n"/>
      <c r="P793" s="29" t="n"/>
      <c r="Q793" s="67">
        <f>IF(base!O793&lt;&gt;"",VLOOKUP(O793,de_para!$A$1:$B$31,2,0)*base!P793,0)</f>
        <v/>
      </c>
      <c r="R793" s="38" t="n"/>
      <c r="S793" s="29" t="n"/>
      <c r="T793" s="67">
        <f>IF(base!R793&lt;&gt;"",VLOOKUP(R793,de_para!$A$1:$B$31,2,0)*base!S793,0)</f>
        <v/>
      </c>
      <c r="U793" s="68">
        <f>H793+K793+N793+Q793+T793</f>
        <v/>
      </c>
    </row>
    <row r="794">
      <c r="A794" s="29" t="n"/>
      <c r="B794" s="29" t="n"/>
      <c r="C794" s="29" t="n"/>
      <c r="D794" s="29" t="n"/>
      <c r="E794" s="29" t="n"/>
      <c r="F794" s="29" t="n"/>
      <c r="G794" s="29" t="n"/>
      <c r="H794" s="67">
        <f>IF(base!F794&lt;&gt;"",VLOOKUP(F794,de_para!$A$1:$B$31,2,0)*base!G794,0)</f>
        <v/>
      </c>
      <c r="I794" s="38" t="n"/>
      <c r="J794" s="29" t="n"/>
      <c r="K794" s="67">
        <f>IF(base!I794&lt;&gt;"",VLOOKUP(I794,de_para!$A$1:$B$31,2,0)*base!J794,0)</f>
        <v/>
      </c>
      <c r="L794" s="38" t="n"/>
      <c r="M794" s="29" t="n"/>
      <c r="N794" s="67">
        <f>IF(base!L794&lt;&gt;"",VLOOKUP(L794,de_para!$A$1:$B$31,2,0)*base!M794,0)</f>
        <v/>
      </c>
      <c r="O794" s="38" t="n"/>
      <c r="P794" s="29" t="n"/>
      <c r="Q794" s="67">
        <f>IF(base!O794&lt;&gt;"",VLOOKUP(O794,de_para!$A$1:$B$31,2,0)*base!P794,0)</f>
        <v/>
      </c>
      <c r="R794" s="38" t="n"/>
      <c r="S794" s="29" t="n"/>
      <c r="T794" s="67">
        <f>IF(base!R794&lt;&gt;"",VLOOKUP(R794,de_para!$A$1:$B$31,2,0)*base!S794,0)</f>
        <v/>
      </c>
      <c r="U794" s="68">
        <f>H794+K794+N794+Q794+T794</f>
        <v/>
      </c>
    </row>
    <row r="795">
      <c r="A795" s="29" t="n"/>
      <c r="B795" s="29" t="n"/>
      <c r="C795" s="29" t="n"/>
      <c r="D795" s="29" t="n"/>
      <c r="E795" s="29" t="n"/>
      <c r="F795" s="29" t="n"/>
      <c r="G795" s="29" t="n"/>
      <c r="H795" s="67">
        <f>IF(base!F795&lt;&gt;"",VLOOKUP(F795,de_para!$A$1:$B$31,2,0)*base!G795,0)</f>
        <v/>
      </c>
      <c r="I795" s="38" t="n"/>
      <c r="J795" s="29" t="n"/>
      <c r="K795" s="67">
        <f>IF(base!I795&lt;&gt;"",VLOOKUP(I795,de_para!$A$1:$B$31,2,0)*base!J795,0)</f>
        <v/>
      </c>
      <c r="L795" s="38" t="n"/>
      <c r="M795" s="29" t="n"/>
      <c r="N795" s="67">
        <f>IF(base!L795&lt;&gt;"",VLOOKUP(L795,de_para!$A$1:$B$31,2,0)*base!M795,0)</f>
        <v/>
      </c>
      <c r="O795" s="38" t="n"/>
      <c r="P795" s="29" t="n"/>
      <c r="Q795" s="67">
        <f>IF(base!O795&lt;&gt;"",VLOOKUP(O795,de_para!$A$1:$B$31,2,0)*base!P795,0)</f>
        <v/>
      </c>
      <c r="R795" s="38" t="n"/>
      <c r="S795" s="29" t="n"/>
      <c r="T795" s="67">
        <f>IF(base!R795&lt;&gt;"",VLOOKUP(R795,de_para!$A$1:$B$31,2,0)*base!S795,0)</f>
        <v/>
      </c>
      <c r="U795" s="68">
        <f>H795+K795+N795+Q795+T795</f>
        <v/>
      </c>
    </row>
    <row r="796">
      <c r="A796" s="29" t="n"/>
      <c r="B796" s="29" t="n"/>
      <c r="C796" s="29" t="n"/>
      <c r="D796" s="29" t="n"/>
      <c r="E796" s="29" t="n"/>
      <c r="F796" s="29" t="n"/>
      <c r="G796" s="29" t="n"/>
      <c r="H796" s="67">
        <f>IF(base!F796&lt;&gt;"",VLOOKUP(F796,de_para!$A$1:$B$31,2,0)*base!G796,0)</f>
        <v/>
      </c>
      <c r="I796" s="38" t="n"/>
      <c r="J796" s="29" t="n"/>
      <c r="K796" s="67">
        <f>IF(base!I796&lt;&gt;"",VLOOKUP(I796,de_para!$A$1:$B$31,2,0)*base!J796,0)</f>
        <v/>
      </c>
      <c r="L796" s="38" t="n"/>
      <c r="M796" s="29" t="n"/>
      <c r="N796" s="67">
        <f>IF(base!L796&lt;&gt;"",VLOOKUP(L796,de_para!$A$1:$B$31,2,0)*base!M796,0)</f>
        <v/>
      </c>
      <c r="O796" s="38" t="n"/>
      <c r="P796" s="29" t="n"/>
      <c r="Q796" s="67">
        <f>IF(base!O796&lt;&gt;"",VLOOKUP(O796,de_para!$A$1:$B$31,2,0)*base!P796,0)</f>
        <v/>
      </c>
      <c r="R796" s="38" t="n"/>
      <c r="S796" s="29" t="n"/>
      <c r="T796" s="67">
        <f>IF(base!R796&lt;&gt;"",VLOOKUP(R796,de_para!$A$1:$B$31,2,0)*base!S796,0)</f>
        <v/>
      </c>
      <c r="U796" s="68">
        <f>H796+K796+N796+Q796+T796</f>
        <v/>
      </c>
    </row>
    <row r="797">
      <c r="A797" s="29" t="n"/>
      <c r="B797" s="29" t="n"/>
      <c r="C797" s="29" t="n"/>
      <c r="D797" s="29" t="n"/>
      <c r="E797" s="29" t="n"/>
      <c r="F797" s="29" t="n"/>
      <c r="G797" s="29" t="n"/>
      <c r="H797" s="67">
        <f>IF(base!F797&lt;&gt;"",VLOOKUP(F797,de_para!$A$1:$B$31,2,0)*base!G797,0)</f>
        <v/>
      </c>
      <c r="I797" s="38" t="n"/>
      <c r="J797" s="29" t="n"/>
      <c r="K797" s="67">
        <f>IF(base!I797&lt;&gt;"",VLOOKUP(I797,de_para!$A$1:$B$31,2,0)*base!J797,0)</f>
        <v/>
      </c>
      <c r="L797" s="38" t="n"/>
      <c r="M797" s="29" t="n"/>
      <c r="N797" s="67">
        <f>IF(base!L797&lt;&gt;"",VLOOKUP(L797,de_para!$A$1:$B$31,2,0)*base!M797,0)</f>
        <v/>
      </c>
      <c r="O797" s="38" t="n"/>
      <c r="P797" s="29" t="n"/>
      <c r="Q797" s="67">
        <f>IF(base!O797&lt;&gt;"",VLOOKUP(O797,de_para!$A$1:$B$31,2,0)*base!P797,0)</f>
        <v/>
      </c>
      <c r="R797" s="38" t="n"/>
      <c r="S797" s="29" t="n"/>
      <c r="T797" s="67">
        <f>IF(base!R797&lt;&gt;"",VLOOKUP(R797,de_para!$A$1:$B$31,2,0)*base!S797,0)</f>
        <v/>
      </c>
      <c r="U797" s="68">
        <f>H797+K797+N797+Q797+T797</f>
        <v/>
      </c>
    </row>
    <row r="798">
      <c r="A798" s="29" t="n"/>
      <c r="B798" s="29" t="n"/>
      <c r="C798" s="29" t="n"/>
      <c r="D798" s="29" t="n"/>
      <c r="E798" s="29" t="n"/>
      <c r="F798" s="29" t="n"/>
      <c r="G798" s="29" t="n"/>
      <c r="H798" s="67">
        <f>IF(base!F798&lt;&gt;"",VLOOKUP(F798,de_para!$A$1:$B$31,2,0)*base!G798,0)</f>
        <v/>
      </c>
      <c r="I798" s="38" t="n"/>
      <c r="J798" s="29" t="n"/>
      <c r="K798" s="67">
        <f>IF(base!I798&lt;&gt;"",VLOOKUP(I798,de_para!$A$1:$B$31,2,0)*base!J798,0)</f>
        <v/>
      </c>
      <c r="L798" s="38" t="n"/>
      <c r="M798" s="29" t="n"/>
      <c r="N798" s="67">
        <f>IF(base!L798&lt;&gt;"",VLOOKUP(L798,de_para!$A$1:$B$31,2,0)*base!M798,0)</f>
        <v/>
      </c>
      <c r="O798" s="38" t="n"/>
      <c r="P798" s="29" t="n"/>
      <c r="Q798" s="67">
        <f>IF(base!O798&lt;&gt;"",VLOOKUP(O798,de_para!$A$1:$B$31,2,0)*base!P798,0)</f>
        <v/>
      </c>
      <c r="R798" s="38" t="n"/>
      <c r="S798" s="29" t="n"/>
      <c r="T798" s="67">
        <f>IF(base!R798&lt;&gt;"",VLOOKUP(R798,de_para!$A$1:$B$31,2,0)*base!S798,0)</f>
        <v/>
      </c>
      <c r="U798" s="68">
        <f>H798+K798+N798+Q798+T798</f>
        <v/>
      </c>
    </row>
    <row r="799">
      <c r="A799" s="29" t="n"/>
      <c r="B799" s="29" t="n"/>
      <c r="C799" s="29" t="n"/>
      <c r="D799" s="29" t="n"/>
      <c r="E799" s="29" t="n"/>
      <c r="F799" s="29" t="n"/>
      <c r="G799" s="29" t="n"/>
      <c r="H799" s="67">
        <f>IF(base!F799&lt;&gt;"",VLOOKUP(F799,de_para!$A$1:$B$31,2,0)*base!G799,0)</f>
        <v/>
      </c>
      <c r="I799" s="38" t="n"/>
      <c r="J799" s="29" t="n"/>
      <c r="K799" s="67">
        <f>IF(base!I799&lt;&gt;"",VLOOKUP(I799,de_para!$A$1:$B$31,2,0)*base!J799,0)</f>
        <v/>
      </c>
      <c r="L799" s="38" t="n"/>
      <c r="M799" s="29" t="n"/>
      <c r="N799" s="67">
        <f>IF(base!L799&lt;&gt;"",VLOOKUP(L799,de_para!$A$1:$B$31,2,0)*base!M799,0)</f>
        <v/>
      </c>
      <c r="O799" s="38" t="n"/>
      <c r="P799" s="29" t="n"/>
      <c r="Q799" s="67">
        <f>IF(base!O799&lt;&gt;"",VLOOKUP(O799,de_para!$A$1:$B$31,2,0)*base!P799,0)</f>
        <v/>
      </c>
      <c r="R799" s="38" t="n"/>
      <c r="S799" s="29" t="n"/>
      <c r="T799" s="67">
        <f>IF(base!R799&lt;&gt;"",VLOOKUP(R799,de_para!$A$1:$B$31,2,0)*base!S799,0)</f>
        <v/>
      </c>
      <c r="U799" s="68">
        <f>H799+K799+N799+Q799+T799</f>
        <v/>
      </c>
    </row>
    <row r="800">
      <c r="A800" s="29" t="n"/>
      <c r="B800" s="29" t="n"/>
      <c r="C800" s="29" t="n"/>
      <c r="D800" s="29" t="n"/>
      <c r="E800" s="29" t="n"/>
      <c r="F800" s="29" t="n"/>
      <c r="G800" s="29" t="n"/>
      <c r="H800" s="67">
        <f>IF(base!F800&lt;&gt;"",VLOOKUP(F800,de_para!$A$1:$B$31,2,0)*base!G800,0)</f>
        <v/>
      </c>
      <c r="I800" s="38" t="n"/>
      <c r="J800" s="29" t="n"/>
      <c r="K800" s="67">
        <f>IF(base!I800&lt;&gt;"",VLOOKUP(I800,de_para!$A$1:$B$31,2,0)*base!J800,0)</f>
        <v/>
      </c>
      <c r="L800" s="38" t="n"/>
      <c r="M800" s="29" t="n"/>
      <c r="N800" s="67">
        <f>IF(base!L800&lt;&gt;"",VLOOKUP(L800,de_para!$A$1:$B$31,2,0)*base!M800,0)</f>
        <v/>
      </c>
      <c r="O800" s="38" t="n"/>
      <c r="P800" s="29" t="n"/>
      <c r="Q800" s="67">
        <f>IF(base!O800&lt;&gt;"",VLOOKUP(O800,de_para!$A$1:$B$31,2,0)*base!P800,0)</f>
        <v/>
      </c>
      <c r="R800" s="38" t="n"/>
      <c r="S800" s="29" t="n"/>
      <c r="T800" s="67">
        <f>IF(base!R800&lt;&gt;"",VLOOKUP(R800,de_para!$A$1:$B$31,2,0)*base!S800,0)</f>
        <v/>
      </c>
      <c r="U800" s="68">
        <f>H800+K800+N800+Q800+T800</f>
        <v/>
      </c>
    </row>
    <row r="801">
      <c r="A801" s="29" t="n"/>
      <c r="B801" s="29" t="n"/>
      <c r="C801" s="29" t="n"/>
      <c r="D801" s="29" t="n"/>
      <c r="E801" s="29" t="n"/>
      <c r="F801" s="29" t="n"/>
      <c r="G801" s="29" t="n"/>
      <c r="H801" s="67">
        <f>IF(base!F801&lt;&gt;"",VLOOKUP(F801,de_para!$A$1:$B$31,2,0)*base!G801,0)</f>
        <v/>
      </c>
      <c r="I801" s="38" t="n"/>
      <c r="J801" s="29" t="n"/>
      <c r="K801" s="67">
        <f>IF(base!I801&lt;&gt;"",VLOOKUP(I801,de_para!$A$1:$B$31,2,0)*base!J801,0)</f>
        <v/>
      </c>
      <c r="L801" s="38" t="n"/>
      <c r="M801" s="29" t="n"/>
      <c r="N801" s="67">
        <f>IF(base!L801&lt;&gt;"",VLOOKUP(L801,de_para!$A$1:$B$31,2,0)*base!M801,0)</f>
        <v/>
      </c>
      <c r="O801" s="38" t="n"/>
      <c r="P801" s="29" t="n"/>
      <c r="Q801" s="67">
        <f>IF(base!O801&lt;&gt;"",VLOOKUP(O801,de_para!$A$1:$B$31,2,0)*base!P801,0)</f>
        <v/>
      </c>
      <c r="R801" s="38" t="n"/>
      <c r="S801" s="29" t="n"/>
      <c r="T801" s="67">
        <f>IF(base!R801&lt;&gt;"",VLOOKUP(R801,de_para!$A$1:$B$31,2,0)*base!S801,0)</f>
        <v/>
      </c>
      <c r="U801" s="68">
        <f>H801+K801+N801+Q801+T801</f>
        <v/>
      </c>
    </row>
    <row r="802">
      <c r="A802" s="29" t="n"/>
      <c r="B802" s="29" t="n"/>
      <c r="C802" s="29" t="n"/>
      <c r="D802" s="29" t="n"/>
      <c r="E802" s="29" t="n"/>
      <c r="F802" s="29" t="n"/>
      <c r="G802" s="29" t="n"/>
      <c r="H802" s="67">
        <f>IF(base!F802&lt;&gt;"",VLOOKUP(F802,de_para!$A$1:$B$31,2,0)*base!G802,0)</f>
        <v/>
      </c>
      <c r="I802" s="38" t="n"/>
      <c r="J802" s="29" t="n"/>
      <c r="K802" s="67">
        <f>IF(base!I802&lt;&gt;"",VLOOKUP(I802,de_para!$A$1:$B$31,2,0)*base!J802,0)</f>
        <v/>
      </c>
      <c r="L802" s="38" t="n"/>
      <c r="M802" s="29" t="n"/>
      <c r="N802" s="67">
        <f>IF(base!L802&lt;&gt;"",VLOOKUP(L802,de_para!$A$1:$B$31,2,0)*base!M802,0)</f>
        <v/>
      </c>
      <c r="O802" s="38" t="n"/>
      <c r="P802" s="29" t="n"/>
      <c r="Q802" s="67">
        <f>IF(base!O802&lt;&gt;"",VLOOKUP(O802,de_para!$A$1:$B$31,2,0)*base!P802,0)</f>
        <v/>
      </c>
      <c r="R802" s="38" t="n"/>
      <c r="S802" s="29" t="n"/>
      <c r="T802" s="67">
        <f>IF(base!R802&lt;&gt;"",VLOOKUP(R802,de_para!$A$1:$B$31,2,0)*base!S802,0)</f>
        <v/>
      </c>
      <c r="U802" s="68">
        <f>H802+K802+N802+Q802+T802</f>
        <v/>
      </c>
    </row>
    <row r="803">
      <c r="A803" s="29" t="n"/>
      <c r="B803" s="29" t="n"/>
      <c r="C803" s="29" t="n"/>
      <c r="D803" s="29" t="n"/>
      <c r="E803" s="29" t="n"/>
      <c r="F803" s="29" t="n"/>
      <c r="G803" s="29" t="n"/>
      <c r="H803" s="67">
        <f>IF(base!F803&lt;&gt;"",VLOOKUP(F803,de_para!$A$1:$B$31,2,0)*base!G803,0)</f>
        <v/>
      </c>
      <c r="I803" s="38" t="n"/>
      <c r="J803" s="29" t="n"/>
      <c r="K803" s="67">
        <f>IF(base!I803&lt;&gt;"",VLOOKUP(I803,de_para!$A$1:$B$31,2,0)*base!J803,0)</f>
        <v/>
      </c>
      <c r="L803" s="38" t="n"/>
      <c r="M803" s="29" t="n"/>
      <c r="N803" s="67">
        <f>IF(base!L803&lt;&gt;"",VLOOKUP(L803,de_para!$A$1:$B$31,2,0)*base!M803,0)</f>
        <v/>
      </c>
      <c r="O803" s="38" t="n"/>
      <c r="P803" s="29" t="n"/>
      <c r="Q803" s="67">
        <f>IF(base!O803&lt;&gt;"",VLOOKUP(O803,de_para!$A$1:$B$31,2,0)*base!P803,0)</f>
        <v/>
      </c>
      <c r="R803" s="38" t="n"/>
      <c r="S803" s="29" t="n"/>
      <c r="T803" s="67">
        <f>IF(base!R803&lt;&gt;"",VLOOKUP(R803,de_para!$A$1:$B$31,2,0)*base!S803,0)</f>
        <v/>
      </c>
      <c r="U803" s="68">
        <f>H803+K803+N803+Q803+T803</f>
        <v/>
      </c>
    </row>
    <row r="804">
      <c r="A804" s="29" t="n"/>
      <c r="B804" s="29" t="n"/>
      <c r="C804" s="29" t="n"/>
      <c r="D804" s="29" t="n"/>
      <c r="E804" s="29" t="n"/>
      <c r="F804" s="29" t="n"/>
      <c r="G804" s="29" t="n"/>
      <c r="H804" s="67">
        <f>IF(base!F804&lt;&gt;"",VLOOKUP(F804,de_para!$A$1:$B$31,2,0)*base!G804,0)</f>
        <v/>
      </c>
      <c r="I804" s="38" t="n"/>
      <c r="J804" s="29" t="n"/>
      <c r="K804" s="67">
        <f>IF(base!I804&lt;&gt;"",VLOOKUP(I804,de_para!$A$1:$B$31,2,0)*base!J804,0)</f>
        <v/>
      </c>
      <c r="L804" s="38" t="n"/>
      <c r="M804" s="29" t="n"/>
      <c r="N804" s="67">
        <f>IF(base!L804&lt;&gt;"",VLOOKUP(L804,de_para!$A$1:$B$31,2,0)*base!M804,0)</f>
        <v/>
      </c>
      <c r="O804" s="38" t="n"/>
      <c r="P804" s="29" t="n"/>
      <c r="Q804" s="67">
        <f>IF(base!O804&lt;&gt;"",VLOOKUP(O804,de_para!$A$1:$B$31,2,0)*base!P804,0)</f>
        <v/>
      </c>
      <c r="R804" s="38" t="n"/>
      <c r="S804" s="29" t="n"/>
      <c r="T804" s="67">
        <f>IF(base!R804&lt;&gt;"",VLOOKUP(R804,de_para!$A$1:$B$31,2,0)*base!S804,0)</f>
        <v/>
      </c>
      <c r="U804" s="68">
        <f>H804+K804+N804+Q804+T804</f>
        <v/>
      </c>
    </row>
    <row r="805">
      <c r="A805" s="29" t="n"/>
      <c r="B805" s="29" t="n"/>
      <c r="C805" s="29" t="n"/>
      <c r="D805" s="29" t="n"/>
      <c r="E805" s="29" t="n"/>
      <c r="F805" s="29" t="n"/>
      <c r="G805" s="29" t="n"/>
      <c r="H805" s="67">
        <f>IF(base!F805&lt;&gt;"",VLOOKUP(F805,de_para!$A$1:$B$31,2,0)*base!G805,0)</f>
        <v/>
      </c>
      <c r="I805" s="38" t="n"/>
      <c r="J805" s="29" t="n"/>
      <c r="K805" s="67">
        <f>IF(base!I805&lt;&gt;"",VLOOKUP(I805,de_para!$A$1:$B$31,2,0)*base!J805,0)</f>
        <v/>
      </c>
      <c r="L805" s="38" t="n"/>
      <c r="M805" s="29" t="n"/>
      <c r="N805" s="67">
        <f>IF(base!L805&lt;&gt;"",VLOOKUP(L805,de_para!$A$1:$B$31,2,0)*base!M805,0)</f>
        <v/>
      </c>
      <c r="O805" s="38" t="n"/>
      <c r="P805" s="29" t="n"/>
      <c r="Q805" s="67">
        <f>IF(base!O805&lt;&gt;"",VLOOKUP(O805,de_para!$A$1:$B$31,2,0)*base!P805,0)</f>
        <v/>
      </c>
      <c r="R805" s="38" t="n"/>
      <c r="S805" s="29" t="n"/>
      <c r="T805" s="67">
        <f>IF(base!R805&lt;&gt;"",VLOOKUP(R805,de_para!$A$1:$B$31,2,0)*base!S805,0)</f>
        <v/>
      </c>
      <c r="U805" s="68">
        <f>H805+K805+N805+Q805+T805</f>
        <v/>
      </c>
    </row>
    <row r="806">
      <c r="A806" s="29" t="n"/>
      <c r="B806" s="29" t="n"/>
      <c r="C806" s="29" t="n"/>
      <c r="D806" s="29" t="n"/>
      <c r="E806" s="29" t="n"/>
      <c r="F806" s="29" t="n"/>
      <c r="G806" s="29" t="n"/>
      <c r="H806" s="67">
        <f>IF(base!F806&lt;&gt;"",VLOOKUP(F806,de_para!$A$1:$B$31,2,0)*base!G806,0)</f>
        <v/>
      </c>
      <c r="I806" s="38" t="n"/>
      <c r="J806" s="29" t="n"/>
      <c r="K806" s="67">
        <f>IF(base!I806&lt;&gt;"",VLOOKUP(I806,de_para!$A$1:$B$31,2,0)*base!J806,0)</f>
        <v/>
      </c>
      <c r="L806" s="38" t="n"/>
      <c r="M806" s="29" t="n"/>
      <c r="N806" s="67">
        <f>IF(base!L806&lt;&gt;"",VLOOKUP(L806,de_para!$A$1:$B$31,2,0)*base!M806,0)</f>
        <v/>
      </c>
      <c r="O806" s="38" t="n"/>
      <c r="P806" s="29" t="n"/>
      <c r="Q806" s="67">
        <f>IF(base!O806&lt;&gt;"",VLOOKUP(O806,de_para!$A$1:$B$31,2,0)*base!P806,0)</f>
        <v/>
      </c>
      <c r="R806" s="38" t="n"/>
      <c r="S806" s="29" t="n"/>
      <c r="T806" s="67">
        <f>IF(base!R806&lt;&gt;"",VLOOKUP(R806,de_para!$A$1:$B$31,2,0)*base!S806,0)</f>
        <v/>
      </c>
      <c r="U806" s="68">
        <f>H806+K806+N806+Q806+T806</f>
        <v/>
      </c>
    </row>
    <row r="807">
      <c r="A807" s="29" t="n"/>
      <c r="B807" s="29" t="n"/>
      <c r="C807" s="29" t="n"/>
      <c r="D807" s="29" t="n"/>
      <c r="E807" s="29" t="n"/>
      <c r="F807" s="29" t="n"/>
      <c r="G807" s="29" t="n"/>
      <c r="H807" s="67">
        <f>IF(base!F807&lt;&gt;"",VLOOKUP(F807,de_para!$A$1:$B$31,2,0)*base!G807,0)</f>
        <v/>
      </c>
      <c r="I807" s="38" t="n"/>
      <c r="J807" s="29" t="n"/>
      <c r="K807" s="67">
        <f>IF(base!I807&lt;&gt;"",VLOOKUP(I807,de_para!$A$1:$B$31,2,0)*base!J807,0)</f>
        <v/>
      </c>
      <c r="L807" s="38" t="n"/>
      <c r="M807" s="29" t="n"/>
      <c r="N807" s="67">
        <f>IF(base!L807&lt;&gt;"",VLOOKUP(L807,de_para!$A$1:$B$31,2,0)*base!M807,0)</f>
        <v/>
      </c>
      <c r="O807" s="38" t="n"/>
      <c r="P807" s="29" t="n"/>
      <c r="Q807" s="67">
        <f>IF(base!O807&lt;&gt;"",VLOOKUP(O807,de_para!$A$1:$B$31,2,0)*base!P807,0)</f>
        <v/>
      </c>
      <c r="R807" s="38" t="n"/>
      <c r="S807" s="29" t="n"/>
      <c r="T807" s="67">
        <f>IF(base!R807&lt;&gt;"",VLOOKUP(R807,de_para!$A$1:$B$31,2,0)*base!S807,0)</f>
        <v/>
      </c>
      <c r="U807" s="68">
        <f>H807+K807+N807+Q807+T807</f>
        <v/>
      </c>
    </row>
    <row r="808">
      <c r="A808" s="29" t="n"/>
      <c r="B808" s="29" t="n"/>
      <c r="C808" s="29" t="n"/>
      <c r="D808" s="29" t="n"/>
      <c r="E808" s="29" t="n"/>
      <c r="F808" s="29" t="n"/>
      <c r="G808" s="29" t="n"/>
      <c r="H808" s="67">
        <f>IF(base!F808&lt;&gt;"",VLOOKUP(F808,de_para!$A$1:$B$31,2,0)*base!G808,0)</f>
        <v/>
      </c>
      <c r="I808" s="38" t="n"/>
      <c r="J808" s="29" t="n"/>
      <c r="K808" s="67">
        <f>IF(base!I808&lt;&gt;"",VLOOKUP(I808,de_para!$A$1:$B$31,2,0)*base!J808,0)</f>
        <v/>
      </c>
      <c r="L808" s="38" t="n"/>
      <c r="M808" s="29" t="n"/>
      <c r="N808" s="67">
        <f>IF(base!L808&lt;&gt;"",VLOOKUP(L808,de_para!$A$1:$B$31,2,0)*base!M808,0)</f>
        <v/>
      </c>
      <c r="O808" s="38" t="n"/>
      <c r="P808" s="29" t="n"/>
      <c r="Q808" s="67">
        <f>IF(base!O808&lt;&gt;"",VLOOKUP(O808,de_para!$A$1:$B$31,2,0)*base!P808,0)</f>
        <v/>
      </c>
      <c r="R808" s="38" t="n"/>
      <c r="S808" s="29" t="n"/>
      <c r="T808" s="67">
        <f>IF(base!R808&lt;&gt;"",VLOOKUP(R808,de_para!$A$1:$B$31,2,0)*base!S808,0)</f>
        <v/>
      </c>
      <c r="U808" s="68">
        <f>H808+K808+N808+Q808+T808</f>
        <v/>
      </c>
    </row>
    <row r="809">
      <c r="A809" s="29" t="n"/>
      <c r="B809" s="29" t="n"/>
      <c r="C809" s="29" t="n"/>
      <c r="D809" s="29" t="n"/>
      <c r="E809" s="29" t="n"/>
      <c r="F809" s="29" t="n"/>
      <c r="G809" s="29" t="n"/>
      <c r="H809" s="67">
        <f>IF(base!F809&lt;&gt;"",VLOOKUP(F809,de_para!$A$1:$B$31,2,0)*base!G809,0)</f>
        <v/>
      </c>
      <c r="I809" s="38" t="n"/>
      <c r="J809" s="29" t="n"/>
      <c r="K809" s="67">
        <f>IF(base!I809&lt;&gt;"",VLOOKUP(I809,de_para!$A$1:$B$31,2,0)*base!J809,0)</f>
        <v/>
      </c>
      <c r="L809" s="38" t="n"/>
      <c r="M809" s="29" t="n"/>
      <c r="N809" s="67">
        <f>IF(base!L809&lt;&gt;"",VLOOKUP(L809,de_para!$A$1:$B$31,2,0)*base!M809,0)</f>
        <v/>
      </c>
      <c r="O809" s="38" t="n"/>
      <c r="P809" s="29" t="n"/>
      <c r="Q809" s="67">
        <f>IF(base!O809&lt;&gt;"",VLOOKUP(O809,de_para!$A$1:$B$31,2,0)*base!P809,0)</f>
        <v/>
      </c>
      <c r="R809" s="38" t="n"/>
      <c r="S809" s="29" t="n"/>
      <c r="T809" s="67">
        <f>IF(base!R809&lt;&gt;"",VLOOKUP(R809,de_para!$A$1:$B$31,2,0)*base!S809,0)</f>
        <v/>
      </c>
      <c r="U809" s="68">
        <f>H809+K809+N809+Q809+T809</f>
        <v/>
      </c>
    </row>
    <row r="810">
      <c r="A810" s="29" t="n"/>
      <c r="B810" s="29" t="n"/>
      <c r="C810" s="29" t="n"/>
      <c r="D810" s="29" t="n"/>
      <c r="E810" s="29" t="n"/>
      <c r="F810" s="29" t="n"/>
      <c r="G810" s="29" t="n"/>
      <c r="H810" s="67">
        <f>IF(base!F810&lt;&gt;"",VLOOKUP(F810,de_para!$A$1:$B$31,2,0)*base!G810,0)</f>
        <v/>
      </c>
      <c r="I810" s="38" t="n"/>
      <c r="J810" s="29" t="n"/>
      <c r="K810" s="67">
        <f>IF(base!I810&lt;&gt;"",VLOOKUP(I810,de_para!$A$1:$B$31,2,0)*base!J810,0)</f>
        <v/>
      </c>
      <c r="L810" s="38" t="n"/>
      <c r="M810" s="29" t="n"/>
      <c r="N810" s="67">
        <f>IF(base!L810&lt;&gt;"",VLOOKUP(L810,de_para!$A$1:$B$31,2,0)*base!M810,0)</f>
        <v/>
      </c>
      <c r="O810" s="38" t="n"/>
      <c r="P810" s="29" t="n"/>
      <c r="Q810" s="67">
        <f>IF(base!O810&lt;&gt;"",VLOOKUP(O810,de_para!$A$1:$B$31,2,0)*base!P810,0)</f>
        <v/>
      </c>
      <c r="R810" s="38" t="n"/>
      <c r="S810" s="29" t="n"/>
      <c r="T810" s="67">
        <f>IF(base!R810&lt;&gt;"",VLOOKUP(R810,de_para!$A$1:$B$31,2,0)*base!S810,0)</f>
        <v/>
      </c>
      <c r="U810" s="68">
        <f>H810+K810+N810+Q810+T810</f>
        <v/>
      </c>
    </row>
    <row r="811">
      <c r="A811" s="29" t="n"/>
      <c r="B811" s="29" t="n"/>
      <c r="C811" s="29" t="n"/>
      <c r="D811" s="29" t="n"/>
      <c r="E811" s="29" t="n"/>
      <c r="F811" s="29" t="n"/>
      <c r="G811" s="29" t="n"/>
      <c r="H811" s="67">
        <f>IF(base!F811&lt;&gt;"",VLOOKUP(F811,de_para!$A$1:$B$31,2,0)*base!G811,0)</f>
        <v/>
      </c>
      <c r="I811" s="38" t="n"/>
      <c r="J811" s="29" t="n"/>
      <c r="K811" s="67">
        <f>IF(base!I811&lt;&gt;"",VLOOKUP(I811,de_para!$A$1:$B$31,2,0)*base!J811,0)</f>
        <v/>
      </c>
      <c r="L811" s="38" t="n"/>
      <c r="M811" s="29" t="n"/>
      <c r="N811" s="67">
        <f>IF(base!L811&lt;&gt;"",VLOOKUP(L811,de_para!$A$1:$B$31,2,0)*base!M811,0)</f>
        <v/>
      </c>
      <c r="O811" s="38" t="n"/>
      <c r="P811" s="29" t="n"/>
      <c r="Q811" s="67">
        <f>IF(base!O811&lt;&gt;"",VLOOKUP(O811,de_para!$A$1:$B$31,2,0)*base!P811,0)</f>
        <v/>
      </c>
      <c r="R811" s="38" t="n"/>
      <c r="S811" s="29" t="n"/>
      <c r="T811" s="67">
        <f>IF(base!R811&lt;&gt;"",VLOOKUP(R811,de_para!$A$1:$B$31,2,0)*base!S811,0)</f>
        <v/>
      </c>
      <c r="U811" s="68">
        <f>H811+K811+N811+Q811+T811</f>
        <v/>
      </c>
    </row>
    <row r="812">
      <c r="A812" s="29" t="n"/>
      <c r="B812" s="29" t="n"/>
      <c r="C812" s="29" t="n"/>
      <c r="D812" s="29" t="n"/>
      <c r="E812" s="29" t="n"/>
      <c r="F812" s="29" t="n"/>
      <c r="G812" s="29" t="n"/>
      <c r="H812" s="67">
        <f>IF(base!F812&lt;&gt;"",VLOOKUP(F812,de_para!$A$1:$B$31,2,0)*base!G812,0)</f>
        <v/>
      </c>
      <c r="I812" s="38" t="n"/>
      <c r="J812" s="29" t="n"/>
      <c r="K812" s="67">
        <f>IF(base!I812&lt;&gt;"",VLOOKUP(I812,de_para!$A$1:$B$31,2,0)*base!J812,0)</f>
        <v/>
      </c>
      <c r="L812" s="38" t="n"/>
      <c r="M812" s="29" t="n"/>
      <c r="N812" s="67">
        <f>IF(base!L812&lt;&gt;"",VLOOKUP(L812,de_para!$A$1:$B$31,2,0)*base!M812,0)</f>
        <v/>
      </c>
      <c r="O812" s="38" t="n"/>
      <c r="P812" s="29" t="n"/>
      <c r="Q812" s="67">
        <f>IF(base!O812&lt;&gt;"",VLOOKUP(O812,de_para!$A$1:$B$31,2,0)*base!P812,0)</f>
        <v/>
      </c>
      <c r="R812" s="38" t="n"/>
      <c r="S812" s="29" t="n"/>
      <c r="T812" s="67">
        <f>IF(base!R812&lt;&gt;"",VLOOKUP(R812,de_para!$A$1:$B$31,2,0)*base!S812,0)</f>
        <v/>
      </c>
      <c r="U812" s="68">
        <f>H812+K812+N812+Q812+T812</f>
        <v/>
      </c>
    </row>
    <row r="813">
      <c r="A813" s="29" t="n"/>
      <c r="B813" s="29" t="n"/>
      <c r="C813" s="29" t="n"/>
      <c r="D813" s="29" t="n"/>
      <c r="E813" s="29" t="n"/>
      <c r="F813" s="29" t="n"/>
      <c r="G813" s="29" t="n"/>
      <c r="H813" s="67">
        <f>IF(base!F813&lt;&gt;"",VLOOKUP(F813,de_para!$A$1:$B$31,2,0)*base!G813,0)</f>
        <v/>
      </c>
      <c r="I813" s="38" t="n"/>
      <c r="J813" s="29" t="n"/>
      <c r="K813" s="67">
        <f>IF(base!I813&lt;&gt;"",VLOOKUP(I813,de_para!$A$1:$B$31,2,0)*base!J813,0)</f>
        <v/>
      </c>
      <c r="L813" s="38" t="n"/>
      <c r="M813" s="29" t="n"/>
      <c r="N813" s="67">
        <f>IF(base!L813&lt;&gt;"",VLOOKUP(L813,de_para!$A$1:$B$31,2,0)*base!M813,0)</f>
        <v/>
      </c>
      <c r="O813" s="38" t="n"/>
      <c r="P813" s="29" t="n"/>
      <c r="Q813" s="67">
        <f>IF(base!O813&lt;&gt;"",VLOOKUP(O813,de_para!$A$1:$B$31,2,0)*base!P813,0)</f>
        <v/>
      </c>
      <c r="R813" s="38" t="n"/>
      <c r="S813" s="29" t="n"/>
      <c r="T813" s="67">
        <f>IF(base!R813&lt;&gt;"",VLOOKUP(R813,de_para!$A$1:$B$31,2,0)*base!S813,0)</f>
        <v/>
      </c>
      <c r="U813" s="68">
        <f>H813+K813+N813+Q813+T813</f>
        <v/>
      </c>
    </row>
    <row r="814">
      <c r="A814" s="29" t="n"/>
      <c r="B814" s="29" t="n"/>
      <c r="C814" s="29" t="n"/>
      <c r="D814" s="29" t="n"/>
      <c r="E814" s="29" t="n"/>
      <c r="F814" s="29" t="n"/>
      <c r="G814" s="29" t="n"/>
      <c r="H814" s="67">
        <f>IF(base!F814&lt;&gt;"",VLOOKUP(F814,de_para!$A$1:$B$31,2,0)*base!G814,0)</f>
        <v/>
      </c>
      <c r="I814" s="38" t="n"/>
      <c r="J814" s="29" t="n"/>
      <c r="K814" s="67">
        <f>IF(base!I814&lt;&gt;"",VLOOKUP(I814,de_para!$A$1:$B$31,2,0)*base!J814,0)</f>
        <v/>
      </c>
      <c r="L814" s="38" t="n"/>
      <c r="M814" s="29" t="n"/>
      <c r="N814" s="67">
        <f>IF(base!L814&lt;&gt;"",VLOOKUP(L814,de_para!$A$1:$B$31,2,0)*base!M814,0)</f>
        <v/>
      </c>
      <c r="O814" s="38" t="n"/>
      <c r="P814" s="29" t="n"/>
      <c r="Q814" s="67">
        <f>IF(base!O814&lt;&gt;"",VLOOKUP(O814,de_para!$A$1:$B$31,2,0)*base!P814,0)</f>
        <v/>
      </c>
      <c r="R814" s="38" t="n"/>
      <c r="S814" s="29" t="n"/>
      <c r="T814" s="67">
        <f>IF(base!R814&lt;&gt;"",VLOOKUP(R814,de_para!$A$1:$B$31,2,0)*base!S814,0)</f>
        <v/>
      </c>
      <c r="U814" s="68">
        <f>H814+K814+N814+Q814+T814</f>
        <v/>
      </c>
    </row>
    <row r="815">
      <c r="A815" s="29" t="n"/>
      <c r="B815" s="29" t="n"/>
      <c r="C815" s="29" t="n"/>
      <c r="D815" s="29" t="n"/>
      <c r="E815" s="29" t="n"/>
      <c r="F815" s="29" t="n"/>
      <c r="G815" s="29" t="n"/>
      <c r="H815" s="67">
        <f>IF(base!F815&lt;&gt;"",VLOOKUP(F815,de_para!$A$1:$B$31,2,0)*base!G815,0)</f>
        <v/>
      </c>
      <c r="I815" s="38" t="n"/>
      <c r="J815" s="29" t="n"/>
      <c r="K815" s="67">
        <f>IF(base!I815&lt;&gt;"",VLOOKUP(I815,de_para!$A$1:$B$31,2,0)*base!J815,0)</f>
        <v/>
      </c>
      <c r="L815" s="38" t="n"/>
      <c r="M815" s="29" t="n"/>
      <c r="N815" s="67">
        <f>IF(base!L815&lt;&gt;"",VLOOKUP(L815,de_para!$A$1:$B$31,2,0)*base!M815,0)</f>
        <v/>
      </c>
      <c r="O815" s="38" t="n"/>
      <c r="P815" s="29" t="n"/>
      <c r="Q815" s="67">
        <f>IF(base!O815&lt;&gt;"",VLOOKUP(O815,de_para!$A$1:$B$31,2,0)*base!P815,0)</f>
        <v/>
      </c>
      <c r="R815" s="38" t="n"/>
      <c r="S815" s="29" t="n"/>
      <c r="T815" s="67">
        <f>IF(base!R815&lt;&gt;"",VLOOKUP(R815,de_para!$A$1:$B$31,2,0)*base!S815,0)</f>
        <v/>
      </c>
      <c r="U815" s="68">
        <f>H815+K815+N815+Q815+T815</f>
        <v/>
      </c>
    </row>
    <row r="816">
      <c r="A816" s="29" t="n"/>
      <c r="B816" s="29" t="n"/>
      <c r="C816" s="29" t="n"/>
      <c r="D816" s="29" t="n"/>
      <c r="E816" s="29" t="n"/>
      <c r="F816" s="29" t="n"/>
      <c r="G816" s="29" t="n"/>
      <c r="H816" s="67">
        <f>IF(base!F816&lt;&gt;"",VLOOKUP(F816,de_para!$A$1:$B$31,2,0)*base!G816,0)</f>
        <v/>
      </c>
      <c r="I816" s="38" t="n"/>
      <c r="J816" s="29" t="n"/>
      <c r="K816" s="67">
        <f>IF(base!I816&lt;&gt;"",VLOOKUP(I816,de_para!$A$1:$B$31,2,0)*base!J816,0)</f>
        <v/>
      </c>
      <c r="L816" s="38" t="n"/>
      <c r="M816" s="29" t="n"/>
      <c r="N816" s="67">
        <f>IF(base!L816&lt;&gt;"",VLOOKUP(L816,de_para!$A$1:$B$31,2,0)*base!M816,0)</f>
        <v/>
      </c>
      <c r="O816" s="38" t="n"/>
      <c r="P816" s="29" t="n"/>
      <c r="Q816" s="67">
        <f>IF(base!O816&lt;&gt;"",VLOOKUP(O816,de_para!$A$1:$B$31,2,0)*base!P816,0)</f>
        <v/>
      </c>
      <c r="R816" s="38" t="n"/>
      <c r="S816" s="29" t="n"/>
      <c r="T816" s="67">
        <f>IF(base!R816&lt;&gt;"",VLOOKUP(R816,de_para!$A$1:$B$31,2,0)*base!S816,0)</f>
        <v/>
      </c>
      <c r="U816" s="68">
        <f>H816+K816+N816+Q816+T816</f>
        <v/>
      </c>
    </row>
    <row r="817">
      <c r="A817" s="29" t="n"/>
      <c r="B817" s="29" t="n"/>
      <c r="C817" s="29" t="n"/>
      <c r="D817" s="29" t="n"/>
      <c r="E817" s="29" t="n"/>
      <c r="F817" s="29" t="n"/>
      <c r="G817" s="29" t="n"/>
      <c r="H817" s="67">
        <f>IF(base!F817&lt;&gt;"",VLOOKUP(F817,de_para!$A$1:$B$31,2,0)*base!G817,0)</f>
        <v/>
      </c>
      <c r="I817" s="38" t="n"/>
      <c r="J817" s="29" t="n"/>
      <c r="K817" s="67">
        <f>IF(base!I817&lt;&gt;"",VLOOKUP(I817,de_para!$A$1:$B$31,2,0)*base!J817,0)</f>
        <v/>
      </c>
      <c r="L817" s="38" t="n"/>
      <c r="M817" s="29" t="n"/>
      <c r="N817" s="67">
        <f>IF(base!L817&lt;&gt;"",VLOOKUP(L817,de_para!$A$1:$B$31,2,0)*base!M817,0)</f>
        <v/>
      </c>
      <c r="O817" s="38" t="n"/>
      <c r="P817" s="29" t="n"/>
      <c r="Q817" s="67">
        <f>IF(base!O817&lt;&gt;"",VLOOKUP(O817,de_para!$A$1:$B$31,2,0)*base!P817,0)</f>
        <v/>
      </c>
      <c r="R817" s="38" t="n"/>
      <c r="S817" s="29" t="n"/>
      <c r="T817" s="67">
        <f>IF(base!R817&lt;&gt;"",VLOOKUP(R817,de_para!$A$1:$B$31,2,0)*base!S817,0)</f>
        <v/>
      </c>
      <c r="U817" s="68">
        <f>H817+K817+N817+Q817+T817</f>
        <v/>
      </c>
    </row>
    <row r="818">
      <c r="A818" s="29" t="n"/>
      <c r="B818" s="29" t="n"/>
      <c r="C818" s="29" t="n"/>
      <c r="D818" s="29" t="n"/>
      <c r="E818" s="29" t="n"/>
      <c r="F818" s="29" t="n"/>
      <c r="G818" s="29" t="n"/>
      <c r="H818" s="67">
        <f>IF(base!F818&lt;&gt;"",VLOOKUP(F818,de_para!$A$1:$B$31,2,0)*base!G818,0)</f>
        <v/>
      </c>
      <c r="I818" s="38" t="n"/>
      <c r="J818" s="29" t="n"/>
      <c r="K818" s="67">
        <f>IF(base!I818&lt;&gt;"",VLOOKUP(I818,de_para!$A$1:$B$31,2,0)*base!J818,0)</f>
        <v/>
      </c>
      <c r="L818" s="38" t="n"/>
      <c r="M818" s="29" t="n"/>
      <c r="N818" s="67">
        <f>IF(base!L818&lt;&gt;"",VLOOKUP(L818,de_para!$A$1:$B$31,2,0)*base!M818,0)</f>
        <v/>
      </c>
      <c r="O818" s="38" t="n"/>
      <c r="P818" s="29" t="n"/>
      <c r="Q818" s="67">
        <f>IF(base!O818&lt;&gt;"",VLOOKUP(O818,de_para!$A$1:$B$31,2,0)*base!P818,0)</f>
        <v/>
      </c>
      <c r="R818" s="38" t="n"/>
      <c r="S818" s="29" t="n"/>
      <c r="T818" s="67">
        <f>IF(base!R818&lt;&gt;"",VLOOKUP(R818,de_para!$A$1:$B$31,2,0)*base!S818,0)</f>
        <v/>
      </c>
      <c r="U818" s="68">
        <f>H818+K818+N818+Q818+T818</f>
        <v/>
      </c>
    </row>
    <row r="819">
      <c r="A819" s="29" t="n"/>
      <c r="B819" s="29" t="n"/>
      <c r="C819" s="29" t="n"/>
      <c r="D819" s="29" t="n"/>
      <c r="E819" s="29" t="n"/>
      <c r="F819" s="29" t="n"/>
      <c r="G819" s="29" t="n"/>
      <c r="H819" s="67">
        <f>IF(base!F819&lt;&gt;"",VLOOKUP(F819,de_para!$A$1:$B$31,2,0)*base!G819,0)</f>
        <v/>
      </c>
      <c r="I819" s="38" t="n"/>
      <c r="J819" s="29" t="n"/>
      <c r="K819" s="67">
        <f>IF(base!I819&lt;&gt;"",VLOOKUP(I819,de_para!$A$1:$B$31,2,0)*base!J819,0)</f>
        <v/>
      </c>
      <c r="L819" s="38" t="n"/>
      <c r="M819" s="29" t="n"/>
      <c r="N819" s="67">
        <f>IF(base!L819&lt;&gt;"",VLOOKUP(L819,de_para!$A$1:$B$31,2,0)*base!M819,0)</f>
        <v/>
      </c>
      <c r="O819" s="38" t="n"/>
      <c r="P819" s="29" t="n"/>
      <c r="Q819" s="67">
        <f>IF(base!O819&lt;&gt;"",VLOOKUP(O819,de_para!$A$1:$B$31,2,0)*base!P819,0)</f>
        <v/>
      </c>
      <c r="R819" s="38" t="n"/>
      <c r="S819" s="29" t="n"/>
      <c r="T819" s="67">
        <f>IF(base!R819&lt;&gt;"",VLOOKUP(R819,de_para!$A$1:$B$31,2,0)*base!S819,0)</f>
        <v/>
      </c>
      <c r="U819" s="68">
        <f>H819+K819+N819+Q819+T819</f>
        <v/>
      </c>
    </row>
    <row r="820">
      <c r="A820" s="29" t="n"/>
      <c r="B820" s="29" t="n"/>
      <c r="C820" s="29" t="n"/>
      <c r="D820" s="29" t="n"/>
      <c r="E820" s="29" t="n"/>
      <c r="F820" s="29" t="n"/>
      <c r="G820" s="29" t="n"/>
      <c r="H820" s="67">
        <f>IF(base!F820&lt;&gt;"",VLOOKUP(F820,de_para!$A$1:$B$31,2,0)*base!G820,0)</f>
        <v/>
      </c>
      <c r="I820" s="38" t="n"/>
      <c r="J820" s="29" t="n"/>
      <c r="K820" s="67">
        <f>IF(base!I820&lt;&gt;"",VLOOKUP(I820,de_para!$A$1:$B$31,2,0)*base!J820,0)</f>
        <v/>
      </c>
      <c r="L820" s="38" t="n"/>
      <c r="M820" s="29" t="n"/>
      <c r="N820" s="67">
        <f>IF(base!L820&lt;&gt;"",VLOOKUP(L820,de_para!$A$1:$B$31,2,0)*base!M820,0)</f>
        <v/>
      </c>
      <c r="O820" s="38" t="n"/>
      <c r="P820" s="29" t="n"/>
      <c r="Q820" s="67">
        <f>IF(base!O820&lt;&gt;"",VLOOKUP(O820,de_para!$A$1:$B$31,2,0)*base!P820,0)</f>
        <v/>
      </c>
      <c r="R820" s="38" t="n"/>
      <c r="S820" s="29" t="n"/>
      <c r="T820" s="67">
        <f>IF(base!R820&lt;&gt;"",VLOOKUP(R820,de_para!$A$1:$B$31,2,0)*base!S820,0)</f>
        <v/>
      </c>
      <c r="U820" s="68">
        <f>H820+K820+N820+Q820+T820</f>
        <v/>
      </c>
    </row>
    <row r="821">
      <c r="A821" s="29" t="n"/>
      <c r="B821" s="29" t="n"/>
      <c r="C821" s="29" t="n"/>
      <c r="D821" s="29" t="n"/>
      <c r="E821" s="29" t="n"/>
      <c r="F821" s="29" t="n"/>
      <c r="G821" s="29" t="n"/>
      <c r="H821" s="67">
        <f>IF(base!F821&lt;&gt;"",VLOOKUP(F821,de_para!$A$1:$B$31,2,0)*base!G821,0)</f>
        <v/>
      </c>
      <c r="I821" s="38" t="n"/>
      <c r="J821" s="29" t="n"/>
      <c r="K821" s="67">
        <f>IF(base!I821&lt;&gt;"",VLOOKUP(I821,de_para!$A$1:$B$31,2,0)*base!J821,0)</f>
        <v/>
      </c>
      <c r="L821" s="38" t="n"/>
      <c r="M821" s="29" t="n"/>
      <c r="N821" s="67">
        <f>IF(base!L821&lt;&gt;"",VLOOKUP(L821,de_para!$A$1:$B$31,2,0)*base!M821,0)</f>
        <v/>
      </c>
      <c r="O821" s="38" t="n"/>
      <c r="P821" s="29" t="n"/>
      <c r="Q821" s="67">
        <f>IF(base!O821&lt;&gt;"",VLOOKUP(O821,de_para!$A$1:$B$31,2,0)*base!P821,0)</f>
        <v/>
      </c>
      <c r="R821" s="38" t="n"/>
      <c r="S821" s="29" t="n"/>
      <c r="T821" s="67">
        <f>IF(base!R821&lt;&gt;"",VLOOKUP(R821,de_para!$A$1:$B$31,2,0)*base!S821,0)</f>
        <v/>
      </c>
      <c r="U821" s="68">
        <f>H821+K821+N821+Q821+T821</f>
        <v/>
      </c>
    </row>
    <row r="822">
      <c r="A822" s="29" t="n"/>
      <c r="B822" s="29" t="n"/>
      <c r="C822" s="29" t="n"/>
      <c r="D822" s="29" t="n"/>
      <c r="E822" s="29" t="n"/>
      <c r="F822" s="29" t="n"/>
      <c r="G822" s="29" t="n"/>
      <c r="H822" s="67">
        <f>IF(base!F822&lt;&gt;"",VLOOKUP(F822,de_para!$A$1:$B$31,2,0)*base!G822,0)</f>
        <v/>
      </c>
      <c r="I822" s="38" t="n"/>
      <c r="J822" s="29" t="n"/>
      <c r="K822" s="67">
        <f>IF(base!I822&lt;&gt;"",VLOOKUP(I822,de_para!$A$1:$B$31,2,0)*base!J822,0)</f>
        <v/>
      </c>
      <c r="L822" s="38" t="n"/>
      <c r="M822" s="29" t="n"/>
      <c r="N822" s="67">
        <f>IF(base!L822&lt;&gt;"",VLOOKUP(L822,de_para!$A$1:$B$31,2,0)*base!M822,0)</f>
        <v/>
      </c>
      <c r="O822" s="38" t="n"/>
      <c r="P822" s="29" t="n"/>
      <c r="Q822" s="67">
        <f>IF(base!O822&lt;&gt;"",VLOOKUP(O822,de_para!$A$1:$B$31,2,0)*base!P822,0)</f>
        <v/>
      </c>
      <c r="R822" s="38" t="n"/>
      <c r="S822" s="29" t="n"/>
      <c r="T822" s="67">
        <f>IF(base!R822&lt;&gt;"",VLOOKUP(R822,de_para!$A$1:$B$31,2,0)*base!S822,0)</f>
        <v/>
      </c>
      <c r="U822" s="68">
        <f>H822+K822+N822+Q822+T822</f>
        <v/>
      </c>
    </row>
    <row r="823">
      <c r="A823" s="29" t="n"/>
      <c r="B823" s="29" t="n"/>
      <c r="C823" s="29" t="n"/>
      <c r="D823" s="29" t="n"/>
      <c r="E823" s="29" t="n"/>
      <c r="F823" s="29" t="n"/>
      <c r="G823" s="29" t="n"/>
      <c r="H823" s="67">
        <f>IF(base!F823&lt;&gt;"",VLOOKUP(F823,de_para!$A$1:$B$31,2,0)*base!G823,0)</f>
        <v/>
      </c>
      <c r="I823" s="38" t="n"/>
      <c r="J823" s="29" t="n"/>
      <c r="K823" s="67">
        <f>IF(base!I823&lt;&gt;"",VLOOKUP(I823,de_para!$A$1:$B$31,2,0)*base!J823,0)</f>
        <v/>
      </c>
      <c r="L823" s="38" t="n"/>
      <c r="M823" s="29" t="n"/>
      <c r="N823" s="67">
        <f>IF(base!L823&lt;&gt;"",VLOOKUP(L823,de_para!$A$1:$B$31,2,0)*base!M823,0)</f>
        <v/>
      </c>
      <c r="O823" s="38" t="n"/>
      <c r="P823" s="29" t="n"/>
      <c r="Q823" s="67">
        <f>IF(base!O823&lt;&gt;"",VLOOKUP(O823,de_para!$A$1:$B$31,2,0)*base!P823,0)</f>
        <v/>
      </c>
      <c r="R823" s="38" t="n"/>
      <c r="S823" s="29" t="n"/>
      <c r="T823" s="67">
        <f>IF(base!R823&lt;&gt;"",VLOOKUP(R823,de_para!$A$1:$B$31,2,0)*base!S823,0)</f>
        <v/>
      </c>
      <c r="U823" s="68">
        <f>H823+K823+N823+Q823+T823</f>
        <v/>
      </c>
    </row>
    <row r="824">
      <c r="A824" s="29" t="n"/>
      <c r="B824" s="29" t="n"/>
      <c r="C824" s="29" t="n"/>
      <c r="D824" s="29" t="n"/>
      <c r="E824" s="29" t="n"/>
      <c r="F824" s="29" t="n"/>
      <c r="G824" s="29" t="n"/>
      <c r="H824" s="67">
        <f>IF(base!F824&lt;&gt;"",VLOOKUP(F824,de_para!$A$1:$B$31,2,0)*base!G824,0)</f>
        <v/>
      </c>
      <c r="I824" s="38" t="n"/>
      <c r="J824" s="29" t="n"/>
      <c r="K824" s="67">
        <f>IF(base!I824&lt;&gt;"",VLOOKUP(I824,de_para!$A$1:$B$31,2,0)*base!J824,0)</f>
        <v/>
      </c>
      <c r="L824" s="38" t="n"/>
      <c r="M824" s="29" t="n"/>
      <c r="N824" s="67">
        <f>IF(base!L824&lt;&gt;"",VLOOKUP(L824,de_para!$A$1:$B$31,2,0)*base!M824,0)</f>
        <v/>
      </c>
      <c r="O824" s="38" t="n"/>
      <c r="P824" s="29" t="n"/>
      <c r="Q824" s="67">
        <f>IF(base!O824&lt;&gt;"",VLOOKUP(O824,de_para!$A$1:$B$31,2,0)*base!P824,0)</f>
        <v/>
      </c>
      <c r="R824" s="38" t="n"/>
      <c r="S824" s="29" t="n"/>
      <c r="T824" s="67">
        <f>IF(base!R824&lt;&gt;"",VLOOKUP(R824,de_para!$A$1:$B$31,2,0)*base!S824,0)</f>
        <v/>
      </c>
      <c r="U824" s="68">
        <f>H824+K824+N824+Q824+T824</f>
        <v/>
      </c>
    </row>
    <row r="825">
      <c r="A825" s="29" t="n"/>
      <c r="B825" s="29" t="n"/>
      <c r="C825" s="29" t="n"/>
      <c r="D825" s="29" t="n"/>
      <c r="E825" s="29" t="n"/>
      <c r="F825" s="29" t="n"/>
      <c r="G825" s="29" t="n"/>
      <c r="H825" s="67">
        <f>IF(base!F825&lt;&gt;"",VLOOKUP(F825,de_para!$A$1:$B$31,2,0)*base!G825,0)</f>
        <v/>
      </c>
      <c r="I825" s="38" t="n"/>
      <c r="J825" s="29" t="n"/>
      <c r="K825" s="67">
        <f>IF(base!I825&lt;&gt;"",VLOOKUP(I825,de_para!$A$1:$B$31,2,0)*base!J825,0)</f>
        <v/>
      </c>
      <c r="L825" s="38" t="n"/>
      <c r="M825" s="29" t="n"/>
      <c r="N825" s="67">
        <f>IF(base!L825&lt;&gt;"",VLOOKUP(L825,de_para!$A$1:$B$31,2,0)*base!M825,0)</f>
        <v/>
      </c>
      <c r="O825" s="38" t="n"/>
      <c r="P825" s="29" t="n"/>
      <c r="Q825" s="67">
        <f>IF(base!O825&lt;&gt;"",VLOOKUP(O825,de_para!$A$1:$B$31,2,0)*base!P825,0)</f>
        <v/>
      </c>
      <c r="R825" s="38" t="n"/>
      <c r="S825" s="29" t="n"/>
      <c r="T825" s="67">
        <f>IF(base!R825&lt;&gt;"",VLOOKUP(R825,de_para!$A$1:$B$31,2,0)*base!S825,0)</f>
        <v/>
      </c>
      <c r="U825" s="68">
        <f>H825+K825+N825+Q825+T825</f>
        <v/>
      </c>
    </row>
    <row r="826">
      <c r="A826" s="29" t="n"/>
      <c r="B826" s="29" t="n"/>
      <c r="C826" s="29" t="n"/>
      <c r="D826" s="29" t="n"/>
      <c r="E826" s="29" t="n"/>
      <c r="F826" s="29" t="n"/>
      <c r="G826" s="29" t="n"/>
      <c r="H826" s="67">
        <f>IF(base!F826&lt;&gt;"",VLOOKUP(F826,de_para!$A$1:$B$31,2,0)*base!G826,0)</f>
        <v/>
      </c>
      <c r="I826" s="38" t="n"/>
      <c r="J826" s="29" t="n"/>
      <c r="K826" s="67">
        <f>IF(base!I826&lt;&gt;"",VLOOKUP(I826,de_para!$A$1:$B$31,2,0)*base!J826,0)</f>
        <v/>
      </c>
      <c r="L826" s="38" t="n"/>
      <c r="M826" s="29" t="n"/>
      <c r="N826" s="67">
        <f>IF(base!L826&lt;&gt;"",VLOOKUP(L826,de_para!$A$1:$B$31,2,0)*base!M826,0)</f>
        <v/>
      </c>
      <c r="O826" s="38" t="n"/>
      <c r="P826" s="29" t="n"/>
      <c r="Q826" s="67">
        <f>IF(base!O826&lt;&gt;"",VLOOKUP(O826,de_para!$A$1:$B$31,2,0)*base!P826,0)</f>
        <v/>
      </c>
      <c r="R826" s="38" t="n"/>
      <c r="S826" s="29" t="n"/>
      <c r="T826" s="67">
        <f>IF(base!R826&lt;&gt;"",VLOOKUP(R826,de_para!$A$1:$B$31,2,0)*base!S826,0)</f>
        <v/>
      </c>
      <c r="U826" s="68">
        <f>H826+K826+N826+Q826+T826</f>
        <v/>
      </c>
    </row>
    <row r="827">
      <c r="A827" s="29" t="n"/>
      <c r="B827" s="29" t="n"/>
      <c r="C827" s="29" t="n"/>
      <c r="D827" s="29" t="n"/>
      <c r="E827" s="29" t="n"/>
      <c r="F827" s="29" t="n"/>
      <c r="G827" s="29" t="n"/>
      <c r="H827" s="67">
        <f>IF(base!F827&lt;&gt;"",VLOOKUP(F827,de_para!$A$1:$B$31,2,0)*base!G827,0)</f>
        <v/>
      </c>
      <c r="I827" s="38" t="n"/>
      <c r="J827" s="29" t="n"/>
      <c r="K827" s="67">
        <f>IF(base!I827&lt;&gt;"",VLOOKUP(I827,de_para!$A$1:$B$31,2,0)*base!J827,0)</f>
        <v/>
      </c>
      <c r="L827" s="38" t="n"/>
      <c r="M827" s="29" t="n"/>
      <c r="N827" s="67">
        <f>IF(base!L827&lt;&gt;"",VLOOKUP(L827,de_para!$A$1:$B$31,2,0)*base!M827,0)</f>
        <v/>
      </c>
      <c r="O827" s="38" t="n"/>
      <c r="P827" s="29" t="n"/>
      <c r="Q827" s="67">
        <f>IF(base!O827&lt;&gt;"",VLOOKUP(O827,de_para!$A$1:$B$31,2,0)*base!P827,0)</f>
        <v/>
      </c>
      <c r="R827" s="38" t="n"/>
      <c r="S827" s="29" t="n"/>
      <c r="T827" s="67">
        <f>IF(base!R827&lt;&gt;"",VLOOKUP(R827,de_para!$A$1:$B$31,2,0)*base!S827,0)</f>
        <v/>
      </c>
      <c r="U827" s="68">
        <f>H827+K827+N827+Q827+T827</f>
        <v/>
      </c>
    </row>
    <row r="828">
      <c r="A828" s="29" t="n"/>
      <c r="B828" s="29" t="n"/>
      <c r="C828" s="29" t="n"/>
      <c r="D828" s="29" t="n"/>
      <c r="E828" s="29" t="n"/>
      <c r="F828" s="29" t="n"/>
      <c r="G828" s="29" t="n"/>
      <c r="H828" s="67">
        <f>IF(base!F828&lt;&gt;"",VLOOKUP(F828,de_para!$A$1:$B$31,2,0)*base!G828,0)</f>
        <v/>
      </c>
      <c r="I828" s="38" t="n"/>
      <c r="J828" s="29" t="n"/>
      <c r="K828" s="67">
        <f>IF(base!I828&lt;&gt;"",VLOOKUP(I828,de_para!$A$1:$B$31,2,0)*base!J828,0)</f>
        <v/>
      </c>
      <c r="L828" s="38" t="n"/>
      <c r="M828" s="29" t="n"/>
      <c r="N828" s="67">
        <f>IF(base!L828&lt;&gt;"",VLOOKUP(L828,de_para!$A$1:$B$31,2,0)*base!M828,0)</f>
        <v/>
      </c>
      <c r="O828" s="38" t="n"/>
      <c r="P828" s="29" t="n"/>
      <c r="Q828" s="67">
        <f>IF(base!O828&lt;&gt;"",VLOOKUP(O828,de_para!$A$1:$B$31,2,0)*base!P828,0)</f>
        <v/>
      </c>
      <c r="R828" s="38" t="n"/>
      <c r="S828" s="29" t="n"/>
      <c r="T828" s="67">
        <f>IF(base!R828&lt;&gt;"",VLOOKUP(R828,de_para!$A$1:$B$31,2,0)*base!S828,0)</f>
        <v/>
      </c>
      <c r="U828" s="68">
        <f>H828+K828+N828+Q828+T828</f>
        <v/>
      </c>
    </row>
    <row r="829">
      <c r="A829" s="29" t="n"/>
      <c r="B829" s="29" t="n"/>
      <c r="C829" s="29" t="n"/>
      <c r="D829" s="29" t="n"/>
      <c r="E829" s="29" t="n"/>
      <c r="F829" s="29" t="n"/>
      <c r="G829" s="29" t="n"/>
      <c r="H829" s="67">
        <f>IF(base!F829&lt;&gt;"",VLOOKUP(F829,de_para!$A$1:$B$31,2,0)*base!G829,0)</f>
        <v/>
      </c>
      <c r="I829" s="38" t="n"/>
      <c r="J829" s="29" t="n"/>
      <c r="K829" s="67">
        <f>IF(base!I829&lt;&gt;"",VLOOKUP(I829,de_para!$A$1:$B$31,2,0)*base!J829,0)</f>
        <v/>
      </c>
      <c r="L829" s="38" t="n"/>
      <c r="M829" s="29" t="n"/>
      <c r="N829" s="67">
        <f>IF(base!L829&lt;&gt;"",VLOOKUP(L829,de_para!$A$1:$B$31,2,0)*base!M829,0)</f>
        <v/>
      </c>
      <c r="O829" s="38" t="n"/>
      <c r="P829" s="29" t="n"/>
      <c r="Q829" s="67">
        <f>IF(base!O829&lt;&gt;"",VLOOKUP(O829,de_para!$A$1:$B$31,2,0)*base!P829,0)</f>
        <v/>
      </c>
      <c r="R829" s="38" t="n"/>
      <c r="S829" s="29" t="n"/>
      <c r="T829" s="67">
        <f>IF(base!R829&lt;&gt;"",VLOOKUP(R829,de_para!$A$1:$B$31,2,0)*base!S829,0)</f>
        <v/>
      </c>
      <c r="U829" s="68">
        <f>H829+K829+N829+Q829+T829</f>
        <v/>
      </c>
    </row>
    <row r="830">
      <c r="A830" s="29" t="n"/>
      <c r="B830" s="29" t="n"/>
      <c r="C830" s="29" t="n"/>
      <c r="D830" s="29" t="n"/>
      <c r="E830" s="29" t="n"/>
      <c r="F830" s="29" t="n"/>
      <c r="G830" s="29" t="n"/>
      <c r="H830" s="67">
        <f>IF(base!F830&lt;&gt;"",VLOOKUP(F830,de_para!$A$1:$B$31,2,0)*base!G830,0)</f>
        <v/>
      </c>
      <c r="I830" s="38" t="n"/>
      <c r="J830" s="29" t="n"/>
      <c r="K830" s="67">
        <f>IF(base!I830&lt;&gt;"",VLOOKUP(I830,de_para!$A$1:$B$31,2,0)*base!J830,0)</f>
        <v/>
      </c>
      <c r="L830" s="38" t="n"/>
      <c r="M830" s="29" t="n"/>
      <c r="N830" s="67">
        <f>IF(base!L830&lt;&gt;"",VLOOKUP(L830,de_para!$A$1:$B$31,2,0)*base!M830,0)</f>
        <v/>
      </c>
      <c r="O830" s="38" t="n"/>
      <c r="P830" s="29" t="n"/>
      <c r="Q830" s="67">
        <f>IF(base!O830&lt;&gt;"",VLOOKUP(O830,de_para!$A$1:$B$31,2,0)*base!P830,0)</f>
        <v/>
      </c>
      <c r="R830" s="38" t="n"/>
      <c r="S830" s="29" t="n"/>
      <c r="T830" s="67">
        <f>IF(base!R830&lt;&gt;"",VLOOKUP(R830,de_para!$A$1:$B$31,2,0)*base!S830,0)</f>
        <v/>
      </c>
      <c r="U830" s="68">
        <f>H830+K830+N830+Q830+T830</f>
        <v/>
      </c>
    </row>
    <row r="831">
      <c r="A831" s="29" t="n"/>
      <c r="B831" s="29" t="n"/>
      <c r="C831" s="29" t="n"/>
      <c r="D831" s="29" t="n"/>
      <c r="E831" s="29" t="n"/>
      <c r="F831" s="29" t="n"/>
      <c r="G831" s="29" t="n"/>
      <c r="H831" s="67">
        <f>IF(base!F831&lt;&gt;"",VLOOKUP(F831,de_para!$A$1:$B$31,2,0)*base!G831,0)</f>
        <v/>
      </c>
      <c r="I831" s="38" t="n"/>
      <c r="J831" s="29" t="n"/>
      <c r="K831" s="67">
        <f>IF(base!I831&lt;&gt;"",VLOOKUP(I831,de_para!$A$1:$B$31,2,0)*base!J831,0)</f>
        <v/>
      </c>
      <c r="L831" s="38" t="n"/>
      <c r="M831" s="29" t="n"/>
      <c r="N831" s="67">
        <f>IF(base!L831&lt;&gt;"",VLOOKUP(L831,de_para!$A$1:$B$31,2,0)*base!M831,0)</f>
        <v/>
      </c>
      <c r="O831" s="38" t="n"/>
      <c r="P831" s="29" t="n"/>
      <c r="Q831" s="67">
        <f>IF(base!O831&lt;&gt;"",VLOOKUP(O831,de_para!$A$1:$B$31,2,0)*base!P831,0)</f>
        <v/>
      </c>
      <c r="R831" s="38" t="n"/>
      <c r="S831" s="29" t="n"/>
      <c r="T831" s="67">
        <f>IF(base!R831&lt;&gt;"",VLOOKUP(R831,de_para!$A$1:$B$31,2,0)*base!S831,0)</f>
        <v/>
      </c>
      <c r="U831" s="68">
        <f>H831+K831+N831+Q831+T831</f>
        <v/>
      </c>
    </row>
    <row r="832">
      <c r="A832" s="29" t="n"/>
      <c r="B832" s="29" t="n"/>
      <c r="C832" s="29" t="n"/>
      <c r="D832" s="29" t="n"/>
      <c r="E832" s="29" t="n"/>
      <c r="F832" s="29" t="n"/>
      <c r="G832" s="29" t="n"/>
      <c r="H832" s="67">
        <f>IF(base!F832&lt;&gt;"",VLOOKUP(F832,de_para!$A$1:$B$31,2,0)*base!G832,0)</f>
        <v/>
      </c>
      <c r="I832" s="38" t="n"/>
      <c r="J832" s="29" t="n"/>
      <c r="K832" s="67">
        <f>IF(base!I832&lt;&gt;"",VLOOKUP(I832,de_para!$A$1:$B$31,2,0)*base!J832,0)</f>
        <v/>
      </c>
      <c r="L832" s="38" t="n"/>
      <c r="M832" s="29" t="n"/>
      <c r="N832" s="67">
        <f>IF(base!L832&lt;&gt;"",VLOOKUP(L832,de_para!$A$1:$B$31,2,0)*base!M832,0)</f>
        <v/>
      </c>
      <c r="O832" s="38" t="n"/>
      <c r="P832" s="29" t="n"/>
      <c r="Q832" s="67">
        <f>IF(base!O832&lt;&gt;"",VLOOKUP(O832,de_para!$A$1:$B$31,2,0)*base!P832,0)</f>
        <v/>
      </c>
      <c r="R832" s="38" t="n"/>
      <c r="S832" s="29" t="n"/>
      <c r="T832" s="67">
        <f>IF(base!R832&lt;&gt;"",VLOOKUP(R832,de_para!$A$1:$B$31,2,0)*base!S832,0)</f>
        <v/>
      </c>
      <c r="U832" s="68">
        <f>H832+K832+N832+Q832+T832</f>
        <v/>
      </c>
    </row>
    <row r="833">
      <c r="A833" s="29" t="n"/>
      <c r="B833" s="29" t="n"/>
      <c r="C833" s="29" t="n"/>
      <c r="D833" s="29" t="n"/>
      <c r="E833" s="29" t="n"/>
      <c r="F833" s="29" t="n"/>
      <c r="G833" s="29" t="n"/>
      <c r="H833" s="67">
        <f>IF(base!F833&lt;&gt;"",VLOOKUP(F833,de_para!$A$1:$B$31,2,0)*base!G833,0)</f>
        <v/>
      </c>
      <c r="I833" s="38" t="n"/>
      <c r="J833" s="29" t="n"/>
      <c r="K833" s="67">
        <f>IF(base!I833&lt;&gt;"",VLOOKUP(I833,de_para!$A$1:$B$31,2,0)*base!J833,0)</f>
        <v/>
      </c>
      <c r="L833" s="38" t="n"/>
      <c r="M833" s="29" t="n"/>
      <c r="N833" s="67">
        <f>IF(base!L833&lt;&gt;"",VLOOKUP(L833,de_para!$A$1:$B$31,2,0)*base!M833,0)</f>
        <v/>
      </c>
      <c r="O833" s="38" t="n"/>
      <c r="P833" s="29" t="n"/>
      <c r="Q833" s="67">
        <f>IF(base!O833&lt;&gt;"",VLOOKUP(O833,de_para!$A$1:$B$31,2,0)*base!P833,0)</f>
        <v/>
      </c>
      <c r="R833" s="38" t="n"/>
      <c r="S833" s="29" t="n"/>
      <c r="T833" s="67">
        <f>IF(base!R833&lt;&gt;"",VLOOKUP(R833,de_para!$A$1:$B$31,2,0)*base!S833,0)</f>
        <v/>
      </c>
      <c r="U833" s="68">
        <f>H833+K833+N833+Q833+T833</f>
        <v/>
      </c>
    </row>
    <row r="834">
      <c r="A834" s="29" t="n"/>
      <c r="B834" s="29" t="n"/>
      <c r="C834" s="29" t="n"/>
      <c r="D834" s="29" t="n"/>
      <c r="E834" s="29" t="n"/>
      <c r="F834" s="29" t="n"/>
      <c r="G834" s="29" t="n"/>
      <c r="H834" s="67">
        <f>IF(base!F834&lt;&gt;"",VLOOKUP(F834,de_para!$A$1:$B$31,2,0)*base!G834,0)</f>
        <v/>
      </c>
      <c r="I834" s="38" t="n"/>
      <c r="J834" s="29" t="n"/>
      <c r="K834" s="67">
        <f>IF(base!I834&lt;&gt;"",VLOOKUP(I834,de_para!$A$1:$B$31,2,0)*base!J834,0)</f>
        <v/>
      </c>
      <c r="L834" s="38" t="n"/>
      <c r="M834" s="29" t="n"/>
      <c r="N834" s="67">
        <f>IF(base!L834&lt;&gt;"",VLOOKUP(L834,de_para!$A$1:$B$31,2,0)*base!M834,0)</f>
        <v/>
      </c>
      <c r="O834" s="38" t="n"/>
      <c r="P834" s="29" t="n"/>
      <c r="Q834" s="67">
        <f>IF(base!O834&lt;&gt;"",VLOOKUP(O834,de_para!$A$1:$B$31,2,0)*base!P834,0)</f>
        <v/>
      </c>
      <c r="R834" s="38" t="n"/>
      <c r="S834" s="29" t="n"/>
      <c r="T834" s="67">
        <f>IF(base!R834&lt;&gt;"",VLOOKUP(R834,de_para!$A$1:$B$31,2,0)*base!S834,0)</f>
        <v/>
      </c>
      <c r="U834" s="68">
        <f>H834+K834+N834+Q834+T834</f>
        <v/>
      </c>
    </row>
    <row r="835">
      <c r="A835" s="29" t="n"/>
      <c r="B835" s="29" t="n"/>
      <c r="C835" s="29" t="n"/>
      <c r="D835" s="29" t="n"/>
      <c r="E835" s="29" t="n"/>
      <c r="F835" s="29" t="n"/>
      <c r="G835" s="29" t="n"/>
      <c r="H835" s="67">
        <f>IF(base!F835&lt;&gt;"",VLOOKUP(F835,de_para!$A$1:$B$31,2,0)*base!G835,0)</f>
        <v/>
      </c>
      <c r="I835" s="38" t="n"/>
      <c r="J835" s="29" t="n"/>
      <c r="K835" s="67">
        <f>IF(base!I835&lt;&gt;"",VLOOKUP(I835,de_para!$A$1:$B$31,2,0)*base!J835,0)</f>
        <v/>
      </c>
      <c r="L835" s="38" t="n"/>
      <c r="M835" s="29" t="n"/>
      <c r="N835" s="67">
        <f>IF(base!L835&lt;&gt;"",VLOOKUP(L835,de_para!$A$1:$B$31,2,0)*base!M835,0)</f>
        <v/>
      </c>
      <c r="O835" s="38" t="n"/>
      <c r="P835" s="29" t="n"/>
      <c r="Q835" s="67">
        <f>IF(base!O835&lt;&gt;"",VLOOKUP(O835,de_para!$A$1:$B$31,2,0)*base!P835,0)</f>
        <v/>
      </c>
      <c r="R835" s="38" t="n"/>
      <c r="S835" s="29" t="n"/>
      <c r="T835" s="67">
        <f>IF(base!R835&lt;&gt;"",VLOOKUP(R835,de_para!$A$1:$B$31,2,0)*base!S835,0)</f>
        <v/>
      </c>
      <c r="U835" s="68">
        <f>H835+K835+N835+Q835+T835</f>
        <v/>
      </c>
    </row>
    <row r="836">
      <c r="A836" s="29" t="n"/>
      <c r="B836" s="29" t="n"/>
      <c r="C836" s="29" t="n"/>
      <c r="D836" s="29" t="n"/>
      <c r="E836" s="29" t="n"/>
      <c r="F836" s="29" t="n"/>
      <c r="G836" s="29" t="n"/>
      <c r="H836" s="67">
        <f>IF(base!F836&lt;&gt;"",VLOOKUP(F836,de_para!$A$1:$B$31,2,0)*base!G836,0)</f>
        <v/>
      </c>
      <c r="I836" s="38" t="n"/>
      <c r="J836" s="29" t="n"/>
      <c r="K836" s="67">
        <f>IF(base!I836&lt;&gt;"",VLOOKUP(I836,de_para!$A$1:$B$31,2,0)*base!J836,0)</f>
        <v/>
      </c>
      <c r="L836" s="38" t="n"/>
      <c r="M836" s="29" t="n"/>
      <c r="N836" s="67">
        <f>IF(base!L836&lt;&gt;"",VLOOKUP(L836,de_para!$A$1:$B$31,2,0)*base!M836,0)</f>
        <v/>
      </c>
      <c r="O836" s="38" t="n"/>
      <c r="P836" s="29" t="n"/>
      <c r="Q836" s="67">
        <f>IF(base!O836&lt;&gt;"",VLOOKUP(O836,de_para!$A$1:$B$31,2,0)*base!P836,0)</f>
        <v/>
      </c>
      <c r="R836" s="38" t="n"/>
      <c r="S836" s="29" t="n"/>
      <c r="T836" s="67">
        <f>IF(base!R836&lt;&gt;"",VLOOKUP(R836,de_para!$A$1:$B$31,2,0)*base!S836,0)</f>
        <v/>
      </c>
      <c r="U836" s="68">
        <f>H836+K836+N836+Q836+T836</f>
        <v/>
      </c>
    </row>
    <row r="837">
      <c r="A837" s="29" t="n"/>
      <c r="B837" s="29" t="n"/>
      <c r="C837" s="29" t="n"/>
      <c r="D837" s="29" t="n"/>
      <c r="E837" s="29" t="n"/>
      <c r="F837" s="29" t="n"/>
      <c r="G837" s="29" t="n"/>
      <c r="H837" s="67">
        <f>IF(base!F837&lt;&gt;"",VLOOKUP(F837,de_para!$A$1:$B$31,2,0)*base!G837,0)</f>
        <v/>
      </c>
      <c r="I837" s="38" t="n"/>
      <c r="J837" s="29" t="n"/>
      <c r="K837" s="67">
        <f>IF(base!I837&lt;&gt;"",VLOOKUP(I837,de_para!$A$1:$B$31,2,0)*base!J837,0)</f>
        <v/>
      </c>
      <c r="L837" s="38" t="n"/>
      <c r="M837" s="29" t="n"/>
      <c r="N837" s="67">
        <f>IF(base!L837&lt;&gt;"",VLOOKUP(L837,de_para!$A$1:$B$31,2,0)*base!M837,0)</f>
        <v/>
      </c>
      <c r="O837" s="38" t="n"/>
      <c r="P837" s="29" t="n"/>
      <c r="Q837" s="67">
        <f>IF(base!O837&lt;&gt;"",VLOOKUP(O837,de_para!$A$1:$B$31,2,0)*base!P837,0)</f>
        <v/>
      </c>
      <c r="R837" s="38" t="n"/>
      <c r="S837" s="29" t="n"/>
      <c r="T837" s="67">
        <f>IF(base!R837&lt;&gt;"",VLOOKUP(R837,de_para!$A$1:$B$31,2,0)*base!S837,0)</f>
        <v/>
      </c>
      <c r="U837" s="68">
        <f>H837+K837+N837+Q837+T837</f>
        <v/>
      </c>
    </row>
    <row r="838">
      <c r="A838" s="29" t="n"/>
      <c r="B838" s="29" t="n"/>
      <c r="C838" s="29" t="n"/>
      <c r="D838" s="29" t="n"/>
      <c r="E838" s="29" t="n"/>
      <c r="F838" s="29" t="n"/>
      <c r="G838" s="29" t="n"/>
      <c r="H838" s="67">
        <f>IF(base!F838&lt;&gt;"",VLOOKUP(F838,de_para!$A$1:$B$31,2,0)*base!G838,0)</f>
        <v/>
      </c>
      <c r="I838" s="38" t="n"/>
      <c r="J838" s="29" t="n"/>
      <c r="K838" s="67">
        <f>IF(base!I838&lt;&gt;"",VLOOKUP(I838,de_para!$A$1:$B$31,2,0)*base!J838,0)</f>
        <v/>
      </c>
      <c r="L838" s="38" t="n"/>
      <c r="M838" s="29" t="n"/>
      <c r="N838" s="67">
        <f>IF(base!L838&lt;&gt;"",VLOOKUP(L838,de_para!$A$1:$B$31,2,0)*base!M838,0)</f>
        <v/>
      </c>
      <c r="O838" s="38" t="n"/>
      <c r="P838" s="29" t="n"/>
      <c r="Q838" s="67">
        <f>IF(base!O838&lt;&gt;"",VLOOKUP(O838,de_para!$A$1:$B$31,2,0)*base!P838,0)</f>
        <v/>
      </c>
      <c r="R838" s="38" t="n"/>
      <c r="S838" s="29" t="n"/>
      <c r="T838" s="67">
        <f>IF(base!R838&lt;&gt;"",VLOOKUP(R838,de_para!$A$1:$B$31,2,0)*base!S838,0)</f>
        <v/>
      </c>
      <c r="U838" s="68">
        <f>H838+K838+N838+Q838+T838</f>
        <v/>
      </c>
    </row>
    <row r="839">
      <c r="A839" s="29" t="n"/>
      <c r="B839" s="29" t="n"/>
      <c r="C839" s="29" t="n"/>
      <c r="D839" s="29" t="n"/>
      <c r="E839" s="29" t="n"/>
      <c r="F839" s="29" t="n"/>
      <c r="G839" s="29" t="n"/>
      <c r="H839" s="67">
        <f>IF(base!F839&lt;&gt;"",VLOOKUP(F839,de_para!$A$1:$B$31,2,0)*base!G839,0)</f>
        <v/>
      </c>
      <c r="I839" s="38" t="n"/>
      <c r="J839" s="29" t="n"/>
      <c r="K839" s="67">
        <f>IF(base!I839&lt;&gt;"",VLOOKUP(I839,de_para!$A$1:$B$31,2,0)*base!J839,0)</f>
        <v/>
      </c>
      <c r="L839" s="38" t="n"/>
      <c r="M839" s="29" t="n"/>
      <c r="N839" s="67">
        <f>IF(base!L839&lt;&gt;"",VLOOKUP(L839,de_para!$A$1:$B$31,2,0)*base!M839,0)</f>
        <v/>
      </c>
      <c r="O839" s="38" t="n"/>
      <c r="P839" s="29" t="n"/>
      <c r="Q839" s="67">
        <f>IF(base!O839&lt;&gt;"",VLOOKUP(O839,de_para!$A$1:$B$31,2,0)*base!P839,0)</f>
        <v/>
      </c>
      <c r="R839" s="38" t="n"/>
      <c r="S839" s="29" t="n"/>
      <c r="T839" s="67">
        <f>IF(base!R839&lt;&gt;"",VLOOKUP(R839,de_para!$A$1:$B$31,2,0)*base!S839,0)</f>
        <v/>
      </c>
      <c r="U839" s="68">
        <f>H839+K839+N839+Q839+T839</f>
        <v/>
      </c>
    </row>
    <row r="840">
      <c r="A840" s="29" t="n"/>
      <c r="B840" s="29" t="n"/>
      <c r="C840" s="29" t="n"/>
      <c r="D840" s="29" t="n"/>
      <c r="E840" s="29" t="n"/>
      <c r="F840" s="29" t="n"/>
      <c r="G840" s="29" t="n"/>
      <c r="H840" s="67">
        <f>IF(base!F840&lt;&gt;"",VLOOKUP(F840,de_para!$A$1:$B$31,2,0)*base!G840,0)</f>
        <v/>
      </c>
      <c r="I840" s="38" t="n"/>
      <c r="J840" s="29" t="n"/>
      <c r="K840" s="67">
        <f>IF(base!I840&lt;&gt;"",VLOOKUP(I840,de_para!$A$1:$B$31,2,0)*base!J840,0)</f>
        <v/>
      </c>
      <c r="L840" s="38" t="n"/>
      <c r="M840" s="29" t="n"/>
      <c r="N840" s="67">
        <f>IF(base!L840&lt;&gt;"",VLOOKUP(L840,de_para!$A$1:$B$31,2,0)*base!M840,0)</f>
        <v/>
      </c>
      <c r="O840" s="38" t="n"/>
      <c r="P840" s="29" t="n"/>
      <c r="Q840" s="67">
        <f>IF(base!O840&lt;&gt;"",VLOOKUP(O840,de_para!$A$1:$B$31,2,0)*base!P840,0)</f>
        <v/>
      </c>
      <c r="R840" s="38" t="n"/>
      <c r="S840" s="29" t="n"/>
      <c r="T840" s="67">
        <f>IF(base!R840&lt;&gt;"",VLOOKUP(R840,de_para!$A$1:$B$31,2,0)*base!S840,0)</f>
        <v/>
      </c>
      <c r="U840" s="68">
        <f>H840+K840+N840+Q840+T840</f>
        <v/>
      </c>
    </row>
    <row r="841">
      <c r="A841" s="29" t="n"/>
      <c r="B841" s="29" t="n"/>
      <c r="C841" s="29" t="n"/>
      <c r="D841" s="29" t="n"/>
      <c r="E841" s="29" t="n"/>
      <c r="F841" s="29" t="n"/>
      <c r="G841" s="29" t="n"/>
      <c r="H841" s="67">
        <f>IF(base!F841&lt;&gt;"",VLOOKUP(F841,de_para!$A$1:$B$31,2,0)*base!G841,0)</f>
        <v/>
      </c>
      <c r="I841" s="38" t="n"/>
      <c r="J841" s="29" t="n"/>
      <c r="K841" s="67">
        <f>IF(base!I841&lt;&gt;"",VLOOKUP(I841,de_para!$A$1:$B$31,2,0)*base!J841,0)</f>
        <v/>
      </c>
      <c r="L841" s="38" t="n"/>
      <c r="M841" s="29" t="n"/>
      <c r="N841" s="67">
        <f>IF(base!L841&lt;&gt;"",VLOOKUP(L841,de_para!$A$1:$B$31,2,0)*base!M841,0)</f>
        <v/>
      </c>
      <c r="O841" s="38" t="n"/>
      <c r="P841" s="29" t="n"/>
      <c r="Q841" s="67">
        <f>IF(base!O841&lt;&gt;"",VLOOKUP(O841,de_para!$A$1:$B$31,2,0)*base!P841,0)</f>
        <v/>
      </c>
      <c r="R841" s="38" t="n"/>
      <c r="S841" s="29" t="n"/>
      <c r="T841" s="67">
        <f>IF(base!R841&lt;&gt;"",VLOOKUP(R841,de_para!$A$1:$B$31,2,0)*base!S841,0)</f>
        <v/>
      </c>
      <c r="U841" s="68">
        <f>H841+K841+N841+Q841+T841</f>
        <v/>
      </c>
    </row>
    <row r="842">
      <c r="A842" s="29" t="n"/>
      <c r="B842" s="29" t="n"/>
      <c r="C842" s="29" t="n"/>
      <c r="D842" s="29" t="n"/>
      <c r="E842" s="29" t="n"/>
      <c r="F842" s="29" t="n"/>
      <c r="G842" s="29" t="n"/>
      <c r="H842" s="67">
        <f>IF(base!F842&lt;&gt;"",VLOOKUP(F842,de_para!$A$1:$B$31,2,0)*base!G842,0)</f>
        <v/>
      </c>
      <c r="I842" s="38" t="n"/>
      <c r="J842" s="29" t="n"/>
      <c r="K842" s="67">
        <f>IF(base!I842&lt;&gt;"",VLOOKUP(I842,de_para!$A$1:$B$31,2,0)*base!J842,0)</f>
        <v/>
      </c>
      <c r="L842" s="38" t="n"/>
      <c r="M842" s="29" t="n"/>
      <c r="N842" s="67">
        <f>IF(base!L842&lt;&gt;"",VLOOKUP(L842,de_para!$A$1:$B$31,2,0)*base!M842,0)</f>
        <v/>
      </c>
      <c r="O842" s="38" t="n"/>
      <c r="P842" s="29" t="n"/>
      <c r="Q842" s="67">
        <f>IF(base!O842&lt;&gt;"",VLOOKUP(O842,de_para!$A$1:$B$31,2,0)*base!P842,0)</f>
        <v/>
      </c>
      <c r="R842" s="38" t="n"/>
      <c r="S842" s="29" t="n"/>
      <c r="T842" s="67">
        <f>IF(base!R842&lt;&gt;"",VLOOKUP(R842,de_para!$A$1:$B$31,2,0)*base!S842,0)</f>
        <v/>
      </c>
      <c r="U842" s="68">
        <f>H842+K842+N842+Q842+T842</f>
        <v/>
      </c>
    </row>
    <row r="843">
      <c r="A843" s="29" t="n"/>
      <c r="B843" s="29" t="n"/>
      <c r="C843" s="29" t="n"/>
      <c r="D843" s="29" t="n"/>
      <c r="E843" s="29" t="n"/>
      <c r="F843" s="29" t="n"/>
      <c r="G843" s="29" t="n"/>
      <c r="H843" s="67">
        <f>IF(base!F843&lt;&gt;"",VLOOKUP(F843,de_para!$A$1:$B$31,2,0)*base!G843,0)</f>
        <v/>
      </c>
      <c r="I843" s="38" t="n"/>
      <c r="J843" s="29" t="n"/>
      <c r="K843" s="67">
        <f>IF(base!I843&lt;&gt;"",VLOOKUP(I843,de_para!$A$1:$B$31,2,0)*base!J843,0)</f>
        <v/>
      </c>
      <c r="L843" s="38" t="n"/>
      <c r="M843" s="29" t="n"/>
      <c r="N843" s="67">
        <f>IF(base!L843&lt;&gt;"",VLOOKUP(L843,de_para!$A$1:$B$31,2,0)*base!M843,0)</f>
        <v/>
      </c>
      <c r="O843" s="38" t="n"/>
      <c r="P843" s="29" t="n"/>
      <c r="Q843" s="67">
        <f>IF(base!O843&lt;&gt;"",VLOOKUP(O843,de_para!$A$1:$B$31,2,0)*base!P843,0)</f>
        <v/>
      </c>
      <c r="R843" s="38" t="n"/>
      <c r="S843" s="29" t="n"/>
      <c r="T843" s="67">
        <f>IF(base!R843&lt;&gt;"",VLOOKUP(R843,de_para!$A$1:$B$31,2,0)*base!S843,0)</f>
        <v/>
      </c>
      <c r="U843" s="68">
        <f>H843+K843+N843+Q843+T843</f>
        <v/>
      </c>
    </row>
    <row r="844">
      <c r="A844" s="29" t="n"/>
      <c r="B844" s="29" t="n"/>
      <c r="C844" s="29" t="n"/>
      <c r="D844" s="29" t="n"/>
      <c r="E844" s="29" t="n"/>
      <c r="F844" s="29" t="n"/>
      <c r="G844" s="29" t="n"/>
      <c r="H844" s="67">
        <f>IF(base!F844&lt;&gt;"",VLOOKUP(F844,de_para!$A$1:$B$31,2,0)*base!G844,0)</f>
        <v/>
      </c>
      <c r="I844" s="38" t="n"/>
      <c r="J844" s="29" t="n"/>
      <c r="K844" s="67">
        <f>IF(base!I844&lt;&gt;"",VLOOKUP(I844,de_para!$A$1:$B$31,2,0)*base!J844,0)</f>
        <v/>
      </c>
      <c r="L844" s="38" t="n"/>
      <c r="M844" s="29" t="n"/>
      <c r="N844" s="67">
        <f>IF(base!L844&lt;&gt;"",VLOOKUP(L844,de_para!$A$1:$B$31,2,0)*base!M844,0)</f>
        <v/>
      </c>
      <c r="O844" s="38" t="n"/>
      <c r="P844" s="29" t="n"/>
      <c r="Q844" s="67">
        <f>IF(base!O844&lt;&gt;"",VLOOKUP(O844,de_para!$A$1:$B$31,2,0)*base!P844,0)</f>
        <v/>
      </c>
      <c r="R844" s="38" t="n"/>
      <c r="S844" s="29" t="n"/>
      <c r="T844" s="67">
        <f>IF(base!R844&lt;&gt;"",VLOOKUP(R844,de_para!$A$1:$B$31,2,0)*base!S844,0)</f>
        <v/>
      </c>
      <c r="U844" s="68">
        <f>H844+K844+N844+Q844+T844</f>
        <v/>
      </c>
    </row>
    <row r="845">
      <c r="A845" s="29" t="n"/>
      <c r="B845" s="29" t="n"/>
      <c r="C845" s="29" t="n"/>
      <c r="D845" s="29" t="n"/>
      <c r="E845" s="29" t="n"/>
      <c r="F845" s="29" t="n"/>
      <c r="G845" s="29" t="n"/>
      <c r="H845" s="67">
        <f>IF(base!F845&lt;&gt;"",VLOOKUP(F845,de_para!$A$1:$B$31,2,0)*base!G845,0)</f>
        <v/>
      </c>
      <c r="I845" s="38" t="n"/>
      <c r="J845" s="29" t="n"/>
      <c r="K845" s="67">
        <f>IF(base!I845&lt;&gt;"",VLOOKUP(I845,de_para!$A$1:$B$31,2,0)*base!J845,0)</f>
        <v/>
      </c>
      <c r="L845" s="38" t="n"/>
      <c r="M845" s="29" t="n"/>
      <c r="N845" s="67">
        <f>IF(base!L845&lt;&gt;"",VLOOKUP(L845,de_para!$A$1:$B$31,2,0)*base!M845,0)</f>
        <v/>
      </c>
      <c r="O845" s="38" t="n"/>
      <c r="P845" s="29" t="n"/>
      <c r="Q845" s="67">
        <f>IF(base!O845&lt;&gt;"",VLOOKUP(O845,de_para!$A$1:$B$31,2,0)*base!P845,0)</f>
        <v/>
      </c>
      <c r="R845" s="38" t="n"/>
      <c r="S845" s="29" t="n"/>
      <c r="T845" s="67">
        <f>IF(base!R845&lt;&gt;"",VLOOKUP(R845,de_para!$A$1:$B$31,2,0)*base!S845,0)</f>
        <v/>
      </c>
      <c r="U845" s="68">
        <f>H845+K845+N845+Q845+T845</f>
        <v/>
      </c>
    </row>
    <row r="846">
      <c r="A846" s="29" t="n"/>
      <c r="B846" s="29" t="n"/>
      <c r="C846" s="29" t="n"/>
      <c r="D846" s="29" t="n"/>
      <c r="E846" s="29" t="n"/>
      <c r="F846" s="29" t="n"/>
      <c r="G846" s="29" t="n"/>
      <c r="H846" s="67">
        <f>IF(base!F846&lt;&gt;"",VLOOKUP(F846,de_para!$A$1:$B$31,2,0)*base!G846,0)</f>
        <v/>
      </c>
      <c r="I846" s="38" t="n"/>
      <c r="J846" s="29" t="n"/>
      <c r="K846" s="67">
        <f>IF(base!I846&lt;&gt;"",VLOOKUP(I846,de_para!$A$1:$B$31,2,0)*base!J846,0)</f>
        <v/>
      </c>
      <c r="L846" s="38" t="n"/>
      <c r="M846" s="29" t="n"/>
      <c r="N846" s="67">
        <f>IF(base!L846&lt;&gt;"",VLOOKUP(L846,de_para!$A$1:$B$31,2,0)*base!M846,0)</f>
        <v/>
      </c>
      <c r="O846" s="38" t="n"/>
      <c r="P846" s="29" t="n"/>
      <c r="Q846" s="67">
        <f>IF(base!O846&lt;&gt;"",VLOOKUP(O846,de_para!$A$1:$B$31,2,0)*base!P846,0)</f>
        <v/>
      </c>
      <c r="R846" s="38" t="n"/>
      <c r="S846" s="29" t="n"/>
      <c r="T846" s="67">
        <f>IF(base!R846&lt;&gt;"",VLOOKUP(R846,de_para!$A$1:$B$31,2,0)*base!S846,0)</f>
        <v/>
      </c>
      <c r="U846" s="68">
        <f>H846+K846+N846+Q846+T846</f>
        <v/>
      </c>
    </row>
    <row r="847">
      <c r="A847" s="29" t="n"/>
      <c r="B847" s="29" t="n"/>
      <c r="C847" s="29" t="n"/>
      <c r="D847" s="29" t="n"/>
      <c r="E847" s="29" t="n"/>
      <c r="F847" s="29" t="n"/>
      <c r="G847" s="29" t="n"/>
      <c r="H847" s="67">
        <f>IF(base!F847&lt;&gt;"",VLOOKUP(F847,de_para!$A$1:$B$31,2,0)*base!G847,0)</f>
        <v/>
      </c>
      <c r="I847" s="38" t="n"/>
      <c r="J847" s="29" t="n"/>
      <c r="K847" s="67">
        <f>IF(base!I847&lt;&gt;"",VLOOKUP(I847,de_para!$A$1:$B$31,2,0)*base!J847,0)</f>
        <v/>
      </c>
      <c r="L847" s="38" t="n"/>
      <c r="M847" s="29" t="n"/>
      <c r="N847" s="67">
        <f>IF(base!L847&lt;&gt;"",VLOOKUP(L847,de_para!$A$1:$B$31,2,0)*base!M847,0)</f>
        <v/>
      </c>
      <c r="O847" s="38" t="n"/>
      <c r="P847" s="29" t="n"/>
      <c r="Q847" s="67">
        <f>IF(base!O847&lt;&gt;"",VLOOKUP(O847,de_para!$A$1:$B$31,2,0)*base!P847,0)</f>
        <v/>
      </c>
      <c r="R847" s="38" t="n"/>
      <c r="S847" s="29" t="n"/>
      <c r="T847" s="67">
        <f>IF(base!R847&lt;&gt;"",VLOOKUP(R847,de_para!$A$1:$B$31,2,0)*base!S847,0)</f>
        <v/>
      </c>
      <c r="U847" s="68">
        <f>H847+K847+N847+Q847+T847</f>
        <v/>
      </c>
    </row>
    <row r="848">
      <c r="A848" s="29" t="n"/>
      <c r="B848" s="29" t="n"/>
      <c r="C848" s="29" t="n"/>
      <c r="D848" s="29" t="n"/>
      <c r="E848" s="29" t="n"/>
      <c r="F848" s="29" t="n"/>
      <c r="G848" s="29" t="n"/>
      <c r="H848" s="67">
        <f>IF(base!F848&lt;&gt;"",VLOOKUP(F848,de_para!$A$1:$B$31,2,0)*base!G848,0)</f>
        <v/>
      </c>
      <c r="I848" s="38" t="n"/>
      <c r="J848" s="29" t="n"/>
      <c r="K848" s="67">
        <f>IF(base!I848&lt;&gt;"",VLOOKUP(I848,de_para!$A$1:$B$31,2,0)*base!J848,0)</f>
        <v/>
      </c>
      <c r="L848" s="38" t="n"/>
      <c r="M848" s="29" t="n"/>
      <c r="N848" s="67">
        <f>IF(base!L848&lt;&gt;"",VLOOKUP(L848,de_para!$A$1:$B$31,2,0)*base!M848,0)</f>
        <v/>
      </c>
      <c r="O848" s="38" t="n"/>
      <c r="P848" s="29" t="n"/>
      <c r="Q848" s="67">
        <f>IF(base!O848&lt;&gt;"",VLOOKUP(O848,de_para!$A$1:$B$31,2,0)*base!P848,0)</f>
        <v/>
      </c>
      <c r="R848" s="38" t="n"/>
      <c r="S848" s="29" t="n"/>
      <c r="T848" s="67">
        <f>IF(base!R848&lt;&gt;"",VLOOKUP(R848,de_para!$A$1:$B$31,2,0)*base!S848,0)</f>
        <v/>
      </c>
      <c r="U848" s="68">
        <f>H848+K848+N848+Q848+T848</f>
        <v/>
      </c>
    </row>
    <row r="849">
      <c r="A849" s="29" t="n"/>
      <c r="B849" s="29" t="n"/>
      <c r="C849" s="29" t="n"/>
      <c r="D849" s="29" t="n"/>
      <c r="E849" s="29" t="n"/>
      <c r="F849" s="29" t="n"/>
      <c r="G849" s="29" t="n"/>
      <c r="H849" s="67">
        <f>IF(base!F849&lt;&gt;"",VLOOKUP(F849,de_para!$A$1:$B$31,2,0)*base!G849,0)</f>
        <v/>
      </c>
      <c r="I849" s="38" t="n"/>
      <c r="J849" s="29" t="n"/>
      <c r="K849" s="67">
        <f>IF(base!I849&lt;&gt;"",VLOOKUP(I849,de_para!$A$1:$B$31,2,0)*base!J849,0)</f>
        <v/>
      </c>
      <c r="L849" s="38" t="n"/>
      <c r="M849" s="29" t="n"/>
      <c r="N849" s="67">
        <f>IF(base!L849&lt;&gt;"",VLOOKUP(L849,de_para!$A$1:$B$31,2,0)*base!M849,0)</f>
        <v/>
      </c>
      <c r="O849" s="38" t="n"/>
      <c r="P849" s="29" t="n"/>
      <c r="Q849" s="67">
        <f>IF(base!O849&lt;&gt;"",VLOOKUP(O849,de_para!$A$1:$B$31,2,0)*base!P849,0)</f>
        <v/>
      </c>
      <c r="R849" s="38" t="n"/>
      <c r="S849" s="29" t="n"/>
      <c r="T849" s="67">
        <f>IF(base!R849&lt;&gt;"",VLOOKUP(R849,de_para!$A$1:$B$31,2,0)*base!S849,0)</f>
        <v/>
      </c>
      <c r="U849" s="68">
        <f>H849+K849+N849+Q849+T849</f>
        <v/>
      </c>
    </row>
    <row r="850">
      <c r="A850" s="29" t="n"/>
      <c r="B850" s="29" t="n"/>
      <c r="C850" s="29" t="n"/>
      <c r="D850" s="29" t="n"/>
      <c r="E850" s="29" t="n"/>
      <c r="F850" s="29" t="n"/>
      <c r="G850" s="29" t="n"/>
      <c r="H850" s="67">
        <f>IF(base!F850&lt;&gt;"",VLOOKUP(F850,de_para!$A$1:$B$31,2,0)*base!G850,0)</f>
        <v/>
      </c>
      <c r="I850" s="38" t="n"/>
      <c r="J850" s="29" t="n"/>
      <c r="K850" s="67">
        <f>IF(base!I850&lt;&gt;"",VLOOKUP(I850,de_para!$A$1:$B$31,2,0)*base!J850,0)</f>
        <v/>
      </c>
      <c r="L850" s="38" t="n"/>
      <c r="M850" s="29" t="n"/>
      <c r="N850" s="67">
        <f>IF(base!L850&lt;&gt;"",VLOOKUP(L850,de_para!$A$1:$B$31,2,0)*base!M850,0)</f>
        <v/>
      </c>
      <c r="O850" s="38" t="n"/>
      <c r="P850" s="29" t="n"/>
      <c r="Q850" s="67">
        <f>IF(base!O850&lt;&gt;"",VLOOKUP(O850,de_para!$A$1:$B$31,2,0)*base!P850,0)</f>
        <v/>
      </c>
      <c r="R850" s="38" t="n"/>
      <c r="S850" s="29" t="n"/>
      <c r="T850" s="67">
        <f>IF(base!R850&lt;&gt;"",VLOOKUP(R850,de_para!$A$1:$B$31,2,0)*base!S850,0)</f>
        <v/>
      </c>
      <c r="U850" s="68">
        <f>H850+K850+N850+Q850+T850</f>
        <v/>
      </c>
    </row>
    <row r="851">
      <c r="A851" s="29" t="n"/>
      <c r="B851" s="29" t="n"/>
      <c r="C851" s="29" t="n"/>
      <c r="D851" s="29" t="n"/>
      <c r="E851" s="29" t="n"/>
      <c r="F851" s="29" t="n"/>
      <c r="G851" s="29" t="n"/>
      <c r="H851" s="67">
        <f>IF(base!F851&lt;&gt;"",VLOOKUP(F851,de_para!$A$1:$B$31,2,0)*base!G851,0)</f>
        <v/>
      </c>
      <c r="I851" s="38" t="n"/>
      <c r="J851" s="29" t="n"/>
      <c r="K851" s="67">
        <f>IF(base!I851&lt;&gt;"",VLOOKUP(I851,de_para!$A$1:$B$31,2,0)*base!J851,0)</f>
        <v/>
      </c>
      <c r="L851" s="38" t="n"/>
      <c r="M851" s="29" t="n"/>
      <c r="N851" s="67">
        <f>IF(base!L851&lt;&gt;"",VLOOKUP(L851,de_para!$A$1:$B$31,2,0)*base!M851,0)</f>
        <v/>
      </c>
      <c r="O851" s="38" t="n"/>
      <c r="P851" s="29" t="n"/>
      <c r="Q851" s="67">
        <f>IF(base!O851&lt;&gt;"",VLOOKUP(O851,de_para!$A$1:$B$31,2,0)*base!P851,0)</f>
        <v/>
      </c>
      <c r="R851" s="38" t="n"/>
      <c r="S851" s="29" t="n"/>
      <c r="T851" s="67">
        <f>IF(base!R851&lt;&gt;"",VLOOKUP(R851,de_para!$A$1:$B$31,2,0)*base!S851,0)</f>
        <v/>
      </c>
      <c r="U851" s="68">
        <f>H851+K851+N851+Q851+T851</f>
        <v/>
      </c>
    </row>
    <row r="852">
      <c r="A852" s="29" t="n"/>
      <c r="B852" s="29" t="n"/>
      <c r="C852" s="29" t="n"/>
      <c r="D852" s="29" t="n"/>
      <c r="E852" s="29" t="n"/>
      <c r="F852" s="29" t="n"/>
      <c r="G852" s="29" t="n"/>
      <c r="H852" s="67">
        <f>IF(base!F852&lt;&gt;"",VLOOKUP(F852,de_para!$A$1:$B$31,2,0)*base!G852,0)</f>
        <v/>
      </c>
      <c r="I852" s="38" t="n"/>
      <c r="J852" s="29" t="n"/>
      <c r="K852" s="67">
        <f>IF(base!I852&lt;&gt;"",VLOOKUP(I852,de_para!$A$1:$B$31,2,0)*base!J852,0)</f>
        <v/>
      </c>
      <c r="L852" s="38" t="n"/>
      <c r="M852" s="29" t="n"/>
      <c r="N852" s="67">
        <f>IF(base!L852&lt;&gt;"",VLOOKUP(L852,de_para!$A$1:$B$31,2,0)*base!M852,0)</f>
        <v/>
      </c>
      <c r="O852" s="38" t="n"/>
      <c r="P852" s="29" t="n"/>
      <c r="Q852" s="67">
        <f>IF(base!O852&lt;&gt;"",VLOOKUP(O852,de_para!$A$1:$B$31,2,0)*base!P852,0)</f>
        <v/>
      </c>
      <c r="R852" s="38" t="n"/>
      <c r="S852" s="29" t="n"/>
      <c r="T852" s="67">
        <f>IF(base!R852&lt;&gt;"",VLOOKUP(R852,de_para!$A$1:$B$31,2,0)*base!S852,0)</f>
        <v/>
      </c>
      <c r="U852" s="68">
        <f>H852+K852+N852+Q852+T852</f>
        <v/>
      </c>
    </row>
    <row r="853">
      <c r="A853" s="29" t="n"/>
      <c r="B853" s="29" t="n"/>
      <c r="C853" s="29" t="n"/>
      <c r="D853" s="29" t="n"/>
      <c r="E853" s="29" t="n"/>
      <c r="F853" s="29" t="n"/>
      <c r="G853" s="29" t="n"/>
      <c r="H853" s="67">
        <f>IF(base!F853&lt;&gt;"",VLOOKUP(F853,de_para!$A$1:$B$31,2,0)*base!G853,0)</f>
        <v/>
      </c>
      <c r="I853" s="38" t="n"/>
      <c r="J853" s="29" t="n"/>
      <c r="K853" s="67">
        <f>IF(base!I853&lt;&gt;"",VLOOKUP(I853,de_para!$A$1:$B$31,2,0)*base!J853,0)</f>
        <v/>
      </c>
      <c r="L853" s="38" t="n"/>
      <c r="M853" s="29" t="n"/>
      <c r="N853" s="67">
        <f>IF(base!L853&lt;&gt;"",VLOOKUP(L853,de_para!$A$1:$B$31,2,0)*base!M853,0)</f>
        <v/>
      </c>
      <c r="O853" s="38" t="n"/>
      <c r="P853" s="29" t="n"/>
      <c r="Q853" s="67">
        <f>IF(base!O853&lt;&gt;"",VLOOKUP(O853,de_para!$A$1:$B$31,2,0)*base!P853,0)</f>
        <v/>
      </c>
      <c r="R853" s="38" t="n"/>
      <c r="S853" s="29" t="n"/>
      <c r="T853" s="67">
        <f>IF(base!R853&lt;&gt;"",VLOOKUP(R853,de_para!$A$1:$B$31,2,0)*base!S853,0)</f>
        <v/>
      </c>
      <c r="U853" s="68">
        <f>H853+K853+N853+Q853+T853</f>
        <v/>
      </c>
    </row>
    <row r="854">
      <c r="A854" s="29" t="n"/>
      <c r="B854" s="29" t="n"/>
      <c r="C854" s="29" t="n"/>
      <c r="D854" s="29" t="n"/>
      <c r="E854" s="29" t="n"/>
      <c r="F854" s="29" t="n"/>
      <c r="G854" s="29" t="n"/>
      <c r="H854" s="67">
        <f>IF(base!F854&lt;&gt;"",VLOOKUP(F854,de_para!$A$1:$B$31,2,0)*base!G854,0)</f>
        <v/>
      </c>
      <c r="I854" s="38" t="n"/>
      <c r="J854" s="29" t="n"/>
      <c r="K854" s="67">
        <f>IF(base!I854&lt;&gt;"",VLOOKUP(I854,de_para!$A$1:$B$31,2,0)*base!J854,0)</f>
        <v/>
      </c>
      <c r="L854" s="38" t="n"/>
      <c r="M854" s="29" t="n"/>
      <c r="N854" s="67">
        <f>IF(base!L854&lt;&gt;"",VLOOKUP(L854,de_para!$A$1:$B$31,2,0)*base!M854,0)</f>
        <v/>
      </c>
      <c r="O854" s="38" t="n"/>
      <c r="P854" s="29" t="n"/>
      <c r="Q854" s="67">
        <f>IF(base!O854&lt;&gt;"",VLOOKUP(O854,de_para!$A$1:$B$31,2,0)*base!P854,0)</f>
        <v/>
      </c>
      <c r="R854" s="38" t="n"/>
      <c r="S854" s="29" t="n"/>
      <c r="T854" s="67">
        <f>IF(base!R854&lt;&gt;"",VLOOKUP(R854,de_para!$A$1:$B$31,2,0)*base!S854,0)</f>
        <v/>
      </c>
      <c r="U854" s="68">
        <f>H854+K854+N854+Q854+T854</f>
        <v/>
      </c>
    </row>
    <row r="855">
      <c r="A855" s="29" t="n"/>
      <c r="B855" s="29" t="n"/>
      <c r="C855" s="29" t="n"/>
      <c r="D855" s="29" t="n"/>
      <c r="E855" s="29" t="n"/>
      <c r="F855" s="29" t="n"/>
      <c r="G855" s="29" t="n"/>
      <c r="H855" s="67">
        <f>IF(base!F855&lt;&gt;"",VLOOKUP(F855,de_para!$A$1:$B$31,2,0)*base!G855,0)</f>
        <v/>
      </c>
      <c r="I855" s="38" t="n"/>
      <c r="J855" s="29" t="n"/>
      <c r="K855" s="67">
        <f>IF(base!I855&lt;&gt;"",VLOOKUP(I855,de_para!$A$1:$B$31,2,0)*base!J855,0)</f>
        <v/>
      </c>
      <c r="L855" s="38" t="n"/>
      <c r="M855" s="29" t="n"/>
      <c r="N855" s="67">
        <f>IF(base!L855&lt;&gt;"",VLOOKUP(L855,de_para!$A$1:$B$31,2,0)*base!M855,0)</f>
        <v/>
      </c>
      <c r="O855" s="38" t="n"/>
      <c r="P855" s="29" t="n"/>
      <c r="Q855" s="67">
        <f>IF(base!O855&lt;&gt;"",VLOOKUP(O855,de_para!$A$1:$B$31,2,0)*base!P855,0)</f>
        <v/>
      </c>
      <c r="R855" s="38" t="n"/>
      <c r="S855" s="29" t="n"/>
      <c r="T855" s="67">
        <f>IF(base!R855&lt;&gt;"",VLOOKUP(R855,de_para!$A$1:$B$31,2,0)*base!S855,0)</f>
        <v/>
      </c>
      <c r="U855" s="68">
        <f>H855+K855+N855+Q855+T855</f>
        <v/>
      </c>
    </row>
    <row r="856">
      <c r="A856" s="29" t="n"/>
      <c r="B856" s="29" t="n"/>
      <c r="C856" s="29" t="n"/>
      <c r="D856" s="29" t="n"/>
      <c r="E856" s="29" t="n"/>
      <c r="F856" s="29" t="n"/>
      <c r="G856" s="29" t="n"/>
      <c r="H856" s="67">
        <f>IF(base!F856&lt;&gt;"",VLOOKUP(F856,de_para!$A$1:$B$31,2,0)*base!G856,0)</f>
        <v/>
      </c>
      <c r="I856" s="38" t="n"/>
      <c r="J856" s="29" t="n"/>
      <c r="K856" s="67">
        <f>IF(base!I856&lt;&gt;"",VLOOKUP(I856,de_para!$A$1:$B$31,2,0)*base!J856,0)</f>
        <v/>
      </c>
      <c r="L856" s="38" t="n"/>
      <c r="M856" s="29" t="n"/>
      <c r="N856" s="67">
        <f>IF(base!L856&lt;&gt;"",VLOOKUP(L856,de_para!$A$1:$B$31,2,0)*base!M856,0)</f>
        <v/>
      </c>
      <c r="O856" s="38" t="n"/>
      <c r="P856" s="29" t="n"/>
      <c r="Q856" s="67">
        <f>IF(base!O856&lt;&gt;"",VLOOKUP(O856,de_para!$A$1:$B$31,2,0)*base!P856,0)</f>
        <v/>
      </c>
      <c r="R856" s="38" t="n"/>
      <c r="S856" s="29" t="n"/>
      <c r="T856" s="67">
        <f>IF(base!R856&lt;&gt;"",VLOOKUP(R856,de_para!$A$1:$B$31,2,0)*base!S856,0)</f>
        <v/>
      </c>
      <c r="U856" s="68">
        <f>H856+K856+N856+Q856+T856</f>
        <v/>
      </c>
    </row>
    <row r="857">
      <c r="A857" s="29" t="n"/>
      <c r="B857" s="29" t="n"/>
      <c r="C857" s="29" t="n"/>
      <c r="D857" s="29" t="n"/>
      <c r="E857" s="29" t="n"/>
      <c r="F857" s="29" t="n"/>
      <c r="G857" s="29" t="n"/>
      <c r="H857" s="67">
        <f>IF(base!F857&lt;&gt;"",VLOOKUP(F857,de_para!$A$1:$B$31,2,0)*base!G857,0)</f>
        <v/>
      </c>
      <c r="I857" s="38" t="n"/>
      <c r="J857" s="29" t="n"/>
      <c r="K857" s="67">
        <f>IF(base!I857&lt;&gt;"",VLOOKUP(I857,de_para!$A$1:$B$31,2,0)*base!J857,0)</f>
        <v/>
      </c>
      <c r="L857" s="38" t="n"/>
      <c r="M857" s="29" t="n"/>
      <c r="N857" s="67">
        <f>IF(base!L857&lt;&gt;"",VLOOKUP(L857,de_para!$A$1:$B$31,2,0)*base!M857,0)</f>
        <v/>
      </c>
      <c r="O857" s="38" t="n"/>
      <c r="P857" s="29" t="n"/>
      <c r="Q857" s="67">
        <f>IF(base!O857&lt;&gt;"",VLOOKUP(O857,de_para!$A$1:$B$31,2,0)*base!P857,0)</f>
        <v/>
      </c>
      <c r="R857" s="38" t="n"/>
      <c r="S857" s="29" t="n"/>
      <c r="T857" s="67">
        <f>IF(base!R857&lt;&gt;"",VLOOKUP(R857,de_para!$A$1:$B$31,2,0)*base!S857,0)</f>
        <v/>
      </c>
      <c r="U857" s="68">
        <f>H857+K857+N857+Q857+T857</f>
        <v/>
      </c>
    </row>
    <row r="858">
      <c r="A858" s="29" t="n"/>
      <c r="B858" s="29" t="n"/>
      <c r="C858" s="29" t="n"/>
      <c r="D858" s="29" t="n"/>
      <c r="E858" s="29" t="n"/>
      <c r="F858" s="29" t="n"/>
      <c r="G858" s="29" t="n"/>
      <c r="H858" s="67">
        <f>IF(base!F858&lt;&gt;"",VLOOKUP(F858,de_para!$A$1:$B$31,2,0)*base!G858,0)</f>
        <v/>
      </c>
      <c r="I858" s="38" t="n"/>
      <c r="J858" s="29" t="n"/>
      <c r="K858" s="67">
        <f>IF(base!I858&lt;&gt;"",VLOOKUP(I858,de_para!$A$1:$B$31,2,0)*base!J858,0)</f>
        <v/>
      </c>
      <c r="L858" s="38" t="n"/>
      <c r="M858" s="29" t="n"/>
      <c r="N858" s="67">
        <f>IF(base!L858&lt;&gt;"",VLOOKUP(L858,de_para!$A$1:$B$31,2,0)*base!M858,0)</f>
        <v/>
      </c>
      <c r="O858" s="38" t="n"/>
      <c r="P858" s="29" t="n"/>
      <c r="Q858" s="67">
        <f>IF(base!O858&lt;&gt;"",VLOOKUP(O858,de_para!$A$1:$B$31,2,0)*base!P858,0)</f>
        <v/>
      </c>
      <c r="R858" s="38" t="n"/>
      <c r="S858" s="29" t="n"/>
      <c r="T858" s="67">
        <f>IF(base!R858&lt;&gt;"",VLOOKUP(R858,de_para!$A$1:$B$31,2,0)*base!S858,0)</f>
        <v/>
      </c>
      <c r="U858" s="68">
        <f>H858+K858+N858+Q858+T858</f>
        <v/>
      </c>
    </row>
    <row r="859">
      <c r="A859" s="29" t="n"/>
      <c r="B859" s="29" t="n"/>
      <c r="C859" s="29" t="n"/>
      <c r="D859" s="29" t="n"/>
      <c r="E859" s="29" t="n"/>
      <c r="F859" s="29" t="n"/>
      <c r="G859" s="29" t="n"/>
      <c r="H859" s="67">
        <f>IF(base!F859&lt;&gt;"",VLOOKUP(F859,de_para!$A$1:$B$31,2,0)*base!G859,0)</f>
        <v/>
      </c>
      <c r="I859" s="38" t="n"/>
      <c r="J859" s="29" t="n"/>
      <c r="K859" s="67">
        <f>IF(base!I859&lt;&gt;"",VLOOKUP(I859,de_para!$A$1:$B$31,2,0)*base!J859,0)</f>
        <v/>
      </c>
      <c r="L859" s="38" t="n"/>
      <c r="M859" s="29" t="n"/>
      <c r="N859" s="67">
        <f>IF(base!L859&lt;&gt;"",VLOOKUP(L859,de_para!$A$1:$B$31,2,0)*base!M859,0)</f>
        <v/>
      </c>
      <c r="O859" s="38" t="n"/>
      <c r="P859" s="29" t="n"/>
      <c r="Q859" s="67">
        <f>IF(base!O859&lt;&gt;"",VLOOKUP(O859,de_para!$A$1:$B$31,2,0)*base!P859,0)</f>
        <v/>
      </c>
      <c r="R859" s="38" t="n"/>
      <c r="S859" s="29" t="n"/>
      <c r="T859" s="67">
        <f>IF(base!R859&lt;&gt;"",VLOOKUP(R859,de_para!$A$1:$B$31,2,0)*base!S859,0)</f>
        <v/>
      </c>
      <c r="U859" s="68">
        <f>H859+K859+N859+Q859+T859</f>
        <v/>
      </c>
    </row>
    <row r="860">
      <c r="A860" s="29" t="n"/>
      <c r="B860" s="29" t="n"/>
      <c r="C860" s="29" t="n"/>
      <c r="D860" s="29" t="n"/>
      <c r="E860" s="29" t="n"/>
      <c r="F860" s="29" t="n"/>
      <c r="G860" s="29" t="n"/>
      <c r="H860" s="67">
        <f>IF(base!F860&lt;&gt;"",VLOOKUP(F860,de_para!$A$1:$B$31,2,0)*base!G860,0)</f>
        <v/>
      </c>
      <c r="I860" s="38" t="n"/>
      <c r="J860" s="29" t="n"/>
      <c r="K860" s="67">
        <f>IF(base!I860&lt;&gt;"",VLOOKUP(I860,de_para!$A$1:$B$31,2,0)*base!J860,0)</f>
        <v/>
      </c>
      <c r="L860" s="38" t="n"/>
      <c r="M860" s="29" t="n"/>
      <c r="N860" s="67">
        <f>IF(base!L860&lt;&gt;"",VLOOKUP(L860,de_para!$A$1:$B$31,2,0)*base!M860,0)</f>
        <v/>
      </c>
      <c r="O860" s="38" t="n"/>
      <c r="P860" s="29" t="n"/>
      <c r="Q860" s="67">
        <f>IF(base!O860&lt;&gt;"",VLOOKUP(O860,de_para!$A$1:$B$31,2,0)*base!P860,0)</f>
        <v/>
      </c>
      <c r="R860" s="38" t="n"/>
      <c r="S860" s="29" t="n"/>
      <c r="T860" s="67">
        <f>IF(base!R860&lt;&gt;"",VLOOKUP(R860,de_para!$A$1:$B$31,2,0)*base!S860,0)</f>
        <v/>
      </c>
      <c r="U860" s="68">
        <f>H860+K860+N860+Q860+T860</f>
        <v/>
      </c>
    </row>
    <row r="861">
      <c r="A861" s="29" t="n"/>
      <c r="B861" s="29" t="n"/>
      <c r="C861" s="29" t="n"/>
      <c r="D861" s="29" t="n"/>
      <c r="E861" s="29" t="n"/>
      <c r="F861" s="29" t="n"/>
      <c r="G861" s="29" t="n"/>
      <c r="H861" s="67">
        <f>IF(base!F861&lt;&gt;"",VLOOKUP(F861,de_para!$A$1:$B$31,2,0)*base!G861,0)</f>
        <v/>
      </c>
      <c r="I861" s="38" t="n"/>
      <c r="J861" s="29" t="n"/>
      <c r="K861" s="67">
        <f>IF(base!I861&lt;&gt;"",VLOOKUP(I861,de_para!$A$1:$B$31,2,0)*base!J861,0)</f>
        <v/>
      </c>
      <c r="L861" s="38" t="n"/>
      <c r="M861" s="29" t="n"/>
      <c r="N861" s="67">
        <f>IF(base!L861&lt;&gt;"",VLOOKUP(L861,de_para!$A$1:$B$31,2,0)*base!M861,0)</f>
        <v/>
      </c>
      <c r="O861" s="38" t="n"/>
      <c r="P861" s="29" t="n"/>
      <c r="Q861" s="67">
        <f>IF(base!O861&lt;&gt;"",VLOOKUP(O861,de_para!$A$1:$B$31,2,0)*base!P861,0)</f>
        <v/>
      </c>
      <c r="R861" s="38" t="n"/>
      <c r="S861" s="29" t="n"/>
      <c r="T861" s="67">
        <f>IF(base!R861&lt;&gt;"",VLOOKUP(R861,de_para!$A$1:$B$31,2,0)*base!S861,0)</f>
        <v/>
      </c>
      <c r="U861" s="68">
        <f>H861+K861+N861+Q861+T861</f>
        <v/>
      </c>
    </row>
    <row r="862">
      <c r="A862" s="29" t="n"/>
      <c r="B862" s="29" t="n"/>
      <c r="C862" s="29" t="n"/>
      <c r="D862" s="29" t="n"/>
      <c r="E862" s="29" t="n"/>
      <c r="F862" s="29" t="n"/>
      <c r="G862" s="29" t="n"/>
      <c r="H862" s="67">
        <f>IF(base!F862&lt;&gt;"",VLOOKUP(F862,de_para!$A$1:$B$31,2,0)*base!G862,0)</f>
        <v/>
      </c>
      <c r="I862" s="38" t="n"/>
      <c r="J862" s="29" t="n"/>
      <c r="K862" s="67">
        <f>IF(base!I862&lt;&gt;"",VLOOKUP(I862,de_para!$A$1:$B$31,2,0)*base!J862,0)</f>
        <v/>
      </c>
      <c r="L862" s="38" t="n"/>
      <c r="M862" s="29" t="n"/>
      <c r="N862" s="67">
        <f>IF(base!L862&lt;&gt;"",VLOOKUP(L862,de_para!$A$1:$B$31,2,0)*base!M862,0)</f>
        <v/>
      </c>
      <c r="O862" s="38" t="n"/>
      <c r="P862" s="29" t="n"/>
      <c r="Q862" s="67">
        <f>IF(base!O862&lt;&gt;"",VLOOKUP(O862,de_para!$A$1:$B$31,2,0)*base!P862,0)</f>
        <v/>
      </c>
      <c r="R862" s="38" t="n"/>
      <c r="S862" s="29" t="n"/>
      <c r="T862" s="67">
        <f>IF(base!R862&lt;&gt;"",VLOOKUP(R862,de_para!$A$1:$B$31,2,0)*base!S862,0)</f>
        <v/>
      </c>
      <c r="U862" s="68">
        <f>H862+K862+N862+Q862+T862</f>
        <v/>
      </c>
    </row>
    <row r="863">
      <c r="A863" s="29" t="n"/>
      <c r="B863" s="29" t="n"/>
      <c r="C863" s="29" t="n"/>
      <c r="D863" s="29" t="n"/>
      <c r="E863" s="29" t="n"/>
      <c r="F863" s="29" t="n"/>
      <c r="G863" s="29" t="n"/>
      <c r="H863" s="67">
        <f>IF(base!F863&lt;&gt;"",VLOOKUP(F863,de_para!$A$1:$B$31,2,0)*base!G863,0)</f>
        <v/>
      </c>
      <c r="I863" s="38" t="n"/>
      <c r="J863" s="29" t="n"/>
      <c r="K863" s="67">
        <f>IF(base!I863&lt;&gt;"",VLOOKUP(I863,de_para!$A$1:$B$31,2,0)*base!J863,0)</f>
        <v/>
      </c>
      <c r="L863" s="38" t="n"/>
      <c r="M863" s="29" t="n"/>
      <c r="N863" s="67">
        <f>IF(base!L863&lt;&gt;"",VLOOKUP(L863,de_para!$A$1:$B$31,2,0)*base!M863,0)</f>
        <v/>
      </c>
      <c r="O863" s="38" t="n"/>
      <c r="P863" s="29" t="n"/>
      <c r="Q863" s="67">
        <f>IF(base!O863&lt;&gt;"",VLOOKUP(O863,de_para!$A$1:$B$31,2,0)*base!P863,0)</f>
        <v/>
      </c>
      <c r="R863" s="38" t="n"/>
      <c r="S863" s="29" t="n"/>
      <c r="T863" s="67">
        <f>IF(base!R863&lt;&gt;"",VLOOKUP(R863,de_para!$A$1:$B$31,2,0)*base!S863,0)</f>
        <v/>
      </c>
      <c r="U863" s="68">
        <f>H863+K863+N863+Q863+T863</f>
        <v/>
      </c>
    </row>
    <row r="864">
      <c r="A864" s="29" t="n"/>
      <c r="B864" s="29" t="n"/>
      <c r="C864" s="29" t="n"/>
      <c r="D864" s="29" t="n"/>
      <c r="E864" s="29" t="n"/>
      <c r="F864" s="29" t="n"/>
      <c r="G864" s="29" t="n"/>
      <c r="H864" s="67">
        <f>IF(base!F864&lt;&gt;"",VLOOKUP(F864,de_para!$A$1:$B$31,2,0)*base!G864,0)</f>
        <v/>
      </c>
      <c r="I864" s="38" t="n"/>
      <c r="J864" s="29" t="n"/>
      <c r="K864" s="67">
        <f>IF(base!I864&lt;&gt;"",VLOOKUP(I864,de_para!$A$1:$B$31,2,0)*base!J864,0)</f>
        <v/>
      </c>
      <c r="L864" s="38" t="n"/>
      <c r="M864" s="29" t="n"/>
      <c r="N864" s="67">
        <f>IF(base!L864&lt;&gt;"",VLOOKUP(L864,de_para!$A$1:$B$31,2,0)*base!M864,0)</f>
        <v/>
      </c>
      <c r="O864" s="38" t="n"/>
      <c r="P864" s="29" t="n"/>
      <c r="Q864" s="67">
        <f>IF(base!O864&lt;&gt;"",VLOOKUP(O864,de_para!$A$1:$B$31,2,0)*base!P864,0)</f>
        <v/>
      </c>
      <c r="R864" s="38" t="n"/>
      <c r="S864" s="29" t="n"/>
      <c r="T864" s="67">
        <f>IF(base!R864&lt;&gt;"",VLOOKUP(R864,de_para!$A$1:$B$31,2,0)*base!S864,0)</f>
        <v/>
      </c>
      <c r="U864" s="68">
        <f>H864+K864+N864+Q864+T864</f>
        <v/>
      </c>
    </row>
    <row r="865">
      <c r="A865" s="29" t="n"/>
      <c r="B865" s="29" t="n"/>
      <c r="C865" s="29" t="n"/>
      <c r="D865" s="29" t="n"/>
      <c r="E865" s="29" t="n"/>
      <c r="F865" s="29" t="n"/>
      <c r="G865" s="29" t="n"/>
      <c r="H865" s="67">
        <f>IF(base!F865&lt;&gt;"",VLOOKUP(F865,de_para!$A$1:$B$31,2,0)*base!G865,0)</f>
        <v/>
      </c>
      <c r="I865" s="38" t="n"/>
      <c r="J865" s="29" t="n"/>
      <c r="K865" s="67">
        <f>IF(base!I865&lt;&gt;"",VLOOKUP(I865,de_para!$A$1:$B$31,2,0)*base!J865,0)</f>
        <v/>
      </c>
      <c r="L865" s="38" t="n"/>
      <c r="M865" s="29" t="n"/>
      <c r="N865" s="67">
        <f>IF(base!L865&lt;&gt;"",VLOOKUP(L865,de_para!$A$1:$B$31,2,0)*base!M865,0)</f>
        <v/>
      </c>
      <c r="O865" s="38" t="n"/>
      <c r="P865" s="29" t="n"/>
      <c r="Q865" s="67">
        <f>IF(base!O865&lt;&gt;"",VLOOKUP(O865,de_para!$A$1:$B$31,2,0)*base!P865,0)</f>
        <v/>
      </c>
      <c r="R865" s="38" t="n"/>
      <c r="S865" s="29" t="n"/>
      <c r="T865" s="67">
        <f>IF(base!R865&lt;&gt;"",VLOOKUP(R865,de_para!$A$1:$B$31,2,0)*base!S865,0)</f>
        <v/>
      </c>
      <c r="U865" s="68">
        <f>H865+K865+N865+Q865+T865</f>
        <v/>
      </c>
    </row>
    <row r="866">
      <c r="A866" s="29" t="n"/>
      <c r="B866" s="29" t="n"/>
      <c r="C866" s="29" t="n"/>
      <c r="D866" s="29" t="n"/>
      <c r="E866" s="29" t="n"/>
      <c r="F866" s="29" t="n"/>
      <c r="G866" s="29" t="n"/>
      <c r="H866" s="67">
        <f>IF(base!F866&lt;&gt;"",VLOOKUP(F866,de_para!$A$1:$B$31,2,0)*base!G866,0)</f>
        <v/>
      </c>
      <c r="I866" s="38" t="n"/>
      <c r="J866" s="29" t="n"/>
      <c r="K866" s="67">
        <f>IF(base!I866&lt;&gt;"",VLOOKUP(I866,de_para!$A$1:$B$31,2,0)*base!J866,0)</f>
        <v/>
      </c>
      <c r="L866" s="38" t="n"/>
      <c r="M866" s="29" t="n"/>
      <c r="N866" s="67">
        <f>IF(base!L866&lt;&gt;"",VLOOKUP(L866,de_para!$A$1:$B$31,2,0)*base!M866,0)</f>
        <v/>
      </c>
      <c r="O866" s="38" t="n"/>
      <c r="P866" s="29" t="n"/>
      <c r="Q866" s="67">
        <f>IF(base!O866&lt;&gt;"",VLOOKUP(O866,de_para!$A$1:$B$31,2,0)*base!P866,0)</f>
        <v/>
      </c>
      <c r="R866" s="38" t="n"/>
      <c r="S866" s="29" t="n"/>
      <c r="T866" s="67">
        <f>IF(base!R866&lt;&gt;"",VLOOKUP(R866,de_para!$A$1:$B$31,2,0)*base!S866,0)</f>
        <v/>
      </c>
      <c r="U866" s="68">
        <f>H866+K866+N866+Q866+T866</f>
        <v/>
      </c>
    </row>
    <row r="867">
      <c r="A867" s="29" t="n"/>
      <c r="B867" s="29" t="n"/>
      <c r="C867" s="29" t="n"/>
      <c r="D867" s="29" t="n"/>
      <c r="E867" s="29" t="n"/>
      <c r="F867" s="29" t="n"/>
      <c r="G867" s="29" t="n"/>
      <c r="H867" s="67">
        <f>IF(base!F867&lt;&gt;"",VLOOKUP(F867,de_para!$A$1:$B$31,2,0)*base!G867,0)</f>
        <v/>
      </c>
      <c r="I867" s="38" t="n"/>
      <c r="J867" s="29" t="n"/>
      <c r="K867" s="67">
        <f>IF(base!I867&lt;&gt;"",VLOOKUP(I867,de_para!$A$1:$B$31,2,0)*base!J867,0)</f>
        <v/>
      </c>
      <c r="L867" s="38" t="n"/>
      <c r="M867" s="29" t="n"/>
      <c r="N867" s="67">
        <f>IF(base!L867&lt;&gt;"",VLOOKUP(L867,de_para!$A$1:$B$31,2,0)*base!M867,0)</f>
        <v/>
      </c>
      <c r="O867" s="38" t="n"/>
      <c r="P867" s="29" t="n"/>
      <c r="Q867" s="67">
        <f>IF(base!O867&lt;&gt;"",VLOOKUP(O867,de_para!$A$1:$B$31,2,0)*base!P867,0)</f>
        <v/>
      </c>
      <c r="R867" s="38" t="n"/>
      <c r="S867" s="29" t="n"/>
      <c r="T867" s="67">
        <f>IF(base!R867&lt;&gt;"",VLOOKUP(R867,de_para!$A$1:$B$31,2,0)*base!S867,0)</f>
        <v/>
      </c>
      <c r="U867" s="68">
        <f>H867+K867+N867+Q867+T867</f>
        <v/>
      </c>
    </row>
    <row r="868">
      <c r="A868" s="29" t="n"/>
      <c r="B868" s="29" t="n"/>
      <c r="C868" s="29" t="n"/>
      <c r="D868" s="29" t="n"/>
      <c r="E868" s="29" t="n"/>
      <c r="F868" s="29" t="n"/>
      <c r="G868" s="29" t="n"/>
      <c r="H868" s="67">
        <f>IF(base!F868&lt;&gt;"",VLOOKUP(F868,de_para!$A$1:$B$31,2,0)*base!G868,0)</f>
        <v/>
      </c>
      <c r="I868" s="38" t="n"/>
      <c r="J868" s="29" t="n"/>
      <c r="K868" s="67">
        <f>IF(base!I868&lt;&gt;"",VLOOKUP(I868,de_para!$A$1:$B$31,2,0)*base!J868,0)</f>
        <v/>
      </c>
      <c r="L868" s="38" t="n"/>
      <c r="M868" s="29" t="n"/>
      <c r="N868" s="67">
        <f>IF(base!L868&lt;&gt;"",VLOOKUP(L868,de_para!$A$1:$B$31,2,0)*base!M868,0)</f>
        <v/>
      </c>
      <c r="O868" s="38" t="n"/>
      <c r="P868" s="29" t="n"/>
      <c r="Q868" s="67">
        <f>IF(base!O868&lt;&gt;"",VLOOKUP(O868,de_para!$A$1:$B$31,2,0)*base!P868,0)</f>
        <v/>
      </c>
      <c r="R868" s="38" t="n"/>
      <c r="S868" s="29" t="n"/>
      <c r="T868" s="67">
        <f>IF(base!R868&lt;&gt;"",VLOOKUP(R868,de_para!$A$1:$B$31,2,0)*base!S868,0)</f>
        <v/>
      </c>
      <c r="U868" s="68">
        <f>H868+K868+N868+Q868+T868</f>
        <v/>
      </c>
    </row>
    <row r="869">
      <c r="A869" s="29" t="n"/>
      <c r="B869" s="29" t="n"/>
      <c r="C869" s="29" t="n"/>
      <c r="D869" s="29" t="n"/>
      <c r="E869" s="29" t="n"/>
      <c r="F869" s="29" t="n"/>
      <c r="G869" s="29" t="n"/>
      <c r="H869" s="67">
        <f>IF(base!F869&lt;&gt;"",VLOOKUP(F869,de_para!$A$1:$B$31,2,0)*base!G869,0)</f>
        <v/>
      </c>
      <c r="I869" s="38" t="n"/>
      <c r="J869" s="29" t="n"/>
      <c r="K869" s="67">
        <f>IF(base!I869&lt;&gt;"",VLOOKUP(I869,de_para!$A$1:$B$31,2,0)*base!J869,0)</f>
        <v/>
      </c>
      <c r="L869" s="38" t="n"/>
      <c r="M869" s="29" t="n"/>
      <c r="N869" s="67">
        <f>IF(base!L869&lt;&gt;"",VLOOKUP(L869,de_para!$A$1:$B$31,2,0)*base!M869,0)</f>
        <v/>
      </c>
      <c r="O869" s="38" t="n"/>
      <c r="P869" s="29" t="n"/>
      <c r="Q869" s="67">
        <f>IF(base!O869&lt;&gt;"",VLOOKUP(O869,de_para!$A$1:$B$31,2,0)*base!P869,0)</f>
        <v/>
      </c>
      <c r="R869" s="38" t="n"/>
      <c r="S869" s="29" t="n"/>
      <c r="T869" s="67">
        <f>IF(base!R869&lt;&gt;"",VLOOKUP(R869,de_para!$A$1:$B$31,2,0)*base!S869,0)</f>
        <v/>
      </c>
      <c r="U869" s="68">
        <f>H869+K869+N869+Q869+T869</f>
        <v/>
      </c>
    </row>
    <row r="870">
      <c r="A870" s="29" t="n"/>
      <c r="B870" s="29" t="n"/>
      <c r="C870" s="29" t="n"/>
      <c r="D870" s="29" t="n"/>
      <c r="E870" s="29" t="n"/>
      <c r="F870" s="29" t="n"/>
      <c r="G870" s="29" t="n"/>
      <c r="H870" s="67">
        <f>IF(base!F870&lt;&gt;"",VLOOKUP(F870,de_para!$A$1:$B$31,2,0)*base!G870,0)</f>
        <v/>
      </c>
      <c r="I870" s="38" t="n"/>
      <c r="J870" s="29" t="n"/>
      <c r="K870" s="67">
        <f>IF(base!I870&lt;&gt;"",VLOOKUP(I870,de_para!$A$1:$B$31,2,0)*base!J870,0)</f>
        <v/>
      </c>
      <c r="L870" s="38" t="n"/>
      <c r="M870" s="29" t="n"/>
      <c r="N870" s="67">
        <f>IF(base!L870&lt;&gt;"",VLOOKUP(L870,de_para!$A$1:$B$31,2,0)*base!M870,0)</f>
        <v/>
      </c>
      <c r="O870" s="38" t="n"/>
      <c r="P870" s="29" t="n"/>
      <c r="Q870" s="67">
        <f>IF(base!O870&lt;&gt;"",VLOOKUP(O870,de_para!$A$1:$B$31,2,0)*base!P870,0)</f>
        <v/>
      </c>
      <c r="R870" s="38" t="n"/>
      <c r="S870" s="29" t="n"/>
      <c r="T870" s="67">
        <f>IF(base!R870&lt;&gt;"",VLOOKUP(R870,de_para!$A$1:$B$31,2,0)*base!S870,0)</f>
        <v/>
      </c>
      <c r="U870" s="68">
        <f>H870+K870+N870+Q870+T870</f>
        <v/>
      </c>
    </row>
    <row r="871">
      <c r="A871" s="29" t="n"/>
      <c r="B871" s="29" t="n"/>
      <c r="C871" s="29" t="n"/>
      <c r="D871" s="29" t="n"/>
      <c r="E871" s="29" t="n"/>
      <c r="F871" s="29" t="n"/>
      <c r="G871" s="29" t="n"/>
      <c r="H871" s="67">
        <f>IF(base!F871&lt;&gt;"",VLOOKUP(F871,de_para!$A$1:$B$31,2,0)*base!G871,0)</f>
        <v/>
      </c>
      <c r="I871" s="38" t="n"/>
      <c r="J871" s="29" t="n"/>
      <c r="K871" s="67">
        <f>IF(base!I871&lt;&gt;"",VLOOKUP(I871,de_para!$A$1:$B$31,2,0)*base!J871,0)</f>
        <v/>
      </c>
      <c r="L871" s="38" t="n"/>
      <c r="M871" s="29" t="n"/>
      <c r="N871" s="67">
        <f>IF(base!L871&lt;&gt;"",VLOOKUP(L871,de_para!$A$1:$B$31,2,0)*base!M871,0)</f>
        <v/>
      </c>
      <c r="O871" s="38" t="n"/>
      <c r="P871" s="29" t="n"/>
      <c r="Q871" s="67">
        <f>IF(base!O871&lt;&gt;"",VLOOKUP(O871,de_para!$A$1:$B$31,2,0)*base!P871,0)</f>
        <v/>
      </c>
      <c r="R871" s="38" t="n"/>
      <c r="S871" s="29" t="n"/>
      <c r="T871" s="67">
        <f>IF(base!R871&lt;&gt;"",VLOOKUP(R871,de_para!$A$1:$B$31,2,0)*base!S871,0)</f>
        <v/>
      </c>
      <c r="U871" s="68">
        <f>H871+K871+N871+Q871+T871</f>
        <v/>
      </c>
    </row>
    <row r="872">
      <c r="A872" s="29" t="n"/>
      <c r="B872" s="29" t="n"/>
      <c r="C872" s="29" t="n"/>
      <c r="D872" s="29" t="n"/>
      <c r="E872" s="29" t="n"/>
      <c r="F872" s="29" t="n"/>
      <c r="G872" s="29" t="n"/>
      <c r="H872" s="67">
        <f>IF(base!F872&lt;&gt;"",VLOOKUP(F872,de_para!$A$1:$B$31,2,0)*base!G872,0)</f>
        <v/>
      </c>
      <c r="I872" s="38" t="n"/>
      <c r="J872" s="29" t="n"/>
      <c r="K872" s="67">
        <f>IF(base!I872&lt;&gt;"",VLOOKUP(I872,de_para!$A$1:$B$31,2,0)*base!J872,0)</f>
        <v/>
      </c>
      <c r="L872" s="38" t="n"/>
      <c r="M872" s="29" t="n"/>
      <c r="N872" s="67">
        <f>IF(base!L872&lt;&gt;"",VLOOKUP(L872,de_para!$A$1:$B$31,2,0)*base!M872,0)</f>
        <v/>
      </c>
      <c r="O872" s="38" t="n"/>
      <c r="P872" s="29" t="n"/>
      <c r="Q872" s="67">
        <f>IF(base!O872&lt;&gt;"",VLOOKUP(O872,de_para!$A$1:$B$31,2,0)*base!P872,0)</f>
        <v/>
      </c>
      <c r="R872" s="38" t="n"/>
      <c r="S872" s="29" t="n"/>
      <c r="T872" s="67">
        <f>IF(base!R872&lt;&gt;"",VLOOKUP(R872,de_para!$A$1:$B$31,2,0)*base!S872,0)</f>
        <v/>
      </c>
      <c r="U872" s="68">
        <f>H872+K872+N872+Q872+T872</f>
        <v/>
      </c>
    </row>
    <row r="873">
      <c r="A873" s="29" t="n"/>
      <c r="B873" s="29" t="n"/>
      <c r="C873" s="29" t="n"/>
      <c r="D873" s="29" t="n"/>
      <c r="E873" s="29" t="n"/>
      <c r="F873" s="29" t="n"/>
      <c r="G873" s="29" t="n"/>
      <c r="H873" s="67">
        <f>IF(base!F873&lt;&gt;"",VLOOKUP(F873,de_para!$A$1:$B$31,2,0)*base!G873,0)</f>
        <v/>
      </c>
      <c r="I873" s="38" t="n"/>
      <c r="J873" s="29" t="n"/>
      <c r="K873" s="67">
        <f>IF(base!I873&lt;&gt;"",VLOOKUP(I873,de_para!$A$1:$B$31,2,0)*base!J873,0)</f>
        <v/>
      </c>
      <c r="L873" s="38" t="n"/>
      <c r="M873" s="29" t="n"/>
      <c r="N873" s="67">
        <f>IF(base!L873&lt;&gt;"",VLOOKUP(L873,de_para!$A$1:$B$31,2,0)*base!M873,0)</f>
        <v/>
      </c>
      <c r="O873" s="38" t="n"/>
      <c r="P873" s="29" t="n"/>
      <c r="Q873" s="67">
        <f>IF(base!O873&lt;&gt;"",VLOOKUP(O873,de_para!$A$1:$B$31,2,0)*base!P873,0)</f>
        <v/>
      </c>
      <c r="R873" s="38" t="n"/>
      <c r="S873" s="29" t="n"/>
      <c r="T873" s="67">
        <f>IF(base!R873&lt;&gt;"",VLOOKUP(R873,de_para!$A$1:$B$31,2,0)*base!S873,0)</f>
        <v/>
      </c>
      <c r="U873" s="68">
        <f>H873+K873+N873+Q873+T873</f>
        <v/>
      </c>
    </row>
    <row r="874">
      <c r="A874" s="29" t="n"/>
      <c r="B874" s="29" t="n"/>
      <c r="C874" s="29" t="n"/>
      <c r="D874" s="29" t="n"/>
      <c r="E874" s="29" t="n"/>
      <c r="F874" s="29" t="n"/>
      <c r="G874" s="29" t="n"/>
      <c r="H874" s="67">
        <f>IF(base!F874&lt;&gt;"",VLOOKUP(F874,de_para!$A$1:$B$31,2,0)*base!G874,0)</f>
        <v/>
      </c>
      <c r="I874" s="38" t="n"/>
      <c r="J874" s="29" t="n"/>
      <c r="K874" s="67">
        <f>IF(base!I874&lt;&gt;"",VLOOKUP(I874,de_para!$A$1:$B$31,2,0)*base!J874,0)</f>
        <v/>
      </c>
      <c r="L874" s="38" t="n"/>
      <c r="M874" s="29" t="n"/>
      <c r="N874" s="67">
        <f>IF(base!L874&lt;&gt;"",VLOOKUP(L874,de_para!$A$1:$B$31,2,0)*base!M874,0)</f>
        <v/>
      </c>
      <c r="O874" s="38" t="n"/>
      <c r="P874" s="29" t="n"/>
      <c r="Q874" s="67">
        <f>IF(base!O874&lt;&gt;"",VLOOKUP(O874,de_para!$A$1:$B$31,2,0)*base!P874,0)</f>
        <v/>
      </c>
      <c r="R874" s="38" t="n"/>
      <c r="S874" s="29" t="n"/>
      <c r="T874" s="67">
        <f>IF(base!R874&lt;&gt;"",VLOOKUP(R874,de_para!$A$1:$B$31,2,0)*base!S874,0)</f>
        <v/>
      </c>
      <c r="U874" s="68">
        <f>H874+K874+N874+Q874+T874</f>
        <v/>
      </c>
    </row>
    <row r="875">
      <c r="A875" s="29" t="n"/>
      <c r="B875" s="29" t="n"/>
      <c r="C875" s="29" t="n"/>
      <c r="D875" s="29" t="n"/>
      <c r="E875" s="29" t="n"/>
      <c r="F875" s="29" t="n"/>
      <c r="G875" s="29" t="n"/>
      <c r="H875" s="67">
        <f>IF(base!F875&lt;&gt;"",VLOOKUP(F875,de_para!$A$1:$B$31,2,0)*base!G875,0)</f>
        <v/>
      </c>
      <c r="I875" s="38" t="n"/>
      <c r="J875" s="29" t="n"/>
      <c r="K875" s="67">
        <f>IF(base!I875&lt;&gt;"",VLOOKUP(I875,de_para!$A$1:$B$31,2,0)*base!J875,0)</f>
        <v/>
      </c>
      <c r="L875" s="38" t="n"/>
      <c r="M875" s="29" t="n"/>
      <c r="N875" s="67">
        <f>IF(base!L875&lt;&gt;"",VLOOKUP(L875,de_para!$A$1:$B$31,2,0)*base!M875,0)</f>
        <v/>
      </c>
      <c r="O875" s="38" t="n"/>
      <c r="P875" s="29" t="n"/>
      <c r="Q875" s="67">
        <f>IF(base!O875&lt;&gt;"",VLOOKUP(O875,de_para!$A$1:$B$31,2,0)*base!P875,0)</f>
        <v/>
      </c>
      <c r="R875" s="38" t="n"/>
      <c r="S875" s="29" t="n"/>
      <c r="T875" s="67">
        <f>IF(base!R875&lt;&gt;"",VLOOKUP(R875,de_para!$A$1:$B$31,2,0)*base!S875,0)</f>
        <v/>
      </c>
      <c r="U875" s="68">
        <f>H875+K875+N875+Q875+T875</f>
        <v/>
      </c>
    </row>
    <row r="876">
      <c r="A876" s="29" t="n"/>
      <c r="B876" s="29" t="n"/>
      <c r="C876" s="29" t="n"/>
      <c r="D876" s="29" t="n"/>
      <c r="E876" s="29" t="n"/>
      <c r="F876" s="29" t="n"/>
      <c r="G876" s="29" t="n"/>
      <c r="H876" s="67">
        <f>IF(base!F876&lt;&gt;"",VLOOKUP(F876,de_para!$A$1:$B$31,2,0)*base!G876,0)</f>
        <v/>
      </c>
      <c r="I876" s="38" t="n"/>
      <c r="J876" s="29" t="n"/>
      <c r="K876" s="67">
        <f>IF(base!I876&lt;&gt;"",VLOOKUP(I876,de_para!$A$1:$B$31,2,0)*base!J876,0)</f>
        <v/>
      </c>
      <c r="L876" s="38" t="n"/>
      <c r="M876" s="29" t="n"/>
      <c r="N876" s="67">
        <f>IF(base!L876&lt;&gt;"",VLOOKUP(L876,de_para!$A$1:$B$31,2,0)*base!M876,0)</f>
        <v/>
      </c>
      <c r="O876" s="38" t="n"/>
      <c r="P876" s="29" t="n"/>
      <c r="Q876" s="67">
        <f>IF(base!O876&lt;&gt;"",VLOOKUP(O876,de_para!$A$1:$B$31,2,0)*base!P876,0)</f>
        <v/>
      </c>
      <c r="R876" s="38" t="n"/>
      <c r="S876" s="29" t="n"/>
      <c r="T876" s="67">
        <f>IF(base!R876&lt;&gt;"",VLOOKUP(R876,de_para!$A$1:$B$31,2,0)*base!S876,0)</f>
        <v/>
      </c>
      <c r="U876" s="68">
        <f>H876+K876+N876+Q876+T876</f>
        <v/>
      </c>
    </row>
    <row r="877">
      <c r="A877" s="29" t="n"/>
      <c r="B877" s="29" t="n"/>
      <c r="C877" s="29" t="n"/>
      <c r="D877" s="29" t="n"/>
      <c r="E877" s="29" t="n"/>
      <c r="F877" s="29" t="n"/>
      <c r="G877" s="29" t="n"/>
      <c r="H877" s="67">
        <f>IF(base!F877&lt;&gt;"",VLOOKUP(F877,de_para!$A$1:$B$31,2,0)*base!G877,0)</f>
        <v/>
      </c>
      <c r="I877" s="38" t="n"/>
      <c r="J877" s="29" t="n"/>
      <c r="K877" s="67">
        <f>IF(base!I877&lt;&gt;"",VLOOKUP(I877,de_para!$A$1:$B$31,2,0)*base!J877,0)</f>
        <v/>
      </c>
      <c r="L877" s="38" t="n"/>
      <c r="M877" s="29" t="n"/>
      <c r="N877" s="67">
        <f>IF(base!L877&lt;&gt;"",VLOOKUP(L877,de_para!$A$1:$B$31,2,0)*base!M877,0)</f>
        <v/>
      </c>
      <c r="O877" s="38" t="n"/>
      <c r="P877" s="29" t="n"/>
      <c r="Q877" s="67">
        <f>IF(base!O877&lt;&gt;"",VLOOKUP(O877,de_para!$A$1:$B$31,2,0)*base!P877,0)</f>
        <v/>
      </c>
      <c r="R877" s="38" t="n"/>
      <c r="S877" s="29" t="n"/>
      <c r="T877" s="67">
        <f>IF(base!R877&lt;&gt;"",VLOOKUP(R877,de_para!$A$1:$B$31,2,0)*base!S877,0)</f>
        <v/>
      </c>
      <c r="U877" s="68">
        <f>H877+K877+N877+Q877+T877</f>
        <v/>
      </c>
    </row>
    <row r="878">
      <c r="A878" s="29" t="n"/>
      <c r="B878" s="29" t="n"/>
      <c r="C878" s="29" t="n"/>
      <c r="D878" s="29" t="n"/>
      <c r="E878" s="29" t="n"/>
      <c r="F878" s="29" t="n"/>
      <c r="G878" s="29" t="n"/>
      <c r="H878" s="67">
        <f>IF(base!F878&lt;&gt;"",VLOOKUP(F878,de_para!$A$1:$B$31,2,0)*base!G878,0)</f>
        <v/>
      </c>
      <c r="I878" s="38" t="n"/>
      <c r="J878" s="29" t="n"/>
      <c r="K878" s="67">
        <f>IF(base!I878&lt;&gt;"",VLOOKUP(I878,de_para!$A$1:$B$31,2,0)*base!J878,0)</f>
        <v/>
      </c>
      <c r="L878" s="38" t="n"/>
      <c r="M878" s="29" t="n"/>
      <c r="N878" s="67">
        <f>IF(base!L878&lt;&gt;"",VLOOKUP(L878,de_para!$A$1:$B$31,2,0)*base!M878,0)</f>
        <v/>
      </c>
      <c r="O878" s="38" t="n"/>
      <c r="P878" s="29" t="n"/>
      <c r="Q878" s="67">
        <f>IF(base!O878&lt;&gt;"",VLOOKUP(O878,de_para!$A$1:$B$31,2,0)*base!P878,0)</f>
        <v/>
      </c>
      <c r="R878" s="38" t="n"/>
      <c r="S878" s="29" t="n"/>
      <c r="T878" s="67">
        <f>IF(base!R878&lt;&gt;"",VLOOKUP(R878,de_para!$A$1:$B$31,2,0)*base!S878,0)</f>
        <v/>
      </c>
      <c r="U878" s="68">
        <f>H878+K878+N878+Q878+T878</f>
        <v/>
      </c>
    </row>
    <row r="879">
      <c r="A879" s="29" t="n"/>
      <c r="B879" s="29" t="n"/>
      <c r="C879" s="29" t="n"/>
      <c r="D879" s="29" t="n"/>
      <c r="E879" s="29" t="n"/>
      <c r="F879" s="29" t="n"/>
      <c r="G879" s="29" t="n"/>
      <c r="H879" s="67">
        <f>IF(base!F879&lt;&gt;"",VLOOKUP(F879,de_para!$A$1:$B$31,2,0)*base!G879,0)</f>
        <v/>
      </c>
      <c r="I879" s="38" t="n"/>
      <c r="J879" s="29" t="n"/>
      <c r="K879" s="67">
        <f>IF(base!I879&lt;&gt;"",VLOOKUP(I879,de_para!$A$1:$B$31,2,0)*base!J879,0)</f>
        <v/>
      </c>
      <c r="L879" s="38" t="n"/>
      <c r="M879" s="29" t="n"/>
      <c r="N879" s="67">
        <f>IF(base!L879&lt;&gt;"",VLOOKUP(L879,de_para!$A$1:$B$31,2,0)*base!M879,0)</f>
        <v/>
      </c>
      <c r="O879" s="38" t="n"/>
      <c r="P879" s="29" t="n"/>
      <c r="Q879" s="67">
        <f>IF(base!O879&lt;&gt;"",VLOOKUP(O879,de_para!$A$1:$B$31,2,0)*base!P879,0)</f>
        <v/>
      </c>
      <c r="R879" s="38" t="n"/>
      <c r="S879" s="29" t="n"/>
      <c r="T879" s="67">
        <f>IF(base!R879&lt;&gt;"",VLOOKUP(R879,de_para!$A$1:$B$31,2,0)*base!S879,0)</f>
        <v/>
      </c>
      <c r="U879" s="68">
        <f>H879+K879+N879+Q879+T879</f>
        <v/>
      </c>
    </row>
    <row r="880">
      <c r="A880" s="29" t="n"/>
      <c r="B880" s="29" t="n"/>
      <c r="C880" s="29" t="n"/>
      <c r="D880" s="29" t="n"/>
      <c r="E880" s="29" t="n"/>
      <c r="F880" s="29" t="n"/>
      <c r="G880" s="29" t="n"/>
      <c r="H880" s="67">
        <f>IF(base!F880&lt;&gt;"",VLOOKUP(F880,de_para!$A$1:$B$31,2,0)*base!G880,0)</f>
        <v/>
      </c>
      <c r="I880" s="38" t="n"/>
      <c r="J880" s="29" t="n"/>
      <c r="K880" s="67">
        <f>IF(base!I880&lt;&gt;"",VLOOKUP(I880,de_para!$A$1:$B$31,2,0)*base!J880,0)</f>
        <v/>
      </c>
      <c r="L880" s="38" t="n"/>
      <c r="M880" s="29" t="n"/>
      <c r="N880" s="67">
        <f>IF(base!L880&lt;&gt;"",VLOOKUP(L880,de_para!$A$1:$B$31,2,0)*base!M880,0)</f>
        <v/>
      </c>
      <c r="O880" s="38" t="n"/>
      <c r="P880" s="29" t="n"/>
      <c r="Q880" s="67">
        <f>IF(base!O880&lt;&gt;"",VLOOKUP(O880,de_para!$A$1:$B$31,2,0)*base!P880,0)</f>
        <v/>
      </c>
      <c r="R880" s="38" t="n"/>
      <c r="S880" s="29" t="n"/>
      <c r="T880" s="67">
        <f>IF(base!R880&lt;&gt;"",VLOOKUP(R880,de_para!$A$1:$B$31,2,0)*base!S880,0)</f>
        <v/>
      </c>
      <c r="U880" s="68">
        <f>H880+K880+N880+Q880+T880</f>
        <v/>
      </c>
    </row>
    <row r="881">
      <c r="A881" s="29" t="n"/>
      <c r="B881" s="29" t="n"/>
      <c r="C881" s="29" t="n"/>
      <c r="D881" s="29" t="n"/>
      <c r="E881" s="29" t="n"/>
      <c r="F881" s="29" t="n"/>
      <c r="G881" s="29" t="n"/>
      <c r="H881" s="67">
        <f>IF(base!F881&lt;&gt;"",VLOOKUP(F881,de_para!$A$1:$B$31,2,0)*base!G881,0)</f>
        <v/>
      </c>
      <c r="I881" s="38" t="n"/>
      <c r="J881" s="29" t="n"/>
      <c r="K881" s="67">
        <f>IF(base!I881&lt;&gt;"",VLOOKUP(I881,de_para!$A$1:$B$31,2,0)*base!J881,0)</f>
        <v/>
      </c>
      <c r="L881" s="38" t="n"/>
      <c r="M881" s="29" t="n"/>
      <c r="N881" s="67">
        <f>IF(base!L881&lt;&gt;"",VLOOKUP(L881,de_para!$A$1:$B$31,2,0)*base!M881,0)</f>
        <v/>
      </c>
      <c r="O881" s="38" t="n"/>
      <c r="P881" s="29" t="n"/>
      <c r="Q881" s="67">
        <f>IF(base!O881&lt;&gt;"",VLOOKUP(O881,de_para!$A$1:$B$31,2,0)*base!P881,0)</f>
        <v/>
      </c>
      <c r="R881" s="38" t="n"/>
      <c r="S881" s="29" t="n"/>
      <c r="T881" s="67">
        <f>IF(base!R881&lt;&gt;"",VLOOKUP(R881,de_para!$A$1:$B$31,2,0)*base!S881,0)</f>
        <v/>
      </c>
      <c r="U881" s="68">
        <f>H881+K881+N881+Q881+T881</f>
        <v/>
      </c>
    </row>
    <row r="882">
      <c r="A882" s="29" t="n"/>
      <c r="B882" s="29" t="n"/>
      <c r="C882" s="29" t="n"/>
      <c r="D882" s="29" t="n"/>
      <c r="E882" s="29" t="n"/>
      <c r="F882" s="29" t="n"/>
      <c r="G882" s="29" t="n"/>
      <c r="H882" s="67">
        <f>IF(base!F882&lt;&gt;"",VLOOKUP(F882,de_para!$A$1:$B$31,2,0)*base!G882,0)</f>
        <v/>
      </c>
      <c r="I882" s="38" t="n"/>
      <c r="J882" s="29" t="n"/>
      <c r="K882" s="67">
        <f>IF(base!I882&lt;&gt;"",VLOOKUP(I882,de_para!$A$1:$B$31,2,0)*base!J882,0)</f>
        <v/>
      </c>
      <c r="L882" s="38" t="n"/>
      <c r="M882" s="29" t="n"/>
      <c r="N882" s="67">
        <f>IF(base!L882&lt;&gt;"",VLOOKUP(L882,de_para!$A$1:$B$31,2,0)*base!M882,0)</f>
        <v/>
      </c>
      <c r="O882" s="38" t="n"/>
      <c r="P882" s="29" t="n"/>
      <c r="Q882" s="67">
        <f>IF(base!O882&lt;&gt;"",VLOOKUP(O882,de_para!$A$1:$B$31,2,0)*base!P882,0)</f>
        <v/>
      </c>
      <c r="R882" s="38" t="n"/>
      <c r="S882" s="29" t="n"/>
      <c r="T882" s="67">
        <f>IF(base!R882&lt;&gt;"",VLOOKUP(R882,de_para!$A$1:$B$31,2,0)*base!S882,0)</f>
        <v/>
      </c>
      <c r="U882" s="68">
        <f>H882+K882+N882+Q882+T882</f>
        <v/>
      </c>
    </row>
    <row r="883">
      <c r="A883" s="29" t="n"/>
      <c r="B883" s="29" t="n"/>
      <c r="C883" s="29" t="n"/>
      <c r="D883" s="29" t="n"/>
      <c r="E883" s="29" t="n"/>
      <c r="F883" s="29" t="n"/>
      <c r="G883" s="29" t="n"/>
      <c r="H883" s="67">
        <f>IF(base!F883&lt;&gt;"",VLOOKUP(F883,de_para!$A$1:$B$31,2,0)*base!G883,0)</f>
        <v/>
      </c>
      <c r="I883" s="38" t="n"/>
      <c r="J883" s="29" t="n"/>
      <c r="K883" s="67">
        <f>IF(base!I883&lt;&gt;"",VLOOKUP(I883,de_para!$A$1:$B$31,2,0)*base!J883,0)</f>
        <v/>
      </c>
      <c r="L883" s="38" t="n"/>
      <c r="M883" s="29" t="n"/>
      <c r="N883" s="67">
        <f>IF(base!L883&lt;&gt;"",VLOOKUP(L883,de_para!$A$1:$B$31,2,0)*base!M883,0)</f>
        <v/>
      </c>
      <c r="O883" s="38" t="n"/>
      <c r="P883" s="29" t="n"/>
      <c r="Q883" s="67">
        <f>IF(base!O883&lt;&gt;"",VLOOKUP(O883,de_para!$A$1:$B$31,2,0)*base!P883,0)</f>
        <v/>
      </c>
      <c r="R883" s="38" t="n"/>
      <c r="S883" s="29" t="n"/>
      <c r="T883" s="67">
        <f>IF(base!R883&lt;&gt;"",VLOOKUP(R883,de_para!$A$1:$B$31,2,0)*base!S883,0)</f>
        <v/>
      </c>
      <c r="U883" s="68">
        <f>H883+K883+N883+Q883+T883</f>
        <v/>
      </c>
    </row>
    <row r="884">
      <c r="A884" s="29" t="n"/>
      <c r="B884" s="29" t="n"/>
      <c r="C884" s="29" t="n"/>
      <c r="D884" s="29" t="n"/>
      <c r="E884" s="29" t="n"/>
      <c r="F884" s="29" t="n"/>
      <c r="G884" s="29" t="n"/>
      <c r="H884" s="67">
        <f>IF(base!F884&lt;&gt;"",VLOOKUP(F884,de_para!$A$1:$B$31,2,0)*base!G884,0)</f>
        <v/>
      </c>
      <c r="I884" s="38" t="n"/>
      <c r="J884" s="29" t="n"/>
      <c r="K884" s="67">
        <f>IF(base!I884&lt;&gt;"",VLOOKUP(I884,de_para!$A$1:$B$31,2,0)*base!J884,0)</f>
        <v/>
      </c>
      <c r="L884" s="38" t="n"/>
      <c r="M884" s="29" t="n"/>
      <c r="N884" s="67">
        <f>IF(base!L884&lt;&gt;"",VLOOKUP(L884,de_para!$A$1:$B$31,2,0)*base!M884,0)</f>
        <v/>
      </c>
      <c r="O884" s="38" t="n"/>
      <c r="P884" s="29" t="n"/>
      <c r="Q884" s="67">
        <f>IF(base!O884&lt;&gt;"",VLOOKUP(O884,de_para!$A$1:$B$31,2,0)*base!P884,0)</f>
        <v/>
      </c>
      <c r="R884" s="38" t="n"/>
      <c r="S884" s="29" t="n"/>
      <c r="T884" s="67">
        <f>IF(base!R884&lt;&gt;"",VLOOKUP(R884,de_para!$A$1:$B$31,2,0)*base!S884,0)</f>
        <v/>
      </c>
      <c r="U884" s="68">
        <f>H884+K884+N884+Q884+T884</f>
        <v/>
      </c>
    </row>
    <row r="885">
      <c r="A885" s="29" t="n"/>
      <c r="B885" s="29" t="n"/>
      <c r="C885" s="29" t="n"/>
      <c r="D885" s="29" t="n"/>
      <c r="E885" s="29" t="n"/>
      <c r="F885" s="29" t="n"/>
      <c r="G885" s="29" t="n"/>
      <c r="H885" s="67">
        <f>IF(base!F885&lt;&gt;"",VLOOKUP(F885,de_para!$A$1:$B$31,2,0)*base!G885,0)</f>
        <v/>
      </c>
      <c r="I885" s="38" t="n"/>
      <c r="J885" s="29" t="n"/>
      <c r="K885" s="67">
        <f>IF(base!I885&lt;&gt;"",VLOOKUP(I885,de_para!$A$1:$B$31,2,0)*base!J885,0)</f>
        <v/>
      </c>
      <c r="L885" s="38" t="n"/>
      <c r="M885" s="29" t="n"/>
      <c r="N885" s="67">
        <f>IF(base!L885&lt;&gt;"",VLOOKUP(L885,de_para!$A$1:$B$31,2,0)*base!M885,0)</f>
        <v/>
      </c>
      <c r="O885" s="38" t="n"/>
      <c r="P885" s="29" t="n"/>
      <c r="Q885" s="67">
        <f>IF(base!O885&lt;&gt;"",VLOOKUP(O885,de_para!$A$1:$B$31,2,0)*base!P885,0)</f>
        <v/>
      </c>
      <c r="R885" s="38" t="n"/>
      <c r="S885" s="29" t="n"/>
      <c r="T885" s="67">
        <f>IF(base!R885&lt;&gt;"",VLOOKUP(R885,de_para!$A$1:$B$31,2,0)*base!S885,0)</f>
        <v/>
      </c>
      <c r="U885" s="68">
        <f>H885+K885+N885+Q885+T885</f>
        <v/>
      </c>
    </row>
    <row r="886">
      <c r="A886" s="29" t="n"/>
      <c r="B886" s="29" t="n"/>
      <c r="C886" s="29" t="n"/>
      <c r="D886" s="29" t="n"/>
      <c r="E886" s="29" t="n"/>
      <c r="F886" s="29" t="n"/>
      <c r="G886" s="29" t="n"/>
      <c r="H886" s="67">
        <f>IF(base!F886&lt;&gt;"",VLOOKUP(F886,de_para!$A$1:$B$31,2,0)*base!G886,0)</f>
        <v/>
      </c>
      <c r="I886" s="38" t="n"/>
      <c r="J886" s="29" t="n"/>
      <c r="K886" s="67">
        <f>IF(base!I886&lt;&gt;"",VLOOKUP(I886,de_para!$A$1:$B$31,2,0)*base!J886,0)</f>
        <v/>
      </c>
      <c r="L886" s="38" t="n"/>
      <c r="M886" s="29" t="n"/>
      <c r="N886" s="67">
        <f>IF(base!L886&lt;&gt;"",VLOOKUP(L886,de_para!$A$1:$B$31,2,0)*base!M886,0)</f>
        <v/>
      </c>
      <c r="O886" s="38" t="n"/>
      <c r="P886" s="29" t="n"/>
      <c r="Q886" s="67">
        <f>IF(base!O886&lt;&gt;"",VLOOKUP(O886,de_para!$A$1:$B$31,2,0)*base!P886,0)</f>
        <v/>
      </c>
      <c r="R886" s="38" t="n"/>
      <c r="S886" s="29" t="n"/>
      <c r="T886" s="67">
        <f>IF(base!R886&lt;&gt;"",VLOOKUP(R886,de_para!$A$1:$B$31,2,0)*base!S886,0)</f>
        <v/>
      </c>
      <c r="U886" s="68">
        <f>H886+K886+N886+Q886+T886</f>
        <v/>
      </c>
    </row>
    <row r="887">
      <c r="A887" s="29" t="n"/>
      <c r="B887" s="29" t="n"/>
      <c r="C887" s="29" t="n"/>
      <c r="D887" s="29" t="n"/>
      <c r="E887" s="29" t="n"/>
      <c r="F887" s="29" t="n"/>
      <c r="G887" s="29" t="n"/>
      <c r="H887" s="67">
        <f>IF(base!F887&lt;&gt;"",VLOOKUP(F887,de_para!$A$1:$B$31,2,0)*base!G887,0)</f>
        <v/>
      </c>
      <c r="I887" s="38" t="n"/>
      <c r="J887" s="29" t="n"/>
      <c r="K887" s="67">
        <f>IF(base!I887&lt;&gt;"",VLOOKUP(I887,de_para!$A$1:$B$31,2,0)*base!J887,0)</f>
        <v/>
      </c>
      <c r="L887" s="38" t="n"/>
      <c r="M887" s="29" t="n"/>
      <c r="N887" s="67">
        <f>IF(base!L887&lt;&gt;"",VLOOKUP(L887,de_para!$A$1:$B$31,2,0)*base!M887,0)</f>
        <v/>
      </c>
      <c r="O887" s="38" t="n"/>
      <c r="P887" s="29" t="n"/>
      <c r="Q887" s="67">
        <f>IF(base!O887&lt;&gt;"",VLOOKUP(O887,de_para!$A$1:$B$31,2,0)*base!P887,0)</f>
        <v/>
      </c>
      <c r="R887" s="38" t="n"/>
      <c r="S887" s="29" t="n"/>
      <c r="T887" s="67">
        <f>IF(base!R887&lt;&gt;"",VLOOKUP(R887,de_para!$A$1:$B$31,2,0)*base!S887,0)</f>
        <v/>
      </c>
      <c r="U887" s="68">
        <f>H887+K887+N887+Q887+T887</f>
        <v/>
      </c>
    </row>
    <row r="888">
      <c r="A888" s="29" t="n"/>
      <c r="B888" s="29" t="n"/>
      <c r="C888" s="29" t="n"/>
      <c r="D888" s="29" t="n"/>
      <c r="E888" s="29" t="n"/>
      <c r="F888" s="29" t="n"/>
      <c r="G888" s="29" t="n"/>
      <c r="H888" s="67">
        <f>IF(base!F888&lt;&gt;"",VLOOKUP(F888,de_para!$A$1:$B$31,2,0)*base!G888,0)</f>
        <v/>
      </c>
      <c r="I888" s="38" t="n"/>
      <c r="J888" s="29" t="n"/>
      <c r="K888" s="67">
        <f>IF(base!I888&lt;&gt;"",VLOOKUP(I888,de_para!$A$1:$B$31,2,0)*base!J888,0)</f>
        <v/>
      </c>
      <c r="L888" s="38" t="n"/>
      <c r="M888" s="29" t="n"/>
      <c r="N888" s="67">
        <f>IF(base!L888&lt;&gt;"",VLOOKUP(L888,de_para!$A$1:$B$31,2,0)*base!M888,0)</f>
        <v/>
      </c>
      <c r="O888" s="38" t="n"/>
      <c r="P888" s="29" t="n"/>
      <c r="Q888" s="67">
        <f>IF(base!O888&lt;&gt;"",VLOOKUP(O888,de_para!$A$1:$B$31,2,0)*base!P888,0)</f>
        <v/>
      </c>
      <c r="R888" s="38" t="n"/>
      <c r="S888" s="29" t="n"/>
      <c r="T888" s="67">
        <f>IF(base!R888&lt;&gt;"",VLOOKUP(R888,de_para!$A$1:$B$31,2,0)*base!S888,0)</f>
        <v/>
      </c>
      <c r="U888" s="68">
        <f>H888+K888+N888+Q888+T888</f>
        <v/>
      </c>
    </row>
    <row r="889">
      <c r="A889" s="29" t="n"/>
      <c r="B889" s="29" t="n"/>
      <c r="C889" s="29" t="n"/>
      <c r="D889" s="29" t="n"/>
      <c r="E889" s="29" t="n"/>
      <c r="F889" s="29" t="n"/>
      <c r="G889" s="29" t="n"/>
      <c r="H889" s="67">
        <f>IF(base!F889&lt;&gt;"",VLOOKUP(F889,de_para!$A$1:$B$31,2,0)*base!G889,0)</f>
        <v/>
      </c>
      <c r="I889" s="38" t="n"/>
      <c r="J889" s="29" t="n"/>
      <c r="K889" s="67">
        <f>IF(base!I889&lt;&gt;"",VLOOKUP(I889,de_para!$A$1:$B$31,2,0)*base!J889,0)</f>
        <v/>
      </c>
      <c r="L889" s="38" t="n"/>
      <c r="M889" s="29" t="n"/>
      <c r="N889" s="67">
        <f>IF(base!L889&lt;&gt;"",VLOOKUP(L889,de_para!$A$1:$B$31,2,0)*base!M889,0)</f>
        <v/>
      </c>
      <c r="O889" s="38" t="n"/>
      <c r="P889" s="29" t="n"/>
      <c r="Q889" s="67">
        <f>IF(base!O889&lt;&gt;"",VLOOKUP(O889,de_para!$A$1:$B$31,2,0)*base!P889,0)</f>
        <v/>
      </c>
      <c r="R889" s="38" t="n"/>
      <c r="S889" s="29" t="n"/>
      <c r="T889" s="67">
        <f>IF(base!R889&lt;&gt;"",VLOOKUP(R889,de_para!$A$1:$B$31,2,0)*base!S889,0)</f>
        <v/>
      </c>
      <c r="U889" s="68">
        <f>H889+K889+N889+Q889+T889</f>
        <v/>
      </c>
    </row>
    <row r="890">
      <c r="A890" s="29" t="n"/>
      <c r="B890" s="29" t="n"/>
      <c r="C890" s="29" t="n"/>
      <c r="D890" s="29" t="n"/>
      <c r="E890" s="29" t="n"/>
      <c r="F890" s="29" t="n"/>
      <c r="G890" s="29" t="n"/>
      <c r="H890" s="67">
        <f>IF(base!F890&lt;&gt;"",VLOOKUP(F890,de_para!$A$1:$B$31,2,0)*base!G890,0)</f>
        <v/>
      </c>
      <c r="I890" s="38" t="n"/>
      <c r="J890" s="29" t="n"/>
      <c r="K890" s="67">
        <f>IF(base!I890&lt;&gt;"",VLOOKUP(I890,de_para!$A$1:$B$31,2,0)*base!J890,0)</f>
        <v/>
      </c>
      <c r="L890" s="38" t="n"/>
      <c r="M890" s="29" t="n"/>
      <c r="N890" s="67">
        <f>IF(base!L890&lt;&gt;"",VLOOKUP(L890,de_para!$A$1:$B$31,2,0)*base!M890,0)</f>
        <v/>
      </c>
      <c r="O890" s="38" t="n"/>
      <c r="P890" s="29" t="n"/>
      <c r="Q890" s="67">
        <f>IF(base!O890&lt;&gt;"",VLOOKUP(O890,de_para!$A$1:$B$31,2,0)*base!P890,0)</f>
        <v/>
      </c>
      <c r="R890" s="38" t="n"/>
      <c r="S890" s="29" t="n"/>
      <c r="T890" s="67">
        <f>IF(base!R890&lt;&gt;"",VLOOKUP(R890,de_para!$A$1:$B$31,2,0)*base!S890,0)</f>
        <v/>
      </c>
      <c r="U890" s="68">
        <f>H890+K890+N890+Q890+T890</f>
        <v/>
      </c>
    </row>
    <row r="891">
      <c r="A891" s="29" t="n"/>
      <c r="B891" s="29" t="n"/>
      <c r="C891" s="29" t="n"/>
      <c r="D891" s="29" t="n"/>
      <c r="E891" s="29" t="n"/>
      <c r="F891" s="29" t="n"/>
      <c r="G891" s="29" t="n"/>
      <c r="H891" s="67">
        <f>IF(base!F891&lt;&gt;"",VLOOKUP(F891,de_para!$A$1:$B$31,2,0)*base!G891,0)</f>
        <v/>
      </c>
      <c r="I891" s="38" t="n"/>
      <c r="J891" s="29" t="n"/>
      <c r="K891" s="67">
        <f>IF(base!I891&lt;&gt;"",VLOOKUP(I891,de_para!$A$1:$B$31,2,0)*base!J891,0)</f>
        <v/>
      </c>
      <c r="L891" s="38" t="n"/>
      <c r="M891" s="29" t="n"/>
      <c r="N891" s="67">
        <f>IF(base!L891&lt;&gt;"",VLOOKUP(L891,de_para!$A$1:$B$31,2,0)*base!M891,0)</f>
        <v/>
      </c>
      <c r="O891" s="38" t="n"/>
      <c r="P891" s="29" t="n"/>
      <c r="Q891" s="67">
        <f>IF(base!O891&lt;&gt;"",VLOOKUP(O891,de_para!$A$1:$B$31,2,0)*base!P891,0)</f>
        <v/>
      </c>
      <c r="R891" s="38" t="n"/>
      <c r="S891" s="29" t="n"/>
      <c r="T891" s="67">
        <f>IF(base!R891&lt;&gt;"",VLOOKUP(R891,de_para!$A$1:$B$31,2,0)*base!S891,0)</f>
        <v/>
      </c>
      <c r="U891" s="68">
        <f>H891+K891+N891+Q891+T891</f>
        <v/>
      </c>
    </row>
    <row r="892">
      <c r="A892" s="29" t="n"/>
      <c r="B892" s="29" t="n"/>
      <c r="C892" s="29" t="n"/>
      <c r="D892" s="29" t="n"/>
      <c r="E892" s="29" t="n"/>
      <c r="F892" s="29" t="n"/>
      <c r="G892" s="29" t="n"/>
      <c r="H892" s="67">
        <f>IF(base!F892&lt;&gt;"",VLOOKUP(F892,de_para!$A$1:$B$31,2,0)*base!G892,0)</f>
        <v/>
      </c>
      <c r="I892" s="38" t="n"/>
      <c r="J892" s="29" t="n"/>
      <c r="K892" s="67">
        <f>IF(base!I892&lt;&gt;"",VLOOKUP(I892,de_para!$A$1:$B$31,2,0)*base!J892,0)</f>
        <v/>
      </c>
      <c r="L892" s="38" t="n"/>
      <c r="M892" s="29" t="n"/>
      <c r="N892" s="67">
        <f>IF(base!L892&lt;&gt;"",VLOOKUP(L892,de_para!$A$1:$B$31,2,0)*base!M892,0)</f>
        <v/>
      </c>
      <c r="O892" s="38" t="n"/>
      <c r="P892" s="29" t="n"/>
      <c r="Q892" s="67">
        <f>IF(base!O892&lt;&gt;"",VLOOKUP(O892,de_para!$A$1:$B$31,2,0)*base!P892,0)</f>
        <v/>
      </c>
      <c r="R892" s="38" t="n"/>
      <c r="S892" s="29" t="n"/>
      <c r="T892" s="67">
        <f>IF(base!R892&lt;&gt;"",VLOOKUP(R892,de_para!$A$1:$B$31,2,0)*base!S892,0)</f>
        <v/>
      </c>
      <c r="U892" s="68">
        <f>H892+K892+N892+Q892+T892</f>
        <v/>
      </c>
    </row>
    <row r="893">
      <c r="A893" s="29" t="n"/>
      <c r="B893" s="29" t="n"/>
      <c r="C893" s="29" t="n"/>
      <c r="D893" s="29" t="n"/>
      <c r="E893" s="29" t="n"/>
      <c r="F893" s="29" t="n"/>
      <c r="G893" s="29" t="n"/>
      <c r="H893" s="67">
        <f>IF(base!F893&lt;&gt;"",VLOOKUP(F893,de_para!$A$1:$B$31,2,0)*base!G893,0)</f>
        <v/>
      </c>
      <c r="I893" s="38" t="n"/>
      <c r="J893" s="29" t="n"/>
      <c r="K893" s="67">
        <f>IF(base!I893&lt;&gt;"",VLOOKUP(I893,de_para!$A$1:$B$31,2,0)*base!J893,0)</f>
        <v/>
      </c>
      <c r="L893" s="38" t="n"/>
      <c r="M893" s="29" t="n"/>
      <c r="N893" s="67">
        <f>IF(base!L893&lt;&gt;"",VLOOKUP(L893,de_para!$A$1:$B$31,2,0)*base!M893,0)</f>
        <v/>
      </c>
      <c r="O893" s="38" t="n"/>
      <c r="P893" s="29" t="n"/>
      <c r="Q893" s="67">
        <f>IF(base!O893&lt;&gt;"",VLOOKUP(O893,de_para!$A$1:$B$31,2,0)*base!P893,0)</f>
        <v/>
      </c>
      <c r="R893" s="38" t="n"/>
      <c r="S893" s="29" t="n"/>
      <c r="T893" s="67">
        <f>IF(base!R893&lt;&gt;"",VLOOKUP(R893,de_para!$A$1:$B$31,2,0)*base!S893,0)</f>
        <v/>
      </c>
      <c r="U893" s="68">
        <f>H893+K893+N893+Q893+T893</f>
        <v/>
      </c>
    </row>
    <row r="894">
      <c r="A894" s="29" t="n"/>
      <c r="B894" s="29" t="n"/>
      <c r="C894" s="29" t="n"/>
      <c r="D894" s="29" t="n"/>
      <c r="E894" s="29" t="n"/>
      <c r="F894" s="29" t="n"/>
      <c r="G894" s="29" t="n"/>
      <c r="H894" s="67">
        <f>IF(base!F894&lt;&gt;"",VLOOKUP(F894,de_para!$A$1:$B$31,2,0)*base!G894,0)</f>
        <v/>
      </c>
      <c r="I894" s="38" t="n"/>
      <c r="J894" s="29" t="n"/>
      <c r="K894" s="67">
        <f>IF(base!I894&lt;&gt;"",VLOOKUP(I894,de_para!$A$1:$B$31,2,0)*base!J894,0)</f>
        <v/>
      </c>
      <c r="L894" s="38" t="n"/>
      <c r="M894" s="29" t="n"/>
      <c r="N894" s="67">
        <f>IF(base!L894&lt;&gt;"",VLOOKUP(L894,de_para!$A$1:$B$31,2,0)*base!M894,0)</f>
        <v/>
      </c>
      <c r="O894" s="38" t="n"/>
      <c r="P894" s="29" t="n"/>
      <c r="Q894" s="67">
        <f>IF(base!O894&lt;&gt;"",VLOOKUP(O894,de_para!$A$1:$B$31,2,0)*base!P894,0)</f>
        <v/>
      </c>
      <c r="R894" s="38" t="n"/>
      <c r="S894" s="29" t="n"/>
      <c r="T894" s="67">
        <f>IF(base!R894&lt;&gt;"",VLOOKUP(R894,de_para!$A$1:$B$31,2,0)*base!S894,0)</f>
        <v/>
      </c>
      <c r="U894" s="68">
        <f>H894+K894+N894+Q894+T894</f>
        <v/>
      </c>
    </row>
    <row r="895">
      <c r="A895" s="29" t="n"/>
      <c r="B895" s="29" t="n"/>
      <c r="C895" s="29" t="n"/>
      <c r="D895" s="29" t="n"/>
      <c r="E895" s="29" t="n"/>
      <c r="F895" s="29" t="n"/>
      <c r="G895" s="29" t="n"/>
      <c r="H895" s="67">
        <f>IF(base!F895&lt;&gt;"",VLOOKUP(F895,de_para!$A$1:$B$31,2,0)*base!G895,0)</f>
        <v/>
      </c>
      <c r="I895" s="38" t="n"/>
      <c r="J895" s="29" t="n"/>
      <c r="K895" s="67">
        <f>IF(base!I895&lt;&gt;"",VLOOKUP(I895,de_para!$A$1:$B$31,2,0)*base!J895,0)</f>
        <v/>
      </c>
      <c r="L895" s="38" t="n"/>
      <c r="M895" s="29" t="n"/>
      <c r="N895" s="67">
        <f>IF(base!L895&lt;&gt;"",VLOOKUP(L895,de_para!$A$1:$B$31,2,0)*base!M895,0)</f>
        <v/>
      </c>
      <c r="O895" s="38" t="n"/>
      <c r="P895" s="29" t="n"/>
      <c r="Q895" s="67">
        <f>IF(base!O895&lt;&gt;"",VLOOKUP(O895,de_para!$A$1:$B$31,2,0)*base!P895,0)</f>
        <v/>
      </c>
      <c r="R895" s="38" t="n"/>
      <c r="S895" s="29" t="n"/>
      <c r="T895" s="67">
        <f>IF(base!R895&lt;&gt;"",VLOOKUP(R895,de_para!$A$1:$B$31,2,0)*base!S895,0)</f>
        <v/>
      </c>
      <c r="U895" s="68">
        <f>H895+K895+N895+Q895+T895</f>
        <v/>
      </c>
    </row>
    <row r="896">
      <c r="A896" s="29" t="n"/>
      <c r="B896" s="29" t="n"/>
      <c r="C896" s="29" t="n"/>
      <c r="D896" s="29" t="n"/>
      <c r="E896" s="29" t="n"/>
      <c r="F896" s="29" t="n"/>
      <c r="G896" s="29" t="n"/>
      <c r="H896" s="67">
        <f>IF(base!F896&lt;&gt;"",VLOOKUP(F896,de_para!$A$1:$B$31,2,0)*base!G896,0)</f>
        <v/>
      </c>
      <c r="I896" s="38" t="n"/>
      <c r="J896" s="29" t="n"/>
      <c r="K896" s="67">
        <f>IF(base!I896&lt;&gt;"",VLOOKUP(I896,de_para!$A$1:$B$31,2,0)*base!J896,0)</f>
        <v/>
      </c>
      <c r="L896" s="38" t="n"/>
      <c r="M896" s="29" t="n"/>
      <c r="N896" s="67">
        <f>IF(base!L896&lt;&gt;"",VLOOKUP(L896,de_para!$A$1:$B$31,2,0)*base!M896,0)</f>
        <v/>
      </c>
      <c r="O896" s="38" t="n"/>
      <c r="P896" s="29" t="n"/>
      <c r="Q896" s="67">
        <f>IF(base!O896&lt;&gt;"",VLOOKUP(O896,de_para!$A$1:$B$31,2,0)*base!P896,0)</f>
        <v/>
      </c>
      <c r="R896" s="38" t="n"/>
      <c r="S896" s="29" t="n"/>
      <c r="T896" s="67">
        <f>IF(base!R896&lt;&gt;"",VLOOKUP(R896,de_para!$A$1:$B$31,2,0)*base!S896,0)</f>
        <v/>
      </c>
      <c r="U896" s="68">
        <f>H896+K896+N896+Q896+T896</f>
        <v/>
      </c>
    </row>
    <row r="897">
      <c r="A897" s="29" t="n"/>
      <c r="B897" s="29" t="n"/>
      <c r="C897" s="29" t="n"/>
      <c r="D897" s="29" t="n"/>
      <c r="E897" s="29" t="n"/>
      <c r="F897" s="29" t="n"/>
      <c r="G897" s="29" t="n"/>
      <c r="H897" s="67">
        <f>IF(base!F897&lt;&gt;"",VLOOKUP(F897,de_para!$A$1:$B$31,2,0)*base!G897,0)</f>
        <v/>
      </c>
      <c r="I897" s="38" t="n"/>
      <c r="J897" s="29" t="n"/>
      <c r="K897" s="67">
        <f>IF(base!I897&lt;&gt;"",VLOOKUP(I897,de_para!$A$1:$B$31,2,0)*base!J897,0)</f>
        <v/>
      </c>
      <c r="L897" s="38" t="n"/>
      <c r="M897" s="29" t="n"/>
      <c r="N897" s="67">
        <f>IF(base!L897&lt;&gt;"",VLOOKUP(L897,de_para!$A$1:$B$31,2,0)*base!M897,0)</f>
        <v/>
      </c>
      <c r="O897" s="38" t="n"/>
      <c r="P897" s="29" t="n"/>
      <c r="Q897" s="67">
        <f>IF(base!O897&lt;&gt;"",VLOOKUP(O897,de_para!$A$1:$B$31,2,0)*base!P897,0)</f>
        <v/>
      </c>
      <c r="R897" s="38" t="n"/>
      <c r="S897" s="29" t="n"/>
      <c r="T897" s="67">
        <f>IF(base!R897&lt;&gt;"",VLOOKUP(R897,de_para!$A$1:$B$31,2,0)*base!S897,0)</f>
        <v/>
      </c>
      <c r="U897" s="68">
        <f>H897+K897+N897+Q897+T897</f>
        <v/>
      </c>
    </row>
    <row r="898">
      <c r="A898" s="29" t="n"/>
      <c r="B898" s="29" t="n"/>
      <c r="C898" s="29" t="n"/>
      <c r="D898" s="29" t="n"/>
      <c r="E898" s="29" t="n"/>
      <c r="F898" s="29" t="n"/>
      <c r="G898" s="29" t="n"/>
      <c r="H898" s="67">
        <f>IF(base!F898&lt;&gt;"",VLOOKUP(F898,de_para!$A$1:$B$31,2,0)*base!G898,0)</f>
        <v/>
      </c>
      <c r="I898" s="38" t="n"/>
      <c r="J898" s="29" t="n"/>
      <c r="K898" s="67">
        <f>IF(base!I898&lt;&gt;"",VLOOKUP(I898,de_para!$A$1:$B$31,2,0)*base!J898,0)</f>
        <v/>
      </c>
      <c r="L898" s="38" t="n"/>
      <c r="M898" s="29" t="n"/>
      <c r="N898" s="67">
        <f>IF(base!L898&lt;&gt;"",VLOOKUP(L898,de_para!$A$1:$B$31,2,0)*base!M898,0)</f>
        <v/>
      </c>
      <c r="O898" s="38" t="n"/>
      <c r="P898" s="29" t="n"/>
      <c r="Q898" s="67">
        <f>IF(base!O898&lt;&gt;"",VLOOKUP(O898,de_para!$A$1:$B$31,2,0)*base!P898,0)</f>
        <v/>
      </c>
      <c r="R898" s="38" t="n"/>
      <c r="S898" s="29" t="n"/>
      <c r="T898" s="67">
        <f>IF(base!R898&lt;&gt;"",VLOOKUP(R898,de_para!$A$1:$B$31,2,0)*base!S898,0)</f>
        <v/>
      </c>
      <c r="U898" s="68">
        <f>H898+K898+N898+Q898+T898</f>
        <v/>
      </c>
    </row>
    <row r="899">
      <c r="A899" s="29" t="n"/>
      <c r="B899" s="29" t="n"/>
      <c r="C899" s="29" t="n"/>
      <c r="D899" s="29" t="n"/>
      <c r="E899" s="29" t="n"/>
      <c r="F899" s="29" t="n"/>
      <c r="G899" s="29" t="n"/>
      <c r="H899" s="67">
        <f>IF(base!F899&lt;&gt;"",VLOOKUP(F899,de_para!$A$1:$B$31,2,0)*base!G899,0)</f>
        <v/>
      </c>
      <c r="I899" s="38" t="n"/>
      <c r="J899" s="29" t="n"/>
      <c r="K899" s="67">
        <f>IF(base!I899&lt;&gt;"",VLOOKUP(I899,de_para!$A$1:$B$31,2,0)*base!J899,0)</f>
        <v/>
      </c>
      <c r="L899" s="38" t="n"/>
      <c r="M899" s="29" t="n"/>
      <c r="N899" s="67">
        <f>IF(base!L899&lt;&gt;"",VLOOKUP(L899,de_para!$A$1:$B$31,2,0)*base!M899,0)</f>
        <v/>
      </c>
      <c r="O899" s="38" t="n"/>
      <c r="P899" s="29" t="n"/>
      <c r="Q899" s="67">
        <f>IF(base!O899&lt;&gt;"",VLOOKUP(O899,de_para!$A$1:$B$31,2,0)*base!P899,0)</f>
        <v/>
      </c>
      <c r="R899" s="38" t="n"/>
      <c r="S899" s="29" t="n"/>
      <c r="T899" s="67">
        <f>IF(base!R899&lt;&gt;"",VLOOKUP(R899,de_para!$A$1:$B$31,2,0)*base!S899,0)</f>
        <v/>
      </c>
      <c r="U899" s="68">
        <f>H899+K899+N899+Q899+T899</f>
        <v/>
      </c>
    </row>
    <row r="900">
      <c r="A900" s="29" t="n"/>
      <c r="B900" s="29" t="n"/>
      <c r="C900" s="29" t="n"/>
      <c r="D900" s="29" t="n"/>
      <c r="E900" s="29" t="n"/>
      <c r="F900" s="29" t="n"/>
      <c r="G900" s="29" t="n"/>
      <c r="H900" s="67">
        <f>IF(base!F900&lt;&gt;"",VLOOKUP(F900,de_para!$A$1:$B$31,2,0)*base!G900,0)</f>
        <v/>
      </c>
      <c r="I900" s="38" t="n"/>
      <c r="J900" s="29" t="n"/>
      <c r="K900" s="67">
        <f>IF(base!I900&lt;&gt;"",VLOOKUP(I900,de_para!$A$1:$B$31,2,0)*base!J900,0)</f>
        <v/>
      </c>
      <c r="L900" s="38" t="n"/>
      <c r="M900" s="29" t="n"/>
      <c r="N900" s="67">
        <f>IF(base!L900&lt;&gt;"",VLOOKUP(L900,de_para!$A$1:$B$31,2,0)*base!M900,0)</f>
        <v/>
      </c>
      <c r="O900" s="38" t="n"/>
      <c r="P900" s="29" t="n"/>
      <c r="Q900" s="67">
        <f>IF(base!O900&lt;&gt;"",VLOOKUP(O900,de_para!$A$1:$B$31,2,0)*base!P900,0)</f>
        <v/>
      </c>
      <c r="R900" s="38" t="n"/>
      <c r="S900" s="29" t="n"/>
      <c r="T900" s="67">
        <f>IF(base!R900&lt;&gt;"",VLOOKUP(R900,de_para!$A$1:$B$31,2,0)*base!S900,0)</f>
        <v/>
      </c>
      <c r="U900" s="68">
        <f>H900+K900+N900+Q900+T900</f>
        <v/>
      </c>
    </row>
    <row r="901">
      <c r="A901" s="29" t="n"/>
      <c r="B901" s="29" t="n"/>
      <c r="C901" s="29" t="n"/>
      <c r="D901" s="29" t="n"/>
      <c r="E901" s="29" t="n"/>
      <c r="F901" s="29" t="n"/>
      <c r="G901" s="29" t="n"/>
      <c r="H901" s="67">
        <f>IF(base!F901&lt;&gt;"",VLOOKUP(F901,de_para!$A$1:$B$31,2,0)*base!G901,0)</f>
        <v/>
      </c>
      <c r="I901" s="38" t="n"/>
      <c r="J901" s="29" t="n"/>
      <c r="K901" s="67">
        <f>IF(base!I901&lt;&gt;"",VLOOKUP(I901,de_para!$A$1:$B$31,2,0)*base!J901,0)</f>
        <v/>
      </c>
      <c r="L901" s="38" t="n"/>
      <c r="M901" s="29" t="n"/>
      <c r="N901" s="67">
        <f>IF(base!L901&lt;&gt;"",VLOOKUP(L901,de_para!$A$1:$B$31,2,0)*base!M901,0)</f>
        <v/>
      </c>
      <c r="O901" s="38" t="n"/>
      <c r="P901" s="29" t="n"/>
      <c r="Q901" s="67">
        <f>IF(base!O901&lt;&gt;"",VLOOKUP(O901,de_para!$A$1:$B$31,2,0)*base!P901,0)</f>
        <v/>
      </c>
      <c r="R901" s="38" t="n"/>
      <c r="S901" s="29" t="n"/>
      <c r="T901" s="67">
        <f>IF(base!R901&lt;&gt;"",VLOOKUP(R901,de_para!$A$1:$B$31,2,0)*base!S901,0)</f>
        <v/>
      </c>
      <c r="U901" s="68">
        <f>H901+K901+N901+Q901+T901</f>
        <v/>
      </c>
    </row>
    <row r="902">
      <c r="A902" s="29" t="n"/>
      <c r="B902" s="29" t="n"/>
      <c r="C902" s="29" t="n"/>
      <c r="D902" s="29" t="n"/>
      <c r="E902" s="29" t="n"/>
      <c r="F902" s="29" t="n"/>
      <c r="G902" s="29" t="n"/>
      <c r="H902" s="67">
        <f>IF(base!F902&lt;&gt;"",VLOOKUP(F902,de_para!$A$1:$B$31,2,0)*base!G902,0)</f>
        <v/>
      </c>
      <c r="I902" s="38" t="n"/>
      <c r="J902" s="29" t="n"/>
      <c r="K902" s="67">
        <f>IF(base!I902&lt;&gt;"",VLOOKUP(I902,de_para!$A$1:$B$31,2,0)*base!J902,0)</f>
        <v/>
      </c>
      <c r="L902" s="38" t="n"/>
      <c r="M902" s="29" t="n"/>
      <c r="N902" s="67">
        <f>IF(base!L902&lt;&gt;"",VLOOKUP(L902,de_para!$A$1:$B$31,2,0)*base!M902,0)</f>
        <v/>
      </c>
      <c r="O902" s="38" t="n"/>
      <c r="P902" s="29" t="n"/>
      <c r="Q902" s="67">
        <f>IF(base!O902&lt;&gt;"",VLOOKUP(O902,de_para!$A$1:$B$31,2,0)*base!P902,0)</f>
        <v/>
      </c>
      <c r="R902" s="38" t="n"/>
      <c r="S902" s="29" t="n"/>
      <c r="T902" s="67">
        <f>IF(base!R902&lt;&gt;"",VLOOKUP(R902,de_para!$A$1:$B$31,2,0)*base!S902,0)</f>
        <v/>
      </c>
      <c r="U902" s="68">
        <f>H902+K902+N902+Q902+T902</f>
        <v/>
      </c>
    </row>
    <row r="903">
      <c r="A903" s="29" t="n"/>
      <c r="B903" s="29" t="n"/>
      <c r="C903" s="29" t="n"/>
      <c r="D903" s="29" t="n"/>
      <c r="E903" s="29" t="n"/>
      <c r="F903" s="29" t="n"/>
      <c r="G903" s="29" t="n"/>
      <c r="H903" s="67">
        <f>IF(base!F903&lt;&gt;"",VLOOKUP(F903,de_para!$A$1:$B$31,2,0)*base!G903,0)</f>
        <v/>
      </c>
      <c r="I903" s="38" t="n"/>
      <c r="J903" s="29" t="n"/>
      <c r="K903" s="67">
        <f>IF(base!I903&lt;&gt;"",VLOOKUP(I903,de_para!$A$1:$B$31,2,0)*base!J903,0)</f>
        <v/>
      </c>
      <c r="L903" s="38" t="n"/>
      <c r="M903" s="29" t="n"/>
      <c r="N903" s="67">
        <f>IF(base!L903&lt;&gt;"",VLOOKUP(L903,de_para!$A$1:$B$31,2,0)*base!M903,0)</f>
        <v/>
      </c>
      <c r="O903" s="38" t="n"/>
      <c r="P903" s="29" t="n"/>
      <c r="Q903" s="67">
        <f>IF(base!O903&lt;&gt;"",VLOOKUP(O903,de_para!$A$1:$B$31,2,0)*base!P903,0)</f>
        <v/>
      </c>
      <c r="R903" s="38" t="n"/>
      <c r="S903" s="29" t="n"/>
      <c r="T903" s="67">
        <f>IF(base!R903&lt;&gt;"",VLOOKUP(R903,de_para!$A$1:$B$31,2,0)*base!S903,0)</f>
        <v/>
      </c>
      <c r="U903" s="68">
        <f>H903+K903+N903+Q903+T903</f>
        <v/>
      </c>
    </row>
    <row r="904">
      <c r="A904" s="29" t="n"/>
      <c r="B904" s="29" t="n"/>
      <c r="C904" s="29" t="n"/>
      <c r="D904" s="29" t="n"/>
      <c r="E904" s="29" t="n"/>
      <c r="F904" s="29" t="n"/>
      <c r="G904" s="29" t="n"/>
      <c r="H904" s="67">
        <f>IF(base!F904&lt;&gt;"",VLOOKUP(F904,de_para!$A$1:$B$31,2,0)*base!G904,0)</f>
        <v/>
      </c>
      <c r="I904" s="38" t="n"/>
      <c r="J904" s="29" t="n"/>
      <c r="K904" s="67">
        <f>IF(base!I904&lt;&gt;"",VLOOKUP(I904,de_para!$A$1:$B$31,2,0)*base!J904,0)</f>
        <v/>
      </c>
      <c r="L904" s="38" t="n"/>
      <c r="M904" s="29" t="n"/>
      <c r="N904" s="67">
        <f>IF(base!L904&lt;&gt;"",VLOOKUP(L904,de_para!$A$1:$B$31,2,0)*base!M904,0)</f>
        <v/>
      </c>
      <c r="O904" s="38" t="n"/>
      <c r="P904" s="29" t="n"/>
      <c r="Q904" s="67">
        <f>IF(base!O904&lt;&gt;"",VLOOKUP(O904,de_para!$A$1:$B$31,2,0)*base!P904,0)</f>
        <v/>
      </c>
      <c r="R904" s="38" t="n"/>
      <c r="S904" s="29" t="n"/>
      <c r="T904" s="67">
        <f>IF(base!R904&lt;&gt;"",VLOOKUP(R904,de_para!$A$1:$B$31,2,0)*base!S904,0)</f>
        <v/>
      </c>
      <c r="U904" s="68">
        <f>H904+K904+N904+Q904+T904</f>
        <v/>
      </c>
    </row>
    <row r="905">
      <c r="A905" s="29" t="n"/>
      <c r="B905" s="29" t="n"/>
      <c r="C905" s="29" t="n"/>
      <c r="D905" s="29" t="n"/>
      <c r="E905" s="29" t="n"/>
      <c r="F905" s="29" t="n"/>
      <c r="G905" s="29" t="n"/>
      <c r="H905" s="67">
        <f>IF(base!F905&lt;&gt;"",VLOOKUP(F905,de_para!$A$1:$B$31,2,0)*base!G905,0)</f>
        <v/>
      </c>
      <c r="I905" s="38" t="n"/>
      <c r="J905" s="29" t="n"/>
      <c r="K905" s="67">
        <f>IF(base!I905&lt;&gt;"",VLOOKUP(I905,de_para!$A$1:$B$31,2,0)*base!J905,0)</f>
        <v/>
      </c>
      <c r="L905" s="38" t="n"/>
      <c r="M905" s="29" t="n"/>
      <c r="N905" s="67">
        <f>IF(base!L905&lt;&gt;"",VLOOKUP(L905,de_para!$A$1:$B$31,2,0)*base!M905,0)</f>
        <v/>
      </c>
      <c r="O905" s="38" t="n"/>
      <c r="P905" s="29" t="n"/>
      <c r="Q905" s="67">
        <f>IF(base!O905&lt;&gt;"",VLOOKUP(O905,de_para!$A$1:$B$31,2,0)*base!P905,0)</f>
        <v/>
      </c>
      <c r="R905" s="38" t="n"/>
      <c r="S905" s="29" t="n"/>
      <c r="T905" s="67">
        <f>IF(base!R905&lt;&gt;"",VLOOKUP(R905,de_para!$A$1:$B$31,2,0)*base!S905,0)</f>
        <v/>
      </c>
      <c r="U905" s="68">
        <f>H905+K905+N905+Q905+T905</f>
        <v/>
      </c>
    </row>
    <row r="906">
      <c r="A906" s="29" t="n"/>
      <c r="B906" s="29" t="n"/>
      <c r="C906" s="29" t="n"/>
      <c r="D906" s="29" t="n"/>
      <c r="E906" s="29" t="n"/>
      <c r="F906" s="29" t="n"/>
      <c r="G906" s="29" t="n"/>
      <c r="H906" s="67">
        <f>IF(base!F906&lt;&gt;"",VLOOKUP(F906,de_para!$A$1:$B$31,2,0)*base!G906,0)</f>
        <v/>
      </c>
      <c r="I906" s="38" t="n"/>
      <c r="J906" s="29" t="n"/>
      <c r="K906" s="67">
        <f>IF(base!I906&lt;&gt;"",VLOOKUP(I906,de_para!$A$1:$B$31,2,0)*base!J906,0)</f>
        <v/>
      </c>
      <c r="L906" s="38" t="n"/>
      <c r="M906" s="29" t="n"/>
      <c r="N906" s="67">
        <f>IF(base!L906&lt;&gt;"",VLOOKUP(L906,de_para!$A$1:$B$31,2,0)*base!M906,0)</f>
        <v/>
      </c>
      <c r="O906" s="38" t="n"/>
      <c r="P906" s="29" t="n"/>
      <c r="Q906" s="67">
        <f>IF(base!O906&lt;&gt;"",VLOOKUP(O906,de_para!$A$1:$B$31,2,0)*base!P906,0)</f>
        <v/>
      </c>
      <c r="R906" s="38" t="n"/>
      <c r="S906" s="29" t="n"/>
      <c r="T906" s="67">
        <f>IF(base!R906&lt;&gt;"",VLOOKUP(R906,de_para!$A$1:$B$31,2,0)*base!S906,0)</f>
        <v/>
      </c>
      <c r="U906" s="68">
        <f>H906+K906+N906+Q906+T906</f>
        <v/>
      </c>
    </row>
    <row r="907">
      <c r="A907" s="29" t="n"/>
      <c r="B907" s="29" t="n"/>
      <c r="C907" s="29" t="n"/>
      <c r="D907" s="29" t="n"/>
      <c r="E907" s="29" t="n"/>
      <c r="F907" s="29" t="n"/>
      <c r="G907" s="29" t="n"/>
      <c r="H907" s="67">
        <f>IF(base!F907&lt;&gt;"",VLOOKUP(F907,de_para!$A$1:$B$31,2,0)*base!G907,0)</f>
        <v/>
      </c>
      <c r="I907" s="38" t="n"/>
      <c r="J907" s="29" t="n"/>
      <c r="K907" s="67">
        <f>IF(base!I907&lt;&gt;"",VLOOKUP(I907,de_para!$A$1:$B$31,2,0)*base!J907,0)</f>
        <v/>
      </c>
      <c r="L907" s="38" t="n"/>
      <c r="M907" s="29" t="n"/>
      <c r="N907" s="67">
        <f>IF(base!L907&lt;&gt;"",VLOOKUP(L907,de_para!$A$1:$B$31,2,0)*base!M907,0)</f>
        <v/>
      </c>
      <c r="O907" s="38" t="n"/>
      <c r="P907" s="29" t="n"/>
      <c r="Q907" s="67">
        <f>IF(base!O907&lt;&gt;"",VLOOKUP(O907,de_para!$A$1:$B$31,2,0)*base!P907,0)</f>
        <v/>
      </c>
      <c r="R907" s="38" t="n"/>
      <c r="S907" s="29" t="n"/>
      <c r="T907" s="67">
        <f>IF(base!R907&lt;&gt;"",VLOOKUP(R907,de_para!$A$1:$B$31,2,0)*base!S907,0)</f>
        <v/>
      </c>
      <c r="U907" s="68">
        <f>H907+K907+N907+Q907+T907</f>
        <v/>
      </c>
    </row>
    <row r="908">
      <c r="A908" s="29" t="n"/>
      <c r="B908" s="29" t="n"/>
      <c r="C908" s="29" t="n"/>
      <c r="D908" s="29" t="n"/>
      <c r="E908" s="29" t="n"/>
      <c r="F908" s="29" t="n"/>
      <c r="G908" s="29" t="n"/>
      <c r="H908" s="67">
        <f>IF(base!F908&lt;&gt;"",VLOOKUP(F908,de_para!$A$1:$B$31,2,0)*base!G908,0)</f>
        <v/>
      </c>
      <c r="I908" s="38" t="n"/>
      <c r="J908" s="29" t="n"/>
      <c r="K908" s="67">
        <f>IF(base!I908&lt;&gt;"",VLOOKUP(I908,de_para!$A$1:$B$31,2,0)*base!J908,0)</f>
        <v/>
      </c>
      <c r="L908" s="38" t="n"/>
      <c r="M908" s="29" t="n"/>
      <c r="N908" s="67">
        <f>IF(base!L908&lt;&gt;"",VLOOKUP(L908,de_para!$A$1:$B$31,2,0)*base!M908,0)</f>
        <v/>
      </c>
      <c r="O908" s="38" t="n"/>
      <c r="P908" s="29" t="n"/>
      <c r="Q908" s="67">
        <f>IF(base!O908&lt;&gt;"",VLOOKUP(O908,de_para!$A$1:$B$31,2,0)*base!P908,0)</f>
        <v/>
      </c>
      <c r="R908" s="38" t="n"/>
      <c r="S908" s="29" t="n"/>
      <c r="T908" s="67">
        <f>IF(base!R908&lt;&gt;"",VLOOKUP(R908,de_para!$A$1:$B$31,2,0)*base!S908,0)</f>
        <v/>
      </c>
      <c r="U908" s="68">
        <f>H908+K908+N908+Q908+T908</f>
        <v/>
      </c>
    </row>
    <row r="909">
      <c r="A909" s="29" t="n"/>
      <c r="B909" s="29" t="n"/>
      <c r="C909" s="29" t="n"/>
      <c r="D909" s="29" t="n"/>
      <c r="E909" s="29" t="n"/>
      <c r="F909" s="29" t="n"/>
      <c r="G909" s="29" t="n"/>
      <c r="H909" s="67">
        <f>IF(base!F909&lt;&gt;"",VLOOKUP(F909,de_para!$A$1:$B$31,2,0)*base!G909,0)</f>
        <v/>
      </c>
      <c r="I909" s="38" t="n"/>
      <c r="J909" s="29" t="n"/>
      <c r="K909" s="67">
        <f>IF(base!I909&lt;&gt;"",VLOOKUP(I909,de_para!$A$1:$B$31,2,0)*base!J909,0)</f>
        <v/>
      </c>
      <c r="L909" s="38" t="n"/>
      <c r="M909" s="29" t="n"/>
      <c r="N909" s="67">
        <f>IF(base!L909&lt;&gt;"",VLOOKUP(L909,de_para!$A$1:$B$31,2,0)*base!M909,0)</f>
        <v/>
      </c>
      <c r="O909" s="38" t="n"/>
      <c r="P909" s="29" t="n"/>
      <c r="Q909" s="67">
        <f>IF(base!O909&lt;&gt;"",VLOOKUP(O909,de_para!$A$1:$B$31,2,0)*base!P909,0)</f>
        <v/>
      </c>
      <c r="R909" s="38" t="n"/>
      <c r="S909" s="29" t="n"/>
      <c r="T909" s="67">
        <f>IF(base!R909&lt;&gt;"",VLOOKUP(R909,de_para!$A$1:$B$31,2,0)*base!S909,0)</f>
        <v/>
      </c>
      <c r="U909" s="68">
        <f>H909+K909+N909+Q909+T909</f>
        <v/>
      </c>
    </row>
    <row r="910">
      <c r="A910" s="29" t="n"/>
      <c r="B910" s="29" t="n"/>
      <c r="C910" s="29" t="n"/>
      <c r="D910" s="29" t="n"/>
      <c r="E910" s="29" t="n"/>
      <c r="F910" s="29" t="n"/>
      <c r="G910" s="29" t="n"/>
      <c r="H910" s="67">
        <f>IF(base!F910&lt;&gt;"",VLOOKUP(F910,de_para!$A$1:$B$31,2,0)*base!G910,0)</f>
        <v/>
      </c>
      <c r="I910" s="38" t="n"/>
      <c r="J910" s="29" t="n"/>
      <c r="K910" s="67">
        <f>IF(base!I910&lt;&gt;"",VLOOKUP(I910,de_para!$A$1:$B$31,2,0)*base!J910,0)</f>
        <v/>
      </c>
      <c r="L910" s="38" t="n"/>
      <c r="M910" s="29" t="n"/>
      <c r="N910" s="67">
        <f>IF(base!L910&lt;&gt;"",VLOOKUP(L910,de_para!$A$1:$B$31,2,0)*base!M910,0)</f>
        <v/>
      </c>
      <c r="O910" s="38" t="n"/>
      <c r="P910" s="29" t="n"/>
      <c r="Q910" s="67">
        <f>IF(base!O910&lt;&gt;"",VLOOKUP(O910,de_para!$A$1:$B$31,2,0)*base!P910,0)</f>
        <v/>
      </c>
      <c r="R910" s="38" t="n"/>
      <c r="S910" s="29" t="n"/>
      <c r="T910" s="67">
        <f>IF(base!R910&lt;&gt;"",VLOOKUP(R910,de_para!$A$1:$B$31,2,0)*base!S910,0)</f>
        <v/>
      </c>
      <c r="U910" s="68">
        <f>H910+K910+N910+Q910+T910</f>
        <v/>
      </c>
    </row>
    <row r="911">
      <c r="A911" s="29" t="n"/>
      <c r="B911" s="29" t="n"/>
      <c r="C911" s="29" t="n"/>
      <c r="D911" s="29" t="n"/>
      <c r="E911" s="29" t="n"/>
      <c r="F911" s="29" t="n"/>
      <c r="G911" s="29" t="n"/>
      <c r="H911" s="67">
        <f>IF(base!F911&lt;&gt;"",VLOOKUP(F911,de_para!$A$1:$B$31,2,0)*base!G911,0)</f>
        <v/>
      </c>
      <c r="I911" s="38" t="n"/>
      <c r="J911" s="29" t="n"/>
      <c r="K911" s="67">
        <f>IF(base!I911&lt;&gt;"",VLOOKUP(I911,de_para!$A$1:$B$31,2,0)*base!J911,0)</f>
        <v/>
      </c>
      <c r="L911" s="38" t="n"/>
      <c r="M911" s="29" t="n"/>
      <c r="N911" s="67">
        <f>IF(base!L911&lt;&gt;"",VLOOKUP(L911,de_para!$A$1:$B$31,2,0)*base!M911,0)</f>
        <v/>
      </c>
      <c r="O911" s="38" t="n"/>
      <c r="P911" s="29" t="n"/>
      <c r="Q911" s="67">
        <f>IF(base!O911&lt;&gt;"",VLOOKUP(O911,de_para!$A$1:$B$31,2,0)*base!P911,0)</f>
        <v/>
      </c>
      <c r="R911" s="38" t="n"/>
      <c r="S911" s="29" t="n"/>
      <c r="T911" s="67">
        <f>IF(base!R911&lt;&gt;"",VLOOKUP(R911,de_para!$A$1:$B$31,2,0)*base!S911,0)</f>
        <v/>
      </c>
      <c r="U911" s="68">
        <f>H911+K911+N911+Q911+T911</f>
        <v/>
      </c>
    </row>
    <row r="912">
      <c r="A912" s="29" t="n"/>
      <c r="B912" s="29" t="n"/>
      <c r="C912" s="29" t="n"/>
      <c r="D912" s="29" t="n"/>
      <c r="E912" s="29" t="n"/>
      <c r="F912" s="29" t="n"/>
      <c r="G912" s="29" t="n"/>
      <c r="H912" s="67">
        <f>IF(base!F912&lt;&gt;"",VLOOKUP(F912,de_para!$A$1:$B$31,2,0)*base!G912,0)</f>
        <v/>
      </c>
      <c r="I912" s="38" t="n"/>
      <c r="J912" s="29" t="n"/>
      <c r="K912" s="67">
        <f>IF(base!I912&lt;&gt;"",VLOOKUP(I912,de_para!$A$1:$B$31,2,0)*base!J912,0)</f>
        <v/>
      </c>
      <c r="L912" s="38" t="n"/>
      <c r="M912" s="29" t="n"/>
      <c r="N912" s="67">
        <f>IF(base!L912&lt;&gt;"",VLOOKUP(L912,de_para!$A$1:$B$31,2,0)*base!M912,0)</f>
        <v/>
      </c>
      <c r="O912" s="38" t="n"/>
      <c r="P912" s="29" t="n"/>
      <c r="Q912" s="67">
        <f>IF(base!O912&lt;&gt;"",VLOOKUP(O912,de_para!$A$1:$B$31,2,0)*base!P912,0)</f>
        <v/>
      </c>
      <c r="R912" s="38" t="n"/>
      <c r="S912" s="29" t="n"/>
      <c r="T912" s="67">
        <f>IF(base!R912&lt;&gt;"",VLOOKUP(R912,de_para!$A$1:$B$31,2,0)*base!S912,0)</f>
        <v/>
      </c>
      <c r="U912" s="68">
        <f>H912+K912+N912+Q912+T912</f>
        <v/>
      </c>
    </row>
    <row r="913">
      <c r="A913" s="29" t="n"/>
      <c r="B913" s="29" t="n"/>
      <c r="C913" s="29" t="n"/>
      <c r="D913" s="29" t="n"/>
      <c r="E913" s="29" t="n"/>
      <c r="F913" s="29" t="n"/>
      <c r="G913" s="29" t="n"/>
      <c r="H913" s="67">
        <f>IF(base!F913&lt;&gt;"",VLOOKUP(F913,de_para!$A$1:$B$31,2,0)*base!G913,0)</f>
        <v/>
      </c>
      <c r="I913" s="38" t="n"/>
      <c r="J913" s="29" t="n"/>
      <c r="K913" s="67">
        <f>IF(base!I913&lt;&gt;"",VLOOKUP(I913,de_para!$A$1:$B$31,2,0)*base!J913,0)</f>
        <v/>
      </c>
      <c r="L913" s="38" t="n"/>
      <c r="M913" s="29" t="n"/>
      <c r="N913" s="67">
        <f>IF(base!L913&lt;&gt;"",VLOOKUP(L913,de_para!$A$1:$B$31,2,0)*base!M913,0)</f>
        <v/>
      </c>
      <c r="O913" s="38" t="n"/>
      <c r="P913" s="29" t="n"/>
      <c r="Q913" s="67">
        <f>IF(base!O913&lt;&gt;"",VLOOKUP(O913,de_para!$A$1:$B$31,2,0)*base!P913,0)</f>
        <v/>
      </c>
      <c r="R913" s="38" t="n"/>
      <c r="S913" s="29" t="n"/>
      <c r="T913" s="67">
        <f>IF(base!R913&lt;&gt;"",VLOOKUP(R913,de_para!$A$1:$B$31,2,0)*base!S913,0)</f>
        <v/>
      </c>
      <c r="U913" s="68">
        <f>H913+K913+N913+Q913+T913</f>
        <v/>
      </c>
    </row>
    <row r="914">
      <c r="A914" s="29" t="n"/>
      <c r="B914" s="29" t="n"/>
      <c r="C914" s="29" t="n"/>
      <c r="D914" s="29" t="n"/>
      <c r="E914" s="29" t="n"/>
      <c r="F914" s="29" t="n"/>
      <c r="G914" s="29" t="n"/>
      <c r="H914" s="67">
        <f>IF(base!F914&lt;&gt;"",VLOOKUP(F914,de_para!$A$1:$B$31,2,0)*base!G914,0)</f>
        <v/>
      </c>
      <c r="I914" s="38" t="n"/>
      <c r="J914" s="29" t="n"/>
      <c r="K914" s="67">
        <f>IF(base!I914&lt;&gt;"",VLOOKUP(I914,de_para!$A$1:$B$31,2,0)*base!J914,0)</f>
        <v/>
      </c>
      <c r="L914" s="38" t="n"/>
      <c r="M914" s="29" t="n"/>
      <c r="N914" s="67">
        <f>IF(base!L914&lt;&gt;"",VLOOKUP(L914,de_para!$A$1:$B$31,2,0)*base!M914,0)</f>
        <v/>
      </c>
      <c r="O914" s="38" t="n"/>
      <c r="P914" s="29" t="n"/>
      <c r="Q914" s="67">
        <f>IF(base!O914&lt;&gt;"",VLOOKUP(O914,de_para!$A$1:$B$31,2,0)*base!P914,0)</f>
        <v/>
      </c>
      <c r="R914" s="38" t="n"/>
      <c r="S914" s="29" t="n"/>
      <c r="T914" s="67">
        <f>IF(base!R914&lt;&gt;"",VLOOKUP(R914,de_para!$A$1:$B$31,2,0)*base!S914,0)</f>
        <v/>
      </c>
      <c r="U914" s="68">
        <f>H914+K914+N914+Q914+T914</f>
        <v/>
      </c>
    </row>
    <row r="915">
      <c r="A915" s="29" t="n"/>
      <c r="B915" s="29" t="n"/>
      <c r="C915" s="29" t="n"/>
      <c r="D915" s="29" t="n"/>
      <c r="E915" s="29" t="n"/>
      <c r="F915" s="29" t="n"/>
      <c r="G915" s="29" t="n"/>
      <c r="H915" s="67">
        <f>IF(base!F915&lt;&gt;"",VLOOKUP(F915,de_para!$A$1:$B$31,2,0)*base!G915,0)</f>
        <v/>
      </c>
      <c r="I915" s="38" t="n"/>
      <c r="J915" s="29" t="n"/>
      <c r="K915" s="67">
        <f>IF(base!I915&lt;&gt;"",VLOOKUP(I915,de_para!$A$1:$B$31,2,0)*base!J915,0)</f>
        <v/>
      </c>
      <c r="L915" s="38" t="n"/>
      <c r="M915" s="29" t="n"/>
      <c r="N915" s="67">
        <f>IF(base!L915&lt;&gt;"",VLOOKUP(L915,de_para!$A$1:$B$31,2,0)*base!M915,0)</f>
        <v/>
      </c>
      <c r="O915" s="38" t="n"/>
      <c r="P915" s="29" t="n"/>
      <c r="Q915" s="67">
        <f>IF(base!O915&lt;&gt;"",VLOOKUP(O915,de_para!$A$1:$B$31,2,0)*base!P915,0)</f>
        <v/>
      </c>
      <c r="R915" s="38" t="n"/>
      <c r="S915" s="29" t="n"/>
      <c r="T915" s="67">
        <f>IF(base!R915&lt;&gt;"",VLOOKUP(R915,de_para!$A$1:$B$31,2,0)*base!S915,0)</f>
        <v/>
      </c>
      <c r="U915" s="68">
        <f>H915+K915+N915+Q915+T915</f>
        <v/>
      </c>
    </row>
    <row r="916">
      <c r="A916" s="29" t="n"/>
      <c r="B916" s="29" t="n"/>
      <c r="C916" s="29" t="n"/>
      <c r="D916" s="29" t="n"/>
      <c r="E916" s="29" t="n"/>
      <c r="F916" s="29" t="n"/>
      <c r="G916" s="29" t="n"/>
      <c r="H916" s="67">
        <f>IF(base!F916&lt;&gt;"",VLOOKUP(F916,de_para!$A$1:$B$31,2,0)*base!G916,0)</f>
        <v/>
      </c>
      <c r="I916" s="38" t="n"/>
      <c r="J916" s="29" t="n"/>
      <c r="K916" s="67">
        <f>IF(base!I916&lt;&gt;"",VLOOKUP(I916,de_para!$A$1:$B$31,2,0)*base!J916,0)</f>
        <v/>
      </c>
      <c r="L916" s="38" t="n"/>
      <c r="M916" s="29" t="n"/>
      <c r="N916" s="67">
        <f>IF(base!L916&lt;&gt;"",VLOOKUP(L916,de_para!$A$1:$B$31,2,0)*base!M916,0)</f>
        <v/>
      </c>
      <c r="O916" s="38" t="n"/>
      <c r="P916" s="29" t="n"/>
      <c r="Q916" s="67">
        <f>IF(base!O916&lt;&gt;"",VLOOKUP(O916,de_para!$A$1:$B$31,2,0)*base!P916,0)</f>
        <v/>
      </c>
      <c r="R916" s="38" t="n"/>
      <c r="S916" s="29" t="n"/>
      <c r="T916" s="67">
        <f>IF(base!R916&lt;&gt;"",VLOOKUP(R916,de_para!$A$1:$B$31,2,0)*base!S916,0)</f>
        <v/>
      </c>
      <c r="U916" s="68">
        <f>H916+K916+N916+Q916+T916</f>
        <v/>
      </c>
    </row>
    <row r="917">
      <c r="A917" s="29" t="n"/>
      <c r="B917" s="29" t="n"/>
      <c r="C917" s="29" t="n"/>
      <c r="D917" s="29" t="n"/>
      <c r="E917" s="29" t="n"/>
      <c r="F917" s="29" t="n"/>
      <c r="G917" s="29" t="n"/>
      <c r="H917" s="67">
        <f>IF(base!F917&lt;&gt;"",VLOOKUP(F917,de_para!$A$1:$B$31,2,0)*base!G917,0)</f>
        <v/>
      </c>
      <c r="I917" s="38" t="n"/>
      <c r="J917" s="29" t="n"/>
      <c r="K917" s="67">
        <f>IF(base!I917&lt;&gt;"",VLOOKUP(I917,de_para!$A$1:$B$31,2,0)*base!J917,0)</f>
        <v/>
      </c>
      <c r="L917" s="38" t="n"/>
      <c r="M917" s="29" t="n"/>
      <c r="N917" s="67">
        <f>IF(base!L917&lt;&gt;"",VLOOKUP(L917,de_para!$A$1:$B$31,2,0)*base!M917,0)</f>
        <v/>
      </c>
      <c r="O917" s="38" t="n"/>
      <c r="P917" s="29" t="n"/>
      <c r="Q917" s="67">
        <f>IF(base!O917&lt;&gt;"",VLOOKUP(O917,de_para!$A$1:$B$31,2,0)*base!P917,0)</f>
        <v/>
      </c>
      <c r="R917" s="38" t="n"/>
      <c r="S917" s="29" t="n"/>
      <c r="T917" s="67">
        <f>IF(base!R917&lt;&gt;"",VLOOKUP(R917,de_para!$A$1:$B$31,2,0)*base!S917,0)</f>
        <v/>
      </c>
      <c r="U917" s="68">
        <f>H917+K917+N917+Q917+T917</f>
        <v/>
      </c>
    </row>
    <row r="918">
      <c r="A918" s="29" t="n"/>
      <c r="B918" s="29" t="n"/>
      <c r="C918" s="29" t="n"/>
      <c r="D918" s="29" t="n"/>
      <c r="E918" s="29" t="n"/>
      <c r="F918" s="29" t="n"/>
      <c r="G918" s="29" t="n"/>
      <c r="H918" s="67">
        <f>IF(base!F918&lt;&gt;"",VLOOKUP(F918,de_para!$A$1:$B$31,2,0)*base!G918,0)</f>
        <v/>
      </c>
      <c r="I918" s="38" t="n"/>
      <c r="J918" s="29" t="n"/>
      <c r="K918" s="67">
        <f>IF(base!I918&lt;&gt;"",VLOOKUP(I918,de_para!$A$1:$B$31,2,0)*base!J918,0)</f>
        <v/>
      </c>
      <c r="L918" s="38" t="n"/>
      <c r="M918" s="29" t="n"/>
      <c r="N918" s="67">
        <f>IF(base!L918&lt;&gt;"",VLOOKUP(L918,de_para!$A$1:$B$31,2,0)*base!M918,0)</f>
        <v/>
      </c>
      <c r="O918" s="38" t="n"/>
      <c r="P918" s="29" t="n"/>
      <c r="Q918" s="67">
        <f>IF(base!O918&lt;&gt;"",VLOOKUP(O918,de_para!$A$1:$B$31,2,0)*base!P918,0)</f>
        <v/>
      </c>
      <c r="R918" s="38" t="n"/>
      <c r="S918" s="29" t="n"/>
      <c r="T918" s="67">
        <f>IF(base!R918&lt;&gt;"",VLOOKUP(R918,de_para!$A$1:$B$31,2,0)*base!S918,0)</f>
        <v/>
      </c>
      <c r="U918" s="68">
        <f>H918+K918+N918+Q918+T918</f>
        <v/>
      </c>
    </row>
    <row r="919">
      <c r="A919" s="29" t="n"/>
      <c r="B919" s="29" t="n"/>
      <c r="C919" s="29" t="n"/>
      <c r="D919" s="29" t="n"/>
      <c r="E919" s="29" t="n"/>
      <c r="F919" s="29" t="n"/>
      <c r="G919" s="29" t="n"/>
      <c r="H919" s="67">
        <f>IF(base!F919&lt;&gt;"",VLOOKUP(F919,de_para!$A$1:$B$31,2,0)*base!G919,0)</f>
        <v/>
      </c>
      <c r="I919" s="38" t="n"/>
      <c r="J919" s="29" t="n"/>
      <c r="K919" s="67">
        <f>IF(base!I919&lt;&gt;"",VLOOKUP(I919,de_para!$A$1:$B$31,2,0)*base!J919,0)</f>
        <v/>
      </c>
      <c r="L919" s="38" t="n"/>
      <c r="M919" s="29" t="n"/>
      <c r="N919" s="67">
        <f>IF(base!L919&lt;&gt;"",VLOOKUP(L919,de_para!$A$1:$B$31,2,0)*base!M919,0)</f>
        <v/>
      </c>
      <c r="O919" s="38" t="n"/>
      <c r="P919" s="29" t="n"/>
      <c r="Q919" s="67">
        <f>IF(base!O919&lt;&gt;"",VLOOKUP(O919,de_para!$A$1:$B$31,2,0)*base!P919,0)</f>
        <v/>
      </c>
      <c r="R919" s="38" t="n"/>
      <c r="S919" s="29" t="n"/>
      <c r="T919" s="67">
        <f>IF(base!R919&lt;&gt;"",VLOOKUP(R919,de_para!$A$1:$B$31,2,0)*base!S919,0)</f>
        <v/>
      </c>
      <c r="U919" s="68">
        <f>H919+K919+N919+Q919+T919</f>
        <v/>
      </c>
    </row>
    <row r="920">
      <c r="A920" s="29" t="n"/>
      <c r="B920" s="29" t="n"/>
      <c r="C920" s="29" t="n"/>
      <c r="D920" s="29" t="n"/>
      <c r="E920" s="29" t="n"/>
      <c r="F920" s="29" t="n"/>
      <c r="G920" s="29" t="n"/>
      <c r="H920" s="67">
        <f>IF(base!F920&lt;&gt;"",VLOOKUP(F920,de_para!$A$1:$B$31,2,0)*base!G920,0)</f>
        <v/>
      </c>
      <c r="I920" s="38" t="n"/>
      <c r="J920" s="29" t="n"/>
      <c r="K920" s="67">
        <f>IF(base!I920&lt;&gt;"",VLOOKUP(I920,de_para!$A$1:$B$31,2,0)*base!J920,0)</f>
        <v/>
      </c>
      <c r="L920" s="38" t="n"/>
      <c r="M920" s="29" t="n"/>
      <c r="N920" s="67">
        <f>IF(base!L920&lt;&gt;"",VLOOKUP(L920,de_para!$A$1:$B$31,2,0)*base!M920,0)</f>
        <v/>
      </c>
      <c r="O920" s="38" t="n"/>
      <c r="P920" s="29" t="n"/>
      <c r="Q920" s="67">
        <f>IF(base!O920&lt;&gt;"",VLOOKUP(O920,de_para!$A$1:$B$31,2,0)*base!P920,0)</f>
        <v/>
      </c>
      <c r="R920" s="38" t="n"/>
      <c r="S920" s="29" t="n"/>
      <c r="T920" s="67">
        <f>IF(base!R920&lt;&gt;"",VLOOKUP(R920,de_para!$A$1:$B$31,2,0)*base!S920,0)</f>
        <v/>
      </c>
      <c r="U920" s="68">
        <f>H920+K920+N920+Q920+T920</f>
        <v/>
      </c>
    </row>
    <row r="921">
      <c r="A921" s="29" t="n"/>
      <c r="B921" s="29" t="n"/>
      <c r="C921" s="29" t="n"/>
      <c r="D921" s="29" t="n"/>
      <c r="E921" s="29" t="n"/>
      <c r="F921" s="29" t="n"/>
      <c r="G921" s="29" t="n"/>
      <c r="H921" s="67">
        <f>IF(base!F921&lt;&gt;"",VLOOKUP(F921,de_para!$A$1:$B$31,2,0)*base!G921,0)</f>
        <v/>
      </c>
      <c r="I921" s="38" t="n"/>
      <c r="J921" s="29" t="n"/>
      <c r="K921" s="67">
        <f>IF(base!I921&lt;&gt;"",VLOOKUP(I921,de_para!$A$1:$B$31,2,0)*base!J921,0)</f>
        <v/>
      </c>
      <c r="L921" s="38" t="n"/>
      <c r="M921" s="29" t="n"/>
      <c r="N921" s="67">
        <f>IF(base!L921&lt;&gt;"",VLOOKUP(L921,de_para!$A$1:$B$31,2,0)*base!M921,0)</f>
        <v/>
      </c>
      <c r="O921" s="38" t="n"/>
      <c r="P921" s="29" t="n"/>
      <c r="Q921" s="67">
        <f>IF(base!O921&lt;&gt;"",VLOOKUP(O921,de_para!$A$1:$B$31,2,0)*base!P921,0)</f>
        <v/>
      </c>
      <c r="R921" s="38" t="n"/>
      <c r="S921" s="29" t="n"/>
      <c r="T921" s="67">
        <f>IF(base!R921&lt;&gt;"",VLOOKUP(R921,de_para!$A$1:$B$31,2,0)*base!S921,0)</f>
        <v/>
      </c>
      <c r="U921" s="68">
        <f>H921+K921+N921+Q921+T921</f>
        <v/>
      </c>
    </row>
    <row r="922">
      <c r="A922" s="29" t="n"/>
      <c r="B922" s="29" t="n"/>
      <c r="C922" s="29" t="n"/>
      <c r="D922" s="29" t="n"/>
      <c r="E922" s="29" t="n"/>
      <c r="F922" s="29" t="n"/>
      <c r="G922" s="29" t="n"/>
      <c r="H922" s="67">
        <f>IF(base!F922&lt;&gt;"",VLOOKUP(F922,de_para!$A$1:$B$31,2,0)*base!G922,0)</f>
        <v/>
      </c>
      <c r="I922" s="38" t="n"/>
      <c r="J922" s="29" t="n"/>
      <c r="K922" s="67">
        <f>IF(base!I922&lt;&gt;"",VLOOKUP(I922,de_para!$A$1:$B$31,2,0)*base!J922,0)</f>
        <v/>
      </c>
      <c r="L922" s="38" t="n"/>
      <c r="M922" s="29" t="n"/>
      <c r="N922" s="67">
        <f>IF(base!L922&lt;&gt;"",VLOOKUP(L922,de_para!$A$1:$B$31,2,0)*base!M922,0)</f>
        <v/>
      </c>
      <c r="O922" s="38" t="n"/>
      <c r="P922" s="29" t="n"/>
      <c r="Q922" s="67">
        <f>IF(base!O922&lt;&gt;"",VLOOKUP(O922,de_para!$A$1:$B$31,2,0)*base!P922,0)</f>
        <v/>
      </c>
      <c r="R922" s="38" t="n"/>
      <c r="S922" s="29" t="n"/>
      <c r="T922" s="67">
        <f>IF(base!R922&lt;&gt;"",VLOOKUP(R922,de_para!$A$1:$B$31,2,0)*base!S922,0)</f>
        <v/>
      </c>
      <c r="U922" s="68">
        <f>H922+K922+N922+Q922+T922</f>
        <v/>
      </c>
    </row>
    <row r="923">
      <c r="A923" s="29" t="n"/>
      <c r="B923" s="29" t="n"/>
      <c r="C923" s="29" t="n"/>
      <c r="D923" s="29" t="n"/>
      <c r="E923" s="29" t="n"/>
      <c r="F923" s="29" t="n"/>
      <c r="G923" s="29" t="n"/>
      <c r="H923" s="67">
        <f>IF(base!F923&lt;&gt;"",VLOOKUP(F923,de_para!$A$1:$B$31,2,0)*base!G923,0)</f>
        <v/>
      </c>
      <c r="I923" s="38" t="n"/>
      <c r="J923" s="29" t="n"/>
      <c r="K923" s="67">
        <f>IF(base!I923&lt;&gt;"",VLOOKUP(I923,de_para!$A$1:$B$31,2,0)*base!J923,0)</f>
        <v/>
      </c>
      <c r="L923" s="38" t="n"/>
      <c r="M923" s="29" t="n"/>
      <c r="N923" s="67">
        <f>IF(base!L923&lt;&gt;"",VLOOKUP(L923,de_para!$A$1:$B$31,2,0)*base!M923,0)</f>
        <v/>
      </c>
      <c r="O923" s="38" t="n"/>
      <c r="P923" s="29" t="n"/>
      <c r="Q923" s="67">
        <f>IF(base!O923&lt;&gt;"",VLOOKUP(O923,de_para!$A$1:$B$31,2,0)*base!P923,0)</f>
        <v/>
      </c>
      <c r="R923" s="38" t="n"/>
      <c r="S923" s="29" t="n"/>
      <c r="T923" s="67">
        <f>IF(base!R923&lt;&gt;"",VLOOKUP(R923,de_para!$A$1:$B$31,2,0)*base!S923,0)</f>
        <v/>
      </c>
      <c r="U923" s="68">
        <f>H923+K923+N923+Q923+T923</f>
        <v/>
      </c>
    </row>
    <row r="924">
      <c r="A924" s="29" t="n"/>
      <c r="B924" s="29" t="n"/>
      <c r="C924" s="29" t="n"/>
      <c r="D924" s="29" t="n"/>
      <c r="E924" s="29" t="n"/>
      <c r="F924" s="29" t="n"/>
      <c r="G924" s="29" t="n"/>
      <c r="H924" s="67">
        <f>IF(base!F924&lt;&gt;"",VLOOKUP(F924,de_para!$A$1:$B$31,2,0)*base!G924,0)</f>
        <v/>
      </c>
      <c r="I924" s="38" t="n"/>
      <c r="J924" s="29" t="n"/>
      <c r="K924" s="67">
        <f>IF(base!I924&lt;&gt;"",VLOOKUP(I924,de_para!$A$1:$B$31,2,0)*base!J924,0)</f>
        <v/>
      </c>
      <c r="L924" s="38" t="n"/>
      <c r="M924" s="29" t="n"/>
      <c r="N924" s="67">
        <f>IF(base!L924&lt;&gt;"",VLOOKUP(L924,de_para!$A$1:$B$31,2,0)*base!M924,0)</f>
        <v/>
      </c>
      <c r="O924" s="38" t="n"/>
      <c r="P924" s="29" t="n"/>
      <c r="Q924" s="67">
        <f>IF(base!O924&lt;&gt;"",VLOOKUP(O924,de_para!$A$1:$B$31,2,0)*base!P924,0)</f>
        <v/>
      </c>
      <c r="R924" s="38" t="n"/>
      <c r="S924" s="29" t="n"/>
      <c r="T924" s="67">
        <f>IF(base!R924&lt;&gt;"",VLOOKUP(R924,de_para!$A$1:$B$31,2,0)*base!S924,0)</f>
        <v/>
      </c>
      <c r="U924" s="68">
        <f>H924+K924+N924+Q924+T924</f>
        <v/>
      </c>
    </row>
    <row r="925">
      <c r="A925" s="29" t="n"/>
      <c r="B925" s="29" t="n"/>
      <c r="C925" s="29" t="n"/>
      <c r="D925" s="29" t="n"/>
      <c r="E925" s="29" t="n"/>
      <c r="F925" s="29" t="n"/>
      <c r="G925" s="29" t="n"/>
      <c r="H925" s="67">
        <f>IF(base!F925&lt;&gt;"",VLOOKUP(F925,de_para!$A$1:$B$31,2,0)*base!G925,0)</f>
        <v/>
      </c>
      <c r="I925" s="38" t="n"/>
      <c r="J925" s="29" t="n"/>
      <c r="K925" s="67">
        <f>IF(base!I925&lt;&gt;"",VLOOKUP(I925,de_para!$A$1:$B$31,2,0)*base!J925,0)</f>
        <v/>
      </c>
      <c r="L925" s="38" t="n"/>
      <c r="M925" s="29" t="n"/>
      <c r="N925" s="67">
        <f>IF(base!L925&lt;&gt;"",VLOOKUP(L925,de_para!$A$1:$B$31,2,0)*base!M925,0)</f>
        <v/>
      </c>
      <c r="O925" s="38" t="n"/>
      <c r="P925" s="29" t="n"/>
      <c r="Q925" s="67">
        <f>IF(base!O925&lt;&gt;"",VLOOKUP(O925,de_para!$A$1:$B$31,2,0)*base!P925,0)</f>
        <v/>
      </c>
      <c r="R925" s="38" t="n"/>
      <c r="S925" s="29" t="n"/>
      <c r="T925" s="67">
        <f>IF(base!R925&lt;&gt;"",VLOOKUP(R925,de_para!$A$1:$B$31,2,0)*base!S925,0)</f>
        <v/>
      </c>
      <c r="U925" s="68">
        <f>H925+K925+N925+Q925+T925</f>
        <v/>
      </c>
    </row>
    <row r="926">
      <c r="A926" s="29" t="n"/>
      <c r="B926" s="29" t="n"/>
      <c r="C926" s="29" t="n"/>
      <c r="D926" s="29" t="n"/>
      <c r="E926" s="29" t="n"/>
      <c r="F926" s="29" t="n"/>
      <c r="G926" s="29" t="n"/>
      <c r="H926" s="67">
        <f>IF(base!F926&lt;&gt;"",VLOOKUP(F926,de_para!$A$1:$B$31,2,0)*base!G926,0)</f>
        <v/>
      </c>
      <c r="I926" s="38" t="n"/>
      <c r="J926" s="29" t="n"/>
      <c r="K926" s="67">
        <f>IF(base!I926&lt;&gt;"",VLOOKUP(I926,de_para!$A$1:$B$31,2,0)*base!J926,0)</f>
        <v/>
      </c>
      <c r="L926" s="38" t="n"/>
      <c r="M926" s="29" t="n"/>
      <c r="N926" s="67">
        <f>IF(base!L926&lt;&gt;"",VLOOKUP(L926,de_para!$A$1:$B$31,2,0)*base!M926,0)</f>
        <v/>
      </c>
      <c r="O926" s="38" t="n"/>
      <c r="P926" s="29" t="n"/>
      <c r="Q926" s="67">
        <f>IF(base!O926&lt;&gt;"",VLOOKUP(O926,de_para!$A$1:$B$31,2,0)*base!P926,0)</f>
        <v/>
      </c>
      <c r="R926" s="38" t="n"/>
      <c r="S926" s="29" t="n"/>
      <c r="T926" s="67">
        <f>IF(base!R926&lt;&gt;"",VLOOKUP(R926,de_para!$A$1:$B$31,2,0)*base!S926,0)</f>
        <v/>
      </c>
      <c r="U926" s="68">
        <f>H926+K926+N926+Q926+T926</f>
        <v/>
      </c>
    </row>
    <row r="927">
      <c r="A927" s="29" t="n"/>
      <c r="B927" s="29" t="n"/>
      <c r="C927" s="29" t="n"/>
      <c r="D927" s="29" t="n"/>
      <c r="E927" s="29" t="n"/>
      <c r="F927" s="29" t="n"/>
      <c r="G927" s="29" t="n"/>
      <c r="H927" s="67">
        <f>IF(base!F927&lt;&gt;"",VLOOKUP(F927,de_para!$A$1:$B$31,2,0)*base!G927,0)</f>
        <v/>
      </c>
      <c r="I927" s="38" t="n"/>
      <c r="J927" s="29" t="n"/>
      <c r="K927" s="67">
        <f>IF(base!I927&lt;&gt;"",VLOOKUP(I927,de_para!$A$1:$B$31,2,0)*base!J927,0)</f>
        <v/>
      </c>
      <c r="L927" s="38" t="n"/>
      <c r="M927" s="29" t="n"/>
      <c r="N927" s="67">
        <f>IF(base!L927&lt;&gt;"",VLOOKUP(L927,de_para!$A$1:$B$31,2,0)*base!M927,0)</f>
        <v/>
      </c>
      <c r="O927" s="38" t="n"/>
      <c r="P927" s="29" t="n"/>
      <c r="Q927" s="67">
        <f>IF(base!O927&lt;&gt;"",VLOOKUP(O927,de_para!$A$1:$B$31,2,0)*base!P927,0)</f>
        <v/>
      </c>
      <c r="R927" s="38" t="n"/>
      <c r="S927" s="29" t="n"/>
      <c r="T927" s="67">
        <f>IF(base!R927&lt;&gt;"",VLOOKUP(R927,de_para!$A$1:$B$31,2,0)*base!S927,0)</f>
        <v/>
      </c>
      <c r="U927" s="68">
        <f>H927+K927+N927+Q927+T927</f>
        <v/>
      </c>
    </row>
    <row r="928">
      <c r="A928" s="29" t="n"/>
      <c r="B928" s="29" t="n"/>
      <c r="C928" s="29" t="n"/>
      <c r="D928" s="29" t="n"/>
      <c r="E928" s="29" t="n"/>
      <c r="F928" s="29" t="n"/>
      <c r="G928" s="29" t="n"/>
      <c r="H928" s="67">
        <f>IF(base!F928&lt;&gt;"",VLOOKUP(F928,de_para!$A$1:$B$31,2,0)*base!G928,0)</f>
        <v/>
      </c>
      <c r="I928" s="38" t="n"/>
      <c r="J928" s="29" t="n"/>
      <c r="K928" s="67">
        <f>IF(base!I928&lt;&gt;"",VLOOKUP(I928,de_para!$A$1:$B$31,2,0)*base!J928,0)</f>
        <v/>
      </c>
      <c r="L928" s="38" t="n"/>
      <c r="M928" s="29" t="n"/>
      <c r="N928" s="67">
        <f>IF(base!L928&lt;&gt;"",VLOOKUP(L928,de_para!$A$1:$B$31,2,0)*base!M928,0)</f>
        <v/>
      </c>
      <c r="O928" s="38" t="n"/>
      <c r="P928" s="29" t="n"/>
      <c r="Q928" s="67">
        <f>IF(base!O928&lt;&gt;"",VLOOKUP(O928,de_para!$A$1:$B$31,2,0)*base!P928,0)</f>
        <v/>
      </c>
      <c r="R928" s="38" t="n"/>
      <c r="S928" s="29" t="n"/>
      <c r="T928" s="67">
        <f>IF(base!R928&lt;&gt;"",VLOOKUP(R928,de_para!$A$1:$B$31,2,0)*base!S928,0)</f>
        <v/>
      </c>
      <c r="U928" s="68">
        <f>H928+K928+N928+Q928+T928</f>
        <v/>
      </c>
    </row>
    <row r="929">
      <c r="A929" s="29" t="n"/>
      <c r="B929" s="29" t="n"/>
      <c r="C929" s="29" t="n"/>
      <c r="D929" s="29" t="n"/>
      <c r="E929" s="29" t="n"/>
      <c r="F929" s="29" t="n"/>
      <c r="G929" s="29" t="n"/>
      <c r="H929" s="67">
        <f>IF(base!F929&lt;&gt;"",VLOOKUP(F929,de_para!$A$1:$B$31,2,0)*base!G929,0)</f>
        <v/>
      </c>
      <c r="I929" s="38" t="n"/>
      <c r="J929" s="29" t="n"/>
      <c r="K929" s="67">
        <f>IF(base!I929&lt;&gt;"",VLOOKUP(I929,de_para!$A$1:$B$31,2,0)*base!J929,0)</f>
        <v/>
      </c>
      <c r="L929" s="38" t="n"/>
      <c r="M929" s="29" t="n"/>
      <c r="N929" s="67">
        <f>IF(base!L929&lt;&gt;"",VLOOKUP(L929,de_para!$A$1:$B$31,2,0)*base!M929,0)</f>
        <v/>
      </c>
      <c r="O929" s="38" t="n"/>
      <c r="P929" s="29" t="n"/>
      <c r="Q929" s="67">
        <f>IF(base!O929&lt;&gt;"",VLOOKUP(O929,de_para!$A$1:$B$31,2,0)*base!P929,0)</f>
        <v/>
      </c>
      <c r="R929" s="38" t="n"/>
      <c r="S929" s="29" t="n"/>
      <c r="T929" s="67">
        <f>IF(base!R929&lt;&gt;"",VLOOKUP(R929,de_para!$A$1:$B$31,2,0)*base!S929,0)</f>
        <v/>
      </c>
      <c r="U929" s="68">
        <f>H929+K929+N929+Q929+T929</f>
        <v/>
      </c>
    </row>
    <row r="930">
      <c r="A930" s="29" t="n"/>
      <c r="B930" s="29" t="n"/>
      <c r="C930" s="29" t="n"/>
      <c r="D930" s="29" t="n"/>
      <c r="E930" s="29" t="n"/>
      <c r="F930" s="29" t="n"/>
      <c r="G930" s="29" t="n"/>
      <c r="H930" s="67">
        <f>IF(base!F930&lt;&gt;"",VLOOKUP(F930,de_para!$A$1:$B$31,2,0)*base!G930,0)</f>
        <v/>
      </c>
      <c r="I930" s="38" t="n"/>
      <c r="J930" s="29" t="n"/>
      <c r="K930" s="67">
        <f>IF(base!I930&lt;&gt;"",VLOOKUP(I930,de_para!$A$1:$B$31,2,0)*base!J930,0)</f>
        <v/>
      </c>
      <c r="L930" s="38" t="n"/>
      <c r="M930" s="29" t="n"/>
      <c r="N930" s="67">
        <f>IF(base!L930&lt;&gt;"",VLOOKUP(L930,de_para!$A$1:$B$31,2,0)*base!M930,0)</f>
        <v/>
      </c>
      <c r="O930" s="38" t="n"/>
      <c r="P930" s="29" t="n"/>
      <c r="Q930" s="67">
        <f>IF(base!O930&lt;&gt;"",VLOOKUP(O930,de_para!$A$1:$B$31,2,0)*base!P930,0)</f>
        <v/>
      </c>
      <c r="R930" s="38" t="n"/>
      <c r="S930" s="29" t="n"/>
      <c r="T930" s="67">
        <f>IF(base!R930&lt;&gt;"",VLOOKUP(R930,de_para!$A$1:$B$31,2,0)*base!S930,0)</f>
        <v/>
      </c>
      <c r="U930" s="68">
        <f>H930+K930+N930+Q930+T930</f>
        <v/>
      </c>
    </row>
    <row r="931">
      <c r="A931" s="29" t="n"/>
      <c r="B931" s="29" t="n"/>
      <c r="C931" s="29" t="n"/>
      <c r="D931" s="29" t="n"/>
      <c r="E931" s="29" t="n"/>
      <c r="F931" s="29" t="n"/>
      <c r="G931" s="29" t="n"/>
      <c r="H931" s="67">
        <f>IF(base!F931&lt;&gt;"",VLOOKUP(F931,de_para!$A$1:$B$31,2,0)*base!G931,0)</f>
        <v/>
      </c>
      <c r="I931" s="38" t="n"/>
      <c r="J931" s="29" t="n"/>
      <c r="K931" s="67">
        <f>IF(base!I931&lt;&gt;"",VLOOKUP(I931,de_para!$A$1:$B$31,2,0)*base!J931,0)</f>
        <v/>
      </c>
      <c r="L931" s="38" t="n"/>
      <c r="M931" s="29" t="n"/>
      <c r="N931" s="67">
        <f>IF(base!L931&lt;&gt;"",VLOOKUP(L931,de_para!$A$1:$B$31,2,0)*base!M931,0)</f>
        <v/>
      </c>
      <c r="O931" s="38" t="n"/>
      <c r="P931" s="29" t="n"/>
      <c r="Q931" s="67">
        <f>IF(base!O931&lt;&gt;"",VLOOKUP(O931,de_para!$A$1:$B$31,2,0)*base!P931,0)</f>
        <v/>
      </c>
      <c r="R931" s="38" t="n"/>
      <c r="S931" s="29" t="n"/>
      <c r="T931" s="67">
        <f>IF(base!R931&lt;&gt;"",VLOOKUP(R931,de_para!$A$1:$B$31,2,0)*base!S931,0)</f>
        <v/>
      </c>
      <c r="U931" s="68">
        <f>H931+K931+N931+Q931+T931</f>
        <v/>
      </c>
    </row>
    <row r="932">
      <c r="A932" s="29" t="n"/>
      <c r="B932" s="29" t="n"/>
      <c r="C932" s="29" t="n"/>
      <c r="D932" s="29" t="n"/>
      <c r="E932" s="29" t="n"/>
      <c r="F932" s="29" t="n"/>
      <c r="G932" s="29" t="n"/>
      <c r="H932" s="67">
        <f>IF(base!F932&lt;&gt;"",VLOOKUP(F932,de_para!$A$1:$B$31,2,0)*base!G932,0)</f>
        <v/>
      </c>
      <c r="I932" s="38" t="n"/>
      <c r="J932" s="29" t="n"/>
      <c r="K932" s="67">
        <f>IF(base!I932&lt;&gt;"",VLOOKUP(I932,de_para!$A$1:$B$31,2,0)*base!J932,0)</f>
        <v/>
      </c>
      <c r="L932" s="38" t="n"/>
      <c r="M932" s="29" t="n"/>
      <c r="N932" s="67">
        <f>IF(base!L932&lt;&gt;"",VLOOKUP(L932,de_para!$A$1:$B$31,2,0)*base!M932,0)</f>
        <v/>
      </c>
      <c r="O932" s="38" t="n"/>
      <c r="P932" s="29" t="n"/>
      <c r="Q932" s="67">
        <f>IF(base!O932&lt;&gt;"",VLOOKUP(O932,de_para!$A$1:$B$31,2,0)*base!P932,0)</f>
        <v/>
      </c>
      <c r="R932" s="38" t="n"/>
      <c r="S932" s="29" t="n"/>
      <c r="T932" s="67">
        <f>IF(base!R932&lt;&gt;"",VLOOKUP(R932,de_para!$A$1:$B$31,2,0)*base!S932,0)</f>
        <v/>
      </c>
      <c r="U932" s="68">
        <f>H932+K932+N932+Q932+T932</f>
        <v/>
      </c>
    </row>
    <row r="933">
      <c r="A933" s="29" t="n"/>
      <c r="B933" s="29" t="n"/>
      <c r="C933" s="29" t="n"/>
      <c r="D933" s="29" t="n"/>
      <c r="E933" s="29" t="n"/>
      <c r="F933" s="29" t="n"/>
      <c r="G933" s="29" t="n"/>
      <c r="H933" s="67">
        <f>IF(base!F933&lt;&gt;"",VLOOKUP(F933,de_para!$A$1:$B$31,2,0)*base!G933,0)</f>
        <v/>
      </c>
      <c r="I933" s="38" t="n"/>
      <c r="J933" s="29" t="n"/>
      <c r="K933" s="67">
        <f>IF(base!I933&lt;&gt;"",VLOOKUP(I933,de_para!$A$1:$B$31,2,0)*base!J933,0)</f>
        <v/>
      </c>
      <c r="L933" s="38" t="n"/>
      <c r="M933" s="29" t="n"/>
      <c r="N933" s="67">
        <f>IF(base!L933&lt;&gt;"",VLOOKUP(L933,de_para!$A$1:$B$31,2,0)*base!M933,0)</f>
        <v/>
      </c>
      <c r="O933" s="38" t="n"/>
      <c r="P933" s="29" t="n"/>
      <c r="Q933" s="67">
        <f>IF(base!O933&lt;&gt;"",VLOOKUP(O933,de_para!$A$1:$B$31,2,0)*base!P933,0)</f>
        <v/>
      </c>
      <c r="R933" s="38" t="n"/>
      <c r="S933" s="29" t="n"/>
      <c r="T933" s="67">
        <f>IF(base!R933&lt;&gt;"",VLOOKUP(R933,de_para!$A$1:$B$31,2,0)*base!S933,0)</f>
        <v/>
      </c>
      <c r="U933" s="68">
        <f>H933+K933+N933+Q933+T933</f>
        <v/>
      </c>
    </row>
    <row r="934">
      <c r="A934" s="29" t="n"/>
      <c r="B934" s="29" t="n"/>
      <c r="C934" s="29" t="n"/>
      <c r="D934" s="29" t="n"/>
      <c r="E934" s="29" t="n"/>
      <c r="F934" s="29" t="n"/>
      <c r="G934" s="29" t="n"/>
      <c r="H934" s="67">
        <f>IF(base!F934&lt;&gt;"",VLOOKUP(F934,de_para!$A$1:$B$31,2,0)*base!G934,0)</f>
        <v/>
      </c>
      <c r="I934" s="38" t="n"/>
      <c r="J934" s="29" t="n"/>
      <c r="K934" s="67">
        <f>IF(base!I934&lt;&gt;"",VLOOKUP(I934,de_para!$A$1:$B$31,2,0)*base!J934,0)</f>
        <v/>
      </c>
      <c r="L934" s="38" t="n"/>
      <c r="M934" s="29" t="n"/>
      <c r="N934" s="67">
        <f>IF(base!L934&lt;&gt;"",VLOOKUP(L934,de_para!$A$1:$B$31,2,0)*base!M934,0)</f>
        <v/>
      </c>
      <c r="O934" s="38" t="n"/>
      <c r="P934" s="29" t="n"/>
      <c r="Q934" s="67">
        <f>IF(base!O934&lt;&gt;"",VLOOKUP(O934,de_para!$A$1:$B$31,2,0)*base!P934,0)</f>
        <v/>
      </c>
      <c r="R934" s="38" t="n"/>
      <c r="S934" s="29" t="n"/>
      <c r="T934" s="67">
        <f>IF(base!R934&lt;&gt;"",VLOOKUP(R934,de_para!$A$1:$B$31,2,0)*base!S934,0)</f>
        <v/>
      </c>
      <c r="U934" s="68">
        <f>H934+K934+N934+Q934+T934</f>
        <v/>
      </c>
    </row>
    <row r="935">
      <c r="A935" s="29" t="n"/>
      <c r="B935" s="29" t="n"/>
      <c r="C935" s="29" t="n"/>
      <c r="D935" s="29" t="n"/>
      <c r="E935" s="29" t="n"/>
      <c r="F935" s="29" t="n"/>
      <c r="G935" s="29" t="n"/>
      <c r="H935" s="67">
        <f>IF(base!F935&lt;&gt;"",VLOOKUP(F935,de_para!$A$1:$B$31,2,0)*base!G935,0)</f>
        <v/>
      </c>
      <c r="I935" s="38" t="n"/>
      <c r="J935" s="29" t="n"/>
      <c r="K935" s="67">
        <f>IF(base!I935&lt;&gt;"",VLOOKUP(I935,de_para!$A$1:$B$31,2,0)*base!J935,0)</f>
        <v/>
      </c>
      <c r="L935" s="38" t="n"/>
      <c r="M935" s="29" t="n"/>
      <c r="N935" s="67">
        <f>IF(base!L935&lt;&gt;"",VLOOKUP(L935,de_para!$A$1:$B$31,2,0)*base!M935,0)</f>
        <v/>
      </c>
      <c r="O935" s="38" t="n"/>
      <c r="P935" s="29" t="n"/>
      <c r="Q935" s="67">
        <f>IF(base!O935&lt;&gt;"",VLOOKUP(O935,de_para!$A$1:$B$31,2,0)*base!P935,0)</f>
        <v/>
      </c>
      <c r="R935" s="38" t="n"/>
      <c r="S935" s="29" t="n"/>
      <c r="T935" s="67">
        <f>IF(base!R935&lt;&gt;"",VLOOKUP(R935,de_para!$A$1:$B$31,2,0)*base!S935,0)</f>
        <v/>
      </c>
      <c r="U935" s="68">
        <f>H935+K935+N935+Q935+T935</f>
        <v/>
      </c>
    </row>
    <row r="936">
      <c r="A936" s="29" t="n"/>
      <c r="B936" s="29" t="n"/>
      <c r="C936" s="29" t="n"/>
      <c r="D936" s="29" t="n"/>
      <c r="E936" s="29" t="n"/>
      <c r="F936" s="29" t="n"/>
      <c r="G936" s="29" t="n"/>
      <c r="H936" s="67">
        <f>IF(base!F936&lt;&gt;"",VLOOKUP(F936,de_para!$A$1:$B$31,2,0)*base!G936,0)</f>
        <v/>
      </c>
      <c r="I936" s="38" t="n"/>
      <c r="J936" s="29" t="n"/>
      <c r="K936" s="67">
        <f>IF(base!I936&lt;&gt;"",VLOOKUP(I936,de_para!$A$1:$B$31,2,0)*base!J936,0)</f>
        <v/>
      </c>
      <c r="L936" s="38" t="n"/>
      <c r="M936" s="29" t="n"/>
      <c r="N936" s="67">
        <f>IF(base!L936&lt;&gt;"",VLOOKUP(L936,de_para!$A$1:$B$31,2,0)*base!M936,0)</f>
        <v/>
      </c>
      <c r="O936" s="38" t="n"/>
      <c r="P936" s="29" t="n"/>
      <c r="Q936" s="67">
        <f>IF(base!O936&lt;&gt;"",VLOOKUP(O936,de_para!$A$1:$B$31,2,0)*base!P936,0)</f>
        <v/>
      </c>
      <c r="R936" s="38" t="n"/>
      <c r="S936" s="29" t="n"/>
      <c r="T936" s="67">
        <f>IF(base!R936&lt;&gt;"",VLOOKUP(R936,de_para!$A$1:$B$31,2,0)*base!S936,0)</f>
        <v/>
      </c>
      <c r="U936" s="68">
        <f>H936+K936+N936+Q936+T936</f>
        <v/>
      </c>
    </row>
    <row r="937">
      <c r="A937" s="29" t="n"/>
      <c r="B937" s="29" t="n"/>
      <c r="C937" s="29" t="n"/>
      <c r="D937" s="29" t="n"/>
      <c r="E937" s="29" t="n"/>
      <c r="F937" s="29" t="n"/>
      <c r="G937" s="29" t="n"/>
      <c r="H937" s="67">
        <f>IF(base!F937&lt;&gt;"",VLOOKUP(F937,de_para!$A$1:$B$31,2,0)*base!G937,0)</f>
        <v/>
      </c>
      <c r="I937" s="38" t="n"/>
      <c r="J937" s="29" t="n"/>
      <c r="K937" s="67">
        <f>IF(base!I937&lt;&gt;"",VLOOKUP(I937,de_para!$A$1:$B$31,2,0)*base!J937,0)</f>
        <v/>
      </c>
      <c r="L937" s="38" t="n"/>
      <c r="M937" s="29" t="n"/>
      <c r="N937" s="67">
        <f>IF(base!L937&lt;&gt;"",VLOOKUP(L937,de_para!$A$1:$B$31,2,0)*base!M937,0)</f>
        <v/>
      </c>
      <c r="O937" s="38" t="n"/>
      <c r="P937" s="29" t="n"/>
      <c r="Q937" s="67">
        <f>IF(base!O937&lt;&gt;"",VLOOKUP(O937,de_para!$A$1:$B$31,2,0)*base!P937,0)</f>
        <v/>
      </c>
      <c r="R937" s="38" t="n"/>
      <c r="S937" s="29" t="n"/>
      <c r="T937" s="67">
        <f>IF(base!R937&lt;&gt;"",VLOOKUP(R937,de_para!$A$1:$B$31,2,0)*base!S937,0)</f>
        <v/>
      </c>
      <c r="U937" s="68">
        <f>H937+K937+N937+Q937+T937</f>
        <v/>
      </c>
    </row>
    <row r="938">
      <c r="A938" s="29" t="n"/>
      <c r="B938" s="29" t="n"/>
      <c r="C938" s="29" t="n"/>
      <c r="D938" s="29" t="n"/>
      <c r="E938" s="29" t="n"/>
      <c r="F938" s="29" t="n"/>
      <c r="G938" s="29" t="n"/>
      <c r="H938" s="67">
        <f>IF(base!F938&lt;&gt;"",VLOOKUP(F938,de_para!$A$1:$B$31,2,0)*base!G938,0)</f>
        <v/>
      </c>
      <c r="I938" s="38" t="n"/>
      <c r="J938" s="29" t="n"/>
      <c r="K938" s="67">
        <f>IF(base!I938&lt;&gt;"",VLOOKUP(I938,de_para!$A$1:$B$31,2,0)*base!J938,0)</f>
        <v/>
      </c>
      <c r="L938" s="38" t="n"/>
      <c r="M938" s="29" t="n"/>
      <c r="N938" s="67">
        <f>IF(base!L938&lt;&gt;"",VLOOKUP(L938,de_para!$A$1:$B$31,2,0)*base!M938,0)</f>
        <v/>
      </c>
      <c r="O938" s="38" t="n"/>
      <c r="P938" s="29" t="n"/>
      <c r="Q938" s="67">
        <f>IF(base!O938&lt;&gt;"",VLOOKUP(O938,de_para!$A$1:$B$31,2,0)*base!P938,0)</f>
        <v/>
      </c>
      <c r="R938" s="38" t="n"/>
      <c r="S938" s="29" t="n"/>
      <c r="T938" s="67">
        <f>IF(base!R938&lt;&gt;"",VLOOKUP(R938,de_para!$A$1:$B$31,2,0)*base!S938,0)</f>
        <v/>
      </c>
      <c r="U938" s="68">
        <f>H938+K938+N938+Q938+T938</f>
        <v/>
      </c>
    </row>
    <row r="939">
      <c r="A939" s="29" t="n"/>
      <c r="B939" s="29" t="n"/>
      <c r="C939" s="29" t="n"/>
      <c r="D939" s="29" t="n"/>
      <c r="E939" s="29" t="n"/>
      <c r="F939" s="29" t="n"/>
      <c r="G939" s="29" t="n"/>
      <c r="H939" s="67">
        <f>IF(base!F939&lt;&gt;"",VLOOKUP(F939,de_para!$A$1:$B$31,2,0)*base!G939,0)</f>
        <v/>
      </c>
      <c r="I939" s="38" t="n"/>
      <c r="J939" s="29" t="n"/>
      <c r="K939" s="67">
        <f>IF(base!I939&lt;&gt;"",VLOOKUP(I939,de_para!$A$1:$B$31,2,0)*base!J939,0)</f>
        <v/>
      </c>
      <c r="L939" s="38" t="n"/>
      <c r="M939" s="29" t="n"/>
      <c r="N939" s="67">
        <f>IF(base!L939&lt;&gt;"",VLOOKUP(L939,de_para!$A$1:$B$31,2,0)*base!M939,0)</f>
        <v/>
      </c>
      <c r="O939" s="38" t="n"/>
      <c r="P939" s="29" t="n"/>
      <c r="Q939" s="67">
        <f>IF(base!O939&lt;&gt;"",VLOOKUP(O939,de_para!$A$1:$B$31,2,0)*base!P939,0)</f>
        <v/>
      </c>
      <c r="R939" s="38" t="n"/>
      <c r="S939" s="29" t="n"/>
      <c r="T939" s="67">
        <f>IF(base!R939&lt;&gt;"",VLOOKUP(R939,de_para!$A$1:$B$31,2,0)*base!S939,0)</f>
        <v/>
      </c>
      <c r="U939" s="68">
        <f>H939+K939+N939+Q939+T939</f>
        <v/>
      </c>
    </row>
    <row r="940">
      <c r="A940" s="29" t="n"/>
      <c r="B940" s="29" t="n"/>
      <c r="C940" s="29" t="n"/>
      <c r="D940" s="29" t="n"/>
      <c r="E940" s="29" t="n"/>
      <c r="F940" s="29" t="n"/>
      <c r="G940" s="29" t="n"/>
      <c r="H940" s="67">
        <f>IF(base!F940&lt;&gt;"",VLOOKUP(F940,de_para!$A$1:$B$31,2,0)*base!G940,0)</f>
        <v/>
      </c>
      <c r="I940" s="38" t="n"/>
      <c r="J940" s="29" t="n"/>
      <c r="K940" s="67">
        <f>IF(base!I940&lt;&gt;"",VLOOKUP(I940,de_para!$A$1:$B$31,2,0)*base!J940,0)</f>
        <v/>
      </c>
      <c r="L940" s="38" t="n"/>
      <c r="M940" s="29" t="n"/>
      <c r="N940" s="67">
        <f>IF(base!L940&lt;&gt;"",VLOOKUP(L940,de_para!$A$1:$B$31,2,0)*base!M940,0)</f>
        <v/>
      </c>
      <c r="O940" s="38" t="n"/>
      <c r="P940" s="29" t="n"/>
      <c r="Q940" s="67">
        <f>IF(base!O940&lt;&gt;"",VLOOKUP(O940,de_para!$A$1:$B$31,2,0)*base!P940,0)</f>
        <v/>
      </c>
      <c r="R940" s="38" t="n"/>
      <c r="S940" s="29" t="n"/>
      <c r="T940" s="67">
        <f>IF(base!R940&lt;&gt;"",VLOOKUP(R940,de_para!$A$1:$B$31,2,0)*base!S940,0)</f>
        <v/>
      </c>
      <c r="U940" s="68">
        <f>H940+K940+N940+Q940+T940</f>
        <v/>
      </c>
    </row>
    <row r="941">
      <c r="A941" s="29" t="n"/>
      <c r="B941" s="29" t="n"/>
      <c r="C941" s="29" t="n"/>
      <c r="D941" s="29" t="n"/>
      <c r="E941" s="29" t="n"/>
      <c r="F941" s="29" t="n"/>
      <c r="G941" s="29" t="n"/>
      <c r="H941" s="67">
        <f>IF(base!F941&lt;&gt;"",VLOOKUP(F941,de_para!$A$1:$B$31,2,0)*base!G941,0)</f>
        <v/>
      </c>
      <c r="I941" s="38" t="n"/>
      <c r="J941" s="29" t="n"/>
      <c r="K941" s="67">
        <f>IF(base!I941&lt;&gt;"",VLOOKUP(I941,de_para!$A$1:$B$31,2,0)*base!J941,0)</f>
        <v/>
      </c>
      <c r="L941" s="38" t="n"/>
      <c r="M941" s="29" t="n"/>
      <c r="N941" s="67">
        <f>IF(base!L941&lt;&gt;"",VLOOKUP(L941,de_para!$A$1:$B$31,2,0)*base!M941,0)</f>
        <v/>
      </c>
      <c r="O941" s="38" t="n"/>
      <c r="P941" s="29" t="n"/>
      <c r="Q941" s="67">
        <f>IF(base!O941&lt;&gt;"",VLOOKUP(O941,de_para!$A$1:$B$31,2,0)*base!P941,0)</f>
        <v/>
      </c>
      <c r="R941" s="38" t="n"/>
      <c r="S941" s="29" t="n"/>
      <c r="T941" s="67">
        <f>IF(base!R941&lt;&gt;"",VLOOKUP(R941,de_para!$A$1:$B$31,2,0)*base!S941,0)</f>
        <v/>
      </c>
      <c r="U941" s="68">
        <f>H941+K941+N941+Q941+T941</f>
        <v/>
      </c>
    </row>
    <row r="942">
      <c r="A942" s="29" t="n"/>
      <c r="B942" s="29" t="n"/>
      <c r="C942" s="29" t="n"/>
      <c r="D942" s="29" t="n"/>
      <c r="E942" s="29" t="n"/>
      <c r="F942" s="29" t="n"/>
      <c r="G942" s="29" t="n"/>
      <c r="H942" s="67">
        <f>IF(base!F942&lt;&gt;"",VLOOKUP(F942,de_para!$A$1:$B$31,2,0)*base!G942,0)</f>
        <v/>
      </c>
      <c r="I942" s="38" t="n"/>
      <c r="J942" s="29" t="n"/>
      <c r="K942" s="67">
        <f>IF(base!I942&lt;&gt;"",VLOOKUP(I942,de_para!$A$1:$B$31,2,0)*base!J942,0)</f>
        <v/>
      </c>
      <c r="L942" s="38" t="n"/>
      <c r="M942" s="29" t="n"/>
      <c r="N942" s="67">
        <f>IF(base!L942&lt;&gt;"",VLOOKUP(L942,de_para!$A$1:$B$31,2,0)*base!M942,0)</f>
        <v/>
      </c>
      <c r="O942" s="38" t="n"/>
      <c r="P942" s="29" t="n"/>
      <c r="Q942" s="67">
        <f>IF(base!O942&lt;&gt;"",VLOOKUP(O942,de_para!$A$1:$B$31,2,0)*base!P942,0)</f>
        <v/>
      </c>
      <c r="R942" s="38" t="n"/>
      <c r="S942" s="29" t="n"/>
      <c r="T942" s="67">
        <f>IF(base!R942&lt;&gt;"",VLOOKUP(R942,de_para!$A$1:$B$31,2,0)*base!S942,0)</f>
        <v/>
      </c>
      <c r="U942" s="68">
        <f>H942+K942+N942+Q942+T942</f>
        <v/>
      </c>
    </row>
    <row r="943">
      <c r="A943" s="29" t="n"/>
      <c r="B943" s="29" t="n"/>
      <c r="C943" s="29" t="n"/>
      <c r="D943" s="29" t="n"/>
      <c r="E943" s="29" t="n"/>
      <c r="F943" s="29" t="n"/>
      <c r="G943" s="29" t="n"/>
      <c r="H943" s="67">
        <f>IF(base!F943&lt;&gt;"",VLOOKUP(F943,de_para!$A$1:$B$31,2,0)*base!G943,0)</f>
        <v/>
      </c>
      <c r="I943" s="38" t="n"/>
      <c r="J943" s="29" t="n"/>
      <c r="K943" s="67">
        <f>IF(base!I943&lt;&gt;"",VLOOKUP(I943,de_para!$A$1:$B$31,2,0)*base!J943,0)</f>
        <v/>
      </c>
      <c r="L943" s="38" t="n"/>
      <c r="M943" s="29" t="n"/>
      <c r="N943" s="67">
        <f>IF(base!L943&lt;&gt;"",VLOOKUP(L943,de_para!$A$1:$B$31,2,0)*base!M943,0)</f>
        <v/>
      </c>
      <c r="O943" s="38" t="n"/>
      <c r="P943" s="29" t="n"/>
      <c r="Q943" s="67">
        <f>IF(base!O943&lt;&gt;"",VLOOKUP(O943,de_para!$A$1:$B$31,2,0)*base!P943,0)</f>
        <v/>
      </c>
      <c r="R943" s="38" t="n"/>
      <c r="S943" s="29" t="n"/>
      <c r="T943" s="67">
        <f>IF(base!R943&lt;&gt;"",VLOOKUP(R943,de_para!$A$1:$B$31,2,0)*base!S943,0)</f>
        <v/>
      </c>
      <c r="U943" s="68">
        <f>H943+K943+N943+Q943+T943</f>
        <v/>
      </c>
    </row>
    <row r="944">
      <c r="A944" s="29" t="n"/>
      <c r="B944" s="29" t="n"/>
      <c r="C944" s="29" t="n"/>
      <c r="D944" s="29" t="n"/>
      <c r="E944" s="29" t="n"/>
      <c r="F944" s="29" t="n"/>
      <c r="G944" s="29" t="n"/>
      <c r="H944" s="67">
        <f>IF(base!F944&lt;&gt;"",VLOOKUP(F944,de_para!$A$1:$B$31,2,0)*base!G944,0)</f>
        <v/>
      </c>
      <c r="I944" s="38" t="n"/>
      <c r="J944" s="29" t="n"/>
      <c r="K944" s="67">
        <f>IF(base!I944&lt;&gt;"",VLOOKUP(I944,de_para!$A$1:$B$31,2,0)*base!J944,0)</f>
        <v/>
      </c>
      <c r="L944" s="38" t="n"/>
      <c r="M944" s="29" t="n"/>
      <c r="N944" s="67">
        <f>IF(base!L944&lt;&gt;"",VLOOKUP(L944,de_para!$A$1:$B$31,2,0)*base!M944,0)</f>
        <v/>
      </c>
      <c r="O944" s="38" t="n"/>
      <c r="P944" s="29" t="n"/>
      <c r="Q944" s="67">
        <f>IF(base!O944&lt;&gt;"",VLOOKUP(O944,de_para!$A$1:$B$31,2,0)*base!P944,0)</f>
        <v/>
      </c>
      <c r="R944" s="38" t="n"/>
      <c r="S944" s="29" t="n"/>
      <c r="T944" s="67">
        <f>IF(base!R944&lt;&gt;"",VLOOKUP(R944,de_para!$A$1:$B$31,2,0)*base!S944,0)</f>
        <v/>
      </c>
      <c r="U944" s="68">
        <f>H944+K944+N944+Q944+T944</f>
        <v/>
      </c>
    </row>
    <row r="945">
      <c r="A945" s="29" t="n"/>
      <c r="B945" s="29" t="n"/>
      <c r="C945" s="29" t="n"/>
      <c r="D945" s="29" t="n"/>
      <c r="E945" s="29" t="n"/>
      <c r="F945" s="29" t="n"/>
      <c r="G945" s="29" t="n"/>
      <c r="H945" s="67">
        <f>IF(base!F945&lt;&gt;"",VLOOKUP(F945,de_para!$A$1:$B$31,2,0)*base!G945,0)</f>
        <v/>
      </c>
      <c r="I945" s="38" t="n"/>
      <c r="J945" s="29" t="n"/>
      <c r="K945" s="67">
        <f>IF(base!I945&lt;&gt;"",VLOOKUP(I945,de_para!$A$1:$B$31,2,0)*base!J945,0)</f>
        <v/>
      </c>
      <c r="L945" s="38" t="n"/>
      <c r="M945" s="29" t="n"/>
      <c r="N945" s="67">
        <f>IF(base!L945&lt;&gt;"",VLOOKUP(L945,de_para!$A$1:$B$31,2,0)*base!M945,0)</f>
        <v/>
      </c>
      <c r="O945" s="38" t="n"/>
      <c r="P945" s="29" t="n"/>
      <c r="Q945" s="67">
        <f>IF(base!O945&lt;&gt;"",VLOOKUP(O945,de_para!$A$1:$B$31,2,0)*base!P945,0)</f>
        <v/>
      </c>
      <c r="R945" s="38" t="n"/>
      <c r="S945" s="29" t="n"/>
      <c r="T945" s="67">
        <f>IF(base!R945&lt;&gt;"",VLOOKUP(R945,de_para!$A$1:$B$31,2,0)*base!S945,0)</f>
        <v/>
      </c>
      <c r="U945" s="68">
        <f>H945+K945+N945+Q945+T945</f>
        <v/>
      </c>
    </row>
    <row r="946">
      <c r="A946" s="29" t="n"/>
      <c r="B946" s="29" t="n"/>
      <c r="C946" s="29" t="n"/>
      <c r="D946" s="29" t="n"/>
      <c r="E946" s="29" t="n"/>
      <c r="F946" s="29" t="n"/>
      <c r="G946" s="29" t="n"/>
      <c r="H946" s="67">
        <f>IF(base!F946&lt;&gt;"",VLOOKUP(F946,de_para!$A$1:$B$31,2,0)*base!G946,0)</f>
        <v/>
      </c>
      <c r="I946" s="38" t="n"/>
      <c r="J946" s="29" t="n"/>
      <c r="K946" s="67">
        <f>IF(base!I946&lt;&gt;"",VLOOKUP(I946,de_para!$A$1:$B$31,2,0)*base!J946,0)</f>
        <v/>
      </c>
      <c r="L946" s="38" t="n"/>
      <c r="M946" s="29" t="n"/>
      <c r="N946" s="67">
        <f>IF(base!L946&lt;&gt;"",VLOOKUP(L946,de_para!$A$1:$B$31,2,0)*base!M946,0)</f>
        <v/>
      </c>
      <c r="O946" s="38" t="n"/>
      <c r="P946" s="29" t="n"/>
      <c r="Q946" s="67">
        <f>IF(base!O946&lt;&gt;"",VLOOKUP(O946,de_para!$A$1:$B$31,2,0)*base!P946,0)</f>
        <v/>
      </c>
      <c r="R946" s="38" t="n"/>
      <c r="S946" s="29" t="n"/>
      <c r="T946" s="67">
        <f>IF(base!R946&lt;&gt;"",VLOOKUP(R946,de_para!$A$1:$B$31,2,0)*base!S946,0)</f>
        <v/>
      </c>
      <c r="U946" s="68">
        <f>H946+K946+N946+Q946+T946</f>
        <v/>
      </c>
    </row>
    <row r="947">
      <c r="A947" s="29" t="n"/>
      <c r="B947" s="29" t="n"/>
      <c r="C947" s="29" t="n"/>
      <c r="D947" s="29" t="n"/>
      <c r="E947" s="29" t="n"/>
      <c r="F947" s="29" t="n"/>
      <c r="G947" s="29" t="n"/>
      <c r="H947" s="67">
        <f>IF(base!F947&lt;&gt;"",VLOOKUP(F947,de_para!$A$1:$B$31,2,0)*base!G947,0)</f>
        <v/>
      </c>
      <c r="I947" s="38" t="n"/>
      <c r="J947" s="29" t="n"/>
      <c r="K947" s="67">
        <f>IF(base!I947&lt;&gt;"",VLOOKUP(I947,de_para!$A$1:$B$31,2,0)*base!J947,0)</f>
        <v/>
      </c>
      <c r="L947" s="38" t="n"/>
      <c r="M947" s="29" t="n"/>
      <c r="N947" s="67">
        <f>IF(base!L947&lt;&gt;"",VLOOKUP(L947,de_para!$A$1:$B$31,2,0)*base!M947,0)</f>
        <v/>
      </c>
      <c r="O947" s="38" t="n"/>
      <c r="P947" s="29" t="n"/>
      <c r="Q947" s="67">
        <f>IF(base!O947&lt;&gt;"",VLOOKUP(O947,de_para!$A$1:$B$31,2,0)*base!P947,0)</f>
        <v/>
      </c>
      <c r="R947" s="38" t="n"/>
      <c r="S947" s="29" t="n"/>
      <c r="T947" s="67">
        <f>IF(base!R947&lt;&gt;"",VLOOKUP(R947,de_para!$A$1:$B$31,2,0)*base!S947,0)</f>
        <v/>
      </c>
      <c r="U947" s="68">
        <f>H947+K947+N947+Q947+T947</f>
        <v/>
      </c>
    </row>
    <row r="948">
      <c r="A948" s="29" t="n"/>
      <c r="B948" s="29" t="n"/>
      <c r="C948" s="29" t="n"/>
      <c r="D948" s="29" t="n"/>
      <c r="E948" s="29" t="n"/>
      <c r="F948" s="29" t="n"/>
      <c r="G948" s="29" t="n"/>
      <c r="H948" s="67">
        <f>IF(base!F948&lt;&gt;"",VLOOKUP(F948,de_para!$A$1:$B$31,2,0)*base!G948,0)</f>
        <v/>
      </c>
      <c r="I948" s="38" t="n"/>
      <c r="J948" s="29" t="n"/>
      <c r="K948" s="67">
        <f>IF(base!I948&lt;&gt;"",VLOOKUP(I948,de_para!$A$1:$B$31,2,0)*base!J948,0)</f>
        <v/>
      </c>
      <c r="L948" s="38" t="n"/>
      <c r="M948" s="29" t="n"/>
      <c r="N948" s="67">
        <f>IF(base!L948&lt;&gt;"",VLOOKUP(L948,de_para!$A$1:$B$31,2,0)*base!M948,0)</f>
        <v/>
      </c>
      <c r="O948" s="38" t="n"/>
      <c r="P948" s="29" t="n"/>
      <c r="Q948" s="67">
        <f>IF(base!O948&lt;&gt;"",VLOOKUP(O948,de_para!$A$1:$B$31,2,0)*base!P948,0)</f>
        <v/>
      </c>
      <c r="R948" s="38" t="n"/>
      <c r="S948" s="29" t="n"/>
      <c r="T948" s="67">
        <f>IF(base!R948&lt;&gt;"",VLOOKUP(R948,de_para!$A$1:$B$31,2,0)*base!S948,0)</f>
        <v/>
      </c>
      <c r="U948" s="68">
        <f>H948+K948+N948+Q948+T948</f>
        <v/>
      </c>
    </row>
    <row r="949">
      <c r="A949" s="29" t="n"/>
      <c r="B949" s="29" t="n"/>
      <c r="C949" s="29" t="n"/>
      <c r="D949" s="29" t="n"/>
      <c r="E949" s="29" t="n"/>
      <c r="F949" s="29" t="n"/>
      <c r="G949" s="29" t="n"/>
      <c r="H949" s="67">
        <f>IF(base!F949&lt;&gt;"",VLOOKUP(F949,de_para!$A$1:$B$31,2,0)*base!G949,0)</f>
        <v/>
      </c>
      <c r="I949" s="38" t="n"/>
      <c r="J949" s="29" t="n"/>
      <c r="K949" s="67">
        <f>IF(base!I949&lt;&gt;"",VLOOKUP(I949,de_para!$A$1:$B$31,2,0)*base!J949,0)</f>
        <v/>
      </c>
      <c r="L949" s="38" t="n"/>
      <c r="M949" s="29" t="n"/>
      <c r="N949" s="67">
        <f>IF(base!L949&lt;&gt;"",VLOOKUP(L949,de_para!$A$1:$B$31,2,0)*base!M949,0)</f>
        <v/>
      </c>
      <c r="O949" s="38" t="n"/>
      <c r="P949" s="29" t="n"/>
      <c r="Q949" s="67">
        <f>IF(base!O949&lt;&gt;"",VLOOKUP(O949,de_para!$A$1:$B$31,2,0)*base!P949,0)</f>
        <v/>
      </c>
      <c r="R949" s="38" t="n"/>
      <c r="S949" s="29" t="n"/>
      <c r="T949" s="67">
        <f>IF(base!R949&lt;&gt;"",VLOOKUP(R949,de_para!$A$1:$B$31,2,0)*base!S949,0)</f>
        <v/>
      </c>
      <c r="U949" s="68">
        <f>H949+K949+N949+Q949+T949</f>
        <v/>
      </c>
    </row>
    <row r="950">
      <c r="A950" s="29" t="n"/>
      <c r="B950" s="29" t="n"/>
      <c r="C950" s="29" t="n"/>
      <c r="D950" s="29" t="n"/>
      <c r="E950" s="29" t="n"/>
      <c r="F950" s="29" t="n"/>
      <c r="G950" s="29" t="n"/>
      <c r="H950" s="67">
        <f>IF(base!F950&lt;&gt;"",VLOOKUP(F950,de_para!$A$1:$B$31,2,0)*base!G950,0)</f>
        <v/>
      </c>
      <c r="I950" s="38" t="n"/>
      <c r="J950" s="29" t="n"/>
      <c r="K950" s="67">
        <f>IF(base!I950&lt;&gt;"",VLOOKUP(I950,de_para!$A$1:$B$31,2,0)*base!J950,0)</f>
        <v/>
      </c>
      <c r="L950" s="38" t="n"/>
      <c r="M950" s="29" t="n"/>
      <c r="N950" s="67">
        <f>IF(base!L950&lt;&gt;"",VLOOKUP(L950,de_para!$A$1:$B$31,2,0)*base!M950,0)</f>
        <v/>
      </c>
      <c r="O950" s="38" t="n"/>
      <c r="P950" s="29" t="n"/>
      <c r="Q950" s="67">
        <f>IF(base!O950&lt;&gt;"",VLOOKUP(O950,de_para!$A$1:$B$31,2,0)*base!P950,0)</f>
        <v/>
      </c>
      <c r="R950" s="38" t="n"/>
      <c r="S950" s="29" t="n"/>
      <c r="T950" s="67">
        <f>IF(base!R950&lt;&gt;"",VLOOKUP(R950,de_para!$A$1:$B$31,2,0)*base!S950,0)</f>
        <v/>
      </c>
      <c r="U950" s="68">
        <f>H950+K950+N950+Q950+T950</f>
        <v/>
      </c>
    </row>
    <row r="951">
      <c r="A951" s="29" t="n"/>
      <c r="B951" s="29" t="n"/>
      <c r="C951" s="29" t="n"/>
      <c r="D951" s="29" t="n"/>
      <c r="E951" s="29" t="n"/>
      <c r="F951" s="29" t="n"/>
      <c r="G951" s="29" t="n"/>
      <c r="H951" s="67">
        <f>IF(base!F951&lt;&gt;"",VLOOKUP(F951,de_para!$A$1:$B$31,2,0)*base!G951,0)</f>
        <v/>
      </c>
      <c r="I951" s="38" t="n"/>
      <c r="J951" s="29" t="n"/>
      <c r="K951" s="67">
        <f>IF(base!I951&lt;&gt;"",VLOOKUP(I951,de_para!$A$1:$B$31,2,0)*base!J951,0)</f>
        <v/>
      </c>
      <c r="L951" s="38" t="n"/>
      <c r="M951" s="29" t="n"/>
      <c r="N951" s="67">
        <f>IF(base!L951&lt;&gt;"",VLOOKUP(L951,de_para!$A$1:$B$31,2,0)*base!M951,0)</f>
        <v/>
      </c>
      <c r="O951" s="38" t="n"/>
      <c r="P951" s="29" t="n"/>
      <c r="Q951" s="67">
        <f>IF(base!O951&lt;&gt;"",VLOOKUP(O951,de_para!$A$1:$B$31,2,0)*base!P951,0)</f>
        <v/>
      </c>
      <c r="R951" s="38" t="n"/>
      <c r="S951" s="29" t="n"/>
      <c r="T951" s="67">
        <f>IF(base!R951&lt;&gt;"",VLOOKUP(R951,de_para!$A$1:$B$31,2,0)*base!S951,0)</f>
        <v/>
      </c>
      <c r="U951" s="68">
        <f>H951+K951+N951+Q951+T951</f>
        <v/>
      </c>
    </row>
    <row r="952">
      <c r="A952" s="29" t="n"/>
      <c r="B952" s="29" t="n"/>
      <c r="C952" s="29" t="n"/>
      <c r="D952" s="29" t="n"/>
      <c r="E952" s="29" t="n"/>
      <c r="F952" s="29" t="n"/>
      <c r="G952" s="29" t="n"/>
      <c r="H952" s="67">
        <f>IF(base!F952&lt;&gt;"",VLOOKUP(F952,de_para!$A$1:$B$31,2,0)*base!G952,0)</f>
        <v/>
      </c>
      <c r="I952" s="38" t="n"/>
      <c r="J952" s="29" t="n"/>
      <c r="K952" s="67">
        <f>IF(base!I952&lt;&gt;"",VLOOKUP(I952,de_para!$A$1:$B$31,2,0)*base!J952,0)</f>
        <v/>
      </c>
      <c r="L952" s="38" t="n"/>
      <c r="M952" s="29" t="n"/>
      <c r="N952" s="67">
        <f>IF(base!L952&lt;&gt;"",VLOOKUP(L952,de_para!$A$1:$B$31,2,0)*base!M952,0)</f>
        <v/>
      </c>
      <c r="O952" s="38" t="n"/>
      <c r="P952" s="29" t="n"/>
      <c r="Q952" s="67">
        <f>IF(base!O952&lt;&gt;"",VLOOKUP(O952,de_para!$A$1:$B$31,2,0)*base!P952,0)</f>
        <v/>
      </c>
      <c r="R952" s="38" t="n"/>
      <c r="S952" s="29" t="n"/>
      <c r="T952" s="67">
        <f>IF(base!R952&lt;&gt;"",VLOOKUP(R952,de_para!$A$1:$B$31,2,0)*base!S952,0)</f>
        <v/>
      </c>
      <c r="U952" s="68">
        <f>H952+K952+N952+Q952+T952</f>
        <v/>
      </c>
    </row>
    <row r="953">
      <c r="A953" s="29" t="n"/>
      <c r="B953" s="29" t="n"/>
      <c r="C953" s="29" t="n"/>
      <c r="D953" s="29" t="n"/>
      <c r="E953" s="29" t="n"/>
      <c r="F953" s="29" t="n"/>
      <c r="G953" s="29" t="n"/>
      <c r="H953" s="67">
        <f>IF(base!F953&lt;&gt;"",VLOOKUP(F953,de_para!$A$1:$B$31,2,0)*base!G953,0)</f>
        <v/>
      </c>
      <c r="I953" s="38" t="n"/>
      <c r="J953" s="29" t="n"/>
      <c r="K953" s="67">
        <f>IF(base!I953&lt;&gt;"",VLOOKUP(I953,de_para!$A$1:$B$31,2,0)*base!J953,0)</f>
        <v/>
      </c>
      <c r="L953" s="38" t="n"/>
      <c r="M953" s="29" t="n"/>
      <c r="N953" s="67">
        <f>IF(base!L953&lt;&gt;"",VLOOKUP(L953,de_para!$A$1:$B$31,2,0)*base!M953,0)</f>
        <v/>
      </c>
      <c r="O953" s="38" t="n"/>
      <c r="P953" s="29" t="n"/>
      <c r="Q953" s="67">
        <f>IF(base!O953&lt;&gt;"",VLOOKUP(O953,de_para!$A$1:$B$31,2,0)*base!P953,0)</f>
        <v/>
      </c>
      <c r="R953" s="38" t="n"/>
      <c r="S953" s="29" t="n"/>
      <c r="T953" s="67">
        <f>IF(base!R953&lt;&gt;"",VLOOKUP(R953,de_para!$A$1:$B$31,2,0)*base!S953,0)</f>
        <v/>
      </c>
      <c r="U953" s="68">
        <f>H953+K953+N953+Q953+T953</f>
        <v/>
      </c>
    </row>
    <row r="954">
      <c r="A954" s="29" t="n"/>
      <c r="B954" s="29" t="n"/>
      <c r="C954" s="29" t="n"/>
      <c r="D954" s="29" t="n"/>
      <c r="E954" s="29" t="n"/>
      <c r="F954" s="29" t="n"/>
      <c r="G954" s="29" t="n"/>
      <c r="H954" s="67">
        <f>IF(base!F954&lt;&gt;"",VLOOKUP(F954,de_para!$A$1:$B$31,2,0)*base!G954,0)</f>
        <v/>
      </c>
      <c r="I954" s="38" t="n"/>
      <c r="J954" s="29" t="n"/>
      <c r="K954" s="67">
        <f>IF(base!I954&lt;&gt;"",VLOOKUP(I954,de_para!$A$1:$B$31,2,0)*base!J954,0)</f>
        <v/>
      </c>
      <c r="L954" s="38" t="n"/>
      <c r="M954" s="29" t="n"/>
      <c r="N954" s="67">
        <f>IF(base!L954&lt;&gt;"",VLOOKUP(L954,de_para!$A$1:$B$31,2,0)*base!M954,0)</f>
        <v/>
      </c>
      <c r="O954" s="38" t="n"/>
      <c r="P954" s="29" t="n"/>
      <c r="Q954" s="67">
        <f>IF(base!O954&lt;&gt;"",VLOOKUP(O954,de_para!$A$1:$B$31,2,0)*base!P954,0)</f>
        <v/>
      </c>
      <c r="R954" s="38" t="n"/>
      <c r="S954" s="29" t="n"/>
      <c r="T954" s="67">
        <f>IF(base!R954&lt;&gt;"",VLOOKUP(R954,de_para!$A$1:$B$31,2,0)*base!S954,0)</f>
        <v/>
      </c>
      <c r="U954" s="68">
        <f>H954+K954+N954+Q954+T954</f>
        <v/>
      </c>
    </row>
    <row r="955">
      <c r="A955" s="29" t="n"/>
      <c r="B955" s="29" t="n"/>
      <c r="C955" s="29" t="n"/>
      <c r="D955" s="29" t="n"/>
      <c r="E955" s="29" t="n"/>
      <c r="F955" s="29" t="n"/>
      <c r="G955" s="29" t="n"/>
      <c r="H955" s="67">
        <f>IF(base!F955&lt;&gt;"",VLOOKUP(F955,de_para!$A$1:$B$31,2,0)*base!G955,0)</f>
        <v/>
      </c>
      <c r="I955" s="38" t="n"/>
      <c r="J955" s="29" t="n"/>
      <c r="K955" s="67">
        <f>IF(base!I955&lt;&gt;"",VLOOKUP(I955,de_para!$A$1:$B$31,2,0)*base!J955,0)</f>
        <v/>
      </c>
      <c r="L955" s="38" t="n"/>
      <c r="M955" s="29" t="n"/>
      <c r="N955" s="67">
        <f>IF(base!L955&lt;&gt;"",VLOOKUP(L955,de_para!$A$1:$B$31,2,0)*base!M955,0)</f>
        <v/>
      </c>
      <c r="O955" s="38" t="n"/>
      <c r="P955" s="29" t="n"/>
      <c r="Q955" s="67">
        <f>IF(base!O955&lt;&gt;"",VLOOKUP(O955,de_para!$A$1:$B$31,2,0)*base!P955,0)</f>
        <v/>
      </c>
      <c r="R955" s="38" t="n"/>
      <c r="S955" s="29" t="n"/>
      <c r="T955" s="67">
        <f>IF(base!R955&lt;&gt;"",VLOOKUP(R955,de_para!$A$1:$B$31,2,0)*base!S955,0)</f>
        <v/>
      </c>
      <c r="U955" s="68">
        <f>H955+K955+N955+Q955+T955</f>
        <v/>
      </c>
    </row>
    <row r="956">
      <c r="A956" s="29" t="n"/>
      <c r="B956" s="29" t="n"/>
      <c r="C956" s="29" t="n"/>
      <c r="D956" s="29" t="n"/>
      <c r="E956" s="29" t="n"/>
      <c r="F956" s="29" t="n"/>
      <c r="G956" s="29" t="n"/>
      <c r="H956" s="67">
        <f>IF(base!F956&lt;&gt;"",VLOOKUP(F956,de_para!$A$1:$B$31,2,0)*base!G956,0)</f>
        <v/>
      </c>
      <c r="I956" s="38" t="n"/>
      <c r="J956" s="29" t="n"/>
      <c r="K956" s="67">
        <f>IF(base!I956&lt;&gt;"",VLOOKUP(I956,de_para!$A$1:$B$31,2,0)*base!J956,0)</f>
        <v/>
      </c>
      <c r="L956" s="38" t="n"/>
      <c r="M956" s="29" t="n"/>
      <c r="N956" s="67">
        <f>IF(base!L956&lt;&gt;"",VLOOKUP(L956,de_para!$A$1:$B$31,2,0)*base!M956,0)</f>
        <v/>
      </c>
      <c r="O956" s="38" t="n"/>
      <c r="P956" s="29" t="n"/>
      <c r="Q956" s="67">
        <f>IF(base!O956&lt;&gt;"",VLOOKUP(O956,de_para!$A$1:$B$31,2,0)*base!P956,0)</f>
        <v/>
      </c>
      <c r="R956" s="38" t="n"/>
      <c r="S956" s="29" t="n"/>
      <c r="T956" s="67">
        <f>IF(base!R956&lt;&gt;"",VLOOKUP(R956,de_para!$A$1:$B$31,2,0)*base!S956,0)</f>
        <v/>
      </c>
      <c r="U956" s="68">
        <f>H956+K956+N956+Q956+T956</f>
        <v/>
      </c>
    </row>
    <row r="957">
      <c r="A957" s="29" t="n"/>
      <c r="B957" s="29" t="n"/>
      <c r="C957" s="29" t="n"/>
      <c r="D957" s="29" t="n"/>
      <c r="E957" s="29" t="n"/>
      <c r="F957" s="29" t="n"/>
      <c r="G957" s="29" t="n"/>
      <c r="H957" s="67">
        <f>IF(base!F957&lt;&gt;"",VLOOKUP(F957,de_para!$A$1:$B$31,2,0)*base!G957,0)</f>
        <v/>
      </c>
      <c r="I957" s="38" t="n"/>
      <c r="J957" s="29" t="n"/>
      <c r="K957" s="67">
        <f>IF(base!I957&lt;&gt;"",VLOOKUP(I957,de_para!$A$1:$B$31,2,0)*base!J957,0)</f>
        <v/>
      </c>
      <c r="L957" s="38" t="n"/>
      <c r="M957" s="29" t="n"/>
      <c r="N957" s="67">
        <f>IF(base!L957&lt;&gt;"",VLOOKUP(L957,de_para!$A$1:$B$31,2,0)*base!M957,0)</f>
        <v/>
      </c>
      <c r="O957" s="38" t="n"/>
      <c r="P957" s="29" t="n"/>
      <c r="Q957" s="67">
        <f>IF(base!O957&lt;&gt;"",VLOOKUP(O957,de_para!$A$1:$B$31,2,0)*base!P957,0)</f>
        <v/>
      </c>
      <c r="R957" s="38" t="n"/>
      <c r="S957" s="29" t="n"/>
      <c r="T957" s="67">
        <f>IF(base!R957&lt;&gt;"",VLOOKUP(R957,de_para!$A$1:$B$31,2,0)*base!S957,0)</f>
        <v/>
      </c>
      <c r="U957" s="68">
        <f>H957+K957+N957+Q957+T957</f>
        <v/>
      </c>
    </row>
    <row r="958">
      <c r="A958" s="29" t="n"/>
      <c r="B958" s="29" t="n"/>
      <c r="C958" s="29" t="n"/>
      <c r="D958" s="29" t="n"/>
      <c r="E958" s="29" t="n"/>
      <c r="F958" s="29" t="n"/>
      <c r="G958" s="29" t="n"/>
      <c r="H958" s="67">
        <f>IF(base!F958&lt;&gt;"",VLOOKUP(F958,de_para!$A$1:$B$31,2,0)*base!G958,0)</f>
        <v/>
      </c>
      <c r="I958" s="38" t="n"/>
      <c r="J958" s="29" t="n"/>
      <c r="K958" s="67">
        <f>IF(base!I958&lt;&gt;"",VLOOKUP(I958,de_para!$A$1:$B$31,2,0)*base!J958,0)</f>
        <v/>
      </c>
      <c r="L958" s="38" t="n"/>
      <c r="M958" s="29" t="n"/>
      <c r="N958" s="67">
        <f>IF(base!L958&lt;&gt;"",VLOOKUP(L958,de_para!$A$1:$B$31,2,0)*base!M958,0)</f>
        <v/>
      </c>
      <c r="O958" s="38" t="n"/>
      <c r="P958" s="29" t="n"/>
      <c r="Q958" s="67">
        <f>IF(base!O958&lt;&gt;"",VLOOKUP(O958,de_para!$A$1:$B$31,2,0)*base!P958,0)</f>
        <v/>
      </c>
      <c r="R958" s="38" t="n"/>
      <c r="S958" s="29" t="n"/>
      <c r="T958" s="67">
        <f>IF(base!R958&lt;&gt;"",VLOOKUP(R958,de_para!$A$1:$B$31,2,0)*base!S958,0)</f>
        <v/>
      </c>
      <c r="U958" s="68">
        <f>H958+K958+N958+Q958+T958</f>
        <v/>
      </c>
    </row>
    <row r="959">
      <c r="A959" s="29" t="n"/>
      <c r="B959" s="29" t="n"/>
      <c r="C959" s="29" t="n"/>
      <c r="D959" s="29" t="n"/>
      <c r="E959" s="29" t="n"/>
      <c r="F959" s="29" t="n"/>
      <c r="G959" s="29" t="n"/>
      <c r="H959" s="67">
        <f>IF(base!F959&lt;&gt;"",VLOOKUP(F959,de_para!$A$1:$B$31,2,0)*base!G959,0)</f>
        <v/>
      </c>
      <c r="I959" s="38" t="n"/>
      <c r="J959" s="29" t="n"/>
      <c r="K959" s="67">
        <f>IF(base!I959&lt;&gt;"",VLOOKUP(I959,de_para!$A$1:$B$31,2,0)*base!J959,0)</f>
        <v/>
      </c>
      <c r="L959" s="38" t="n"/>
      <c r="M959" s="29" t="n"/>
      <c r="N959" s="67">
        <f>IF(base!L959&lt;&gt;"",VLOOKUP(L959,de_para!$A$1:$B$31,2,0)*base!M959,0)</f>
        <v/>
      </c>
      <c r="O959" s="38" t="n"/>
      <c r="P959" s="29" t="n"/>
      <c r="Q959" s="67">
        <f>IF(base!O959&lt;&gt;"",VLOOKUP(O959,de_para!$A$1:$B$31,2,0)*base!P959,0)</f>
        <v/>
      </c>
      <c r="R959" s="38" t="n"/>
      <c r="S959" s="29" t="n"/>
      <c r="T959" s="67">
        <f>IF(base!R959&lt;&gt;"",VLOOKUP(R959,de_para!$A$1:$B$31,2,0)*base!S959,0)</f>
        <v/>
      </c>
      <c r="U959" s="68">
        <f>H959+K959+N959+Q959+T959</f>
        <v/>
      </c>
    </row>
    <row r="960">
      <c r="A960" s="29" t="n"/>
      <c r="B960" s="29" t="n"/>
      <c r="C960" s="29" t="n"/>
      <c r="D960" s="29" t="n"/>
      <c r="E960" s="29" t="n"/>
      <c r="F960" s="29" t="n"/>
      <c r="G960" s="29" t="n"/>
      <c r="H960" s="67">
        <f>IF(base!F960&lt;&gt;"",VLOOKUP(F960,de_para!$A$1:$B$31,2,0)*base!G960,0)</f>
        <v/>
      </c>
      <c r="I960" s="38" t="n"/>
      <c r="J960" s="29" t="n"/>
      <c r="K960" s="67">
        <f>IF(base!I960&lt;&gt;"",VLOOKUP(I960,de_para!$A$1:$B$31,2,0)*base!J960,0)</f>
        <v/>
      </c>
      <c r="L960" s="38" t="n"/>
      <c r="M960" s="29" t="n"/>
      <c r="N960" s="67">
        <f>IF(base!L960&lt;&gt;"",VLOOKUP(L960,de_para!$A$1:$B$31,2,0)*base!M960,0)</f>
        <v/>
      </c>
      <c r="O960" s="38" t="n"/>
      <c r="P960" s="29" t="n"/>
      <c r="Q960" s="67">
        <f>IF(base!O960&lt;&gt;"",VLOOKUP(O960,de_para!$A$1:$B$31,2,0)*base!P960,0)</f>
        <v/>
      </c>
      <c r="R960" s="38" t="n"/>
      <c r="S960" s="29" t="n"/>
      <c r="T960" s="67">
        <f>IF(base!R960&lt;&gt;"",VLOOKUP(R960,de_para!$A$1:$B$31,2,0)*base!S960,0)</f>
        <v/>
      </c>
      <c r="U960" s="68">
        <f>H960+K960+N960+Q960+T960</f>
        <v/>
      </c>
    </row>
    <row r="961">
      <c r="A961" s="29" t="n"/>
      <c r="B961" s="29" t="n"/>
      <c r="C961" s="29" t="n"/>
      <c r="D961" s="29" t="n"/>
      <c r="E961" s="29" t="n"/>
      <c r="F961" s="29" t="n"/>
      <c r="G961" s="29" t="n"/>
      <c r="H961" s="67">
        <f>IF(base!F961&lt;&gt;"",VLOOKUP(F961,de_para!$A$1:$B$31,2,0)*base!G961,0)</f>
        <v/>
      </c>
      <c r="I961" s="38" t="n"/>
      <c r="J961" s="29" t="n"/>
      <c r="K961" s="67">
        <f>IF(base!I961&lt;&gt;"",VLOOKUP(I961,de_para!$A$1:$B$31,2,0)*base!J961,0)</f>
        <v/>
      </c>
      <c r="L961" s="38" t="n"/>
      <c r="M961" s="29" t="n"/>
      <c r="N961" s="67">
        <f>IF(base!L961&lt;&gt;"",VLOOKUP(L961,de_para!$A$1:$B$31,2,0)*base!M961,0)</f>
        <v/>
      </c>
      <c r="O961" s="38" t="n"/>
      <c r="P961" s="29" t="n"/>
      <c r="Q961" s="67">
        <f>IF(base!O961&lt;&gt;"",VLOOKUP(O961,de_para!$A$1:$B$31,2,0)*base!P961,0)</f>
        <v/>
      </c>
      <c r="R961" s="38" t="n"/>
      <c r="S961" s="29" t="n"/>
      <c r="T961" s="67">
        <f>IF(base!R961&lt;&gt;"",VLOOKUP(R961,de_para!$A$1:$B$31,2,0)*base!S961,0)</f>
        <v/>
      </c>
      <c r="U961" s="68">
        <f>H961+K961+N961+Q961+T961</f>
        <v/>
      </c>
    </row>
    <row r="962">
      <c r="A962" s="29" t="n"/>
      <c r="B962" s="29" t="n"/>
      <c r="C962" s="29" t="n"/>
      <c r="D962" s="29" t="n"/>
      <c r="E962" s="29" t="n"/>
      <c r="F962" s="29" t="n"/>
      <c r="G962" s="29" t="n"/>
      <c r="H962" s="67">
        <f>IF(base!F962&lt;&gt;"",VLOOKUP(F962,de_para!$A$1:$B$31,2,0)*base!G962,0)</f>
        <v/>
      </c>
      <c r="I962" s="38" t="n"/>
      <c r="J962" s="29" t="n"/>
      <c r="K962" s="67">
        <f>IF(base!I962&lt;&gt;"",VLOOKUP(I962,de_para!$A$1:$B$31,2,0)*base!J962,0)</f>
        <v/>
      </c>
      <c r="L962" s="38" t="n"/>
      <c r="M962" s="29" t="n"/>
      <c r="N962" s="67">
        <f>IF(base!L962&lt;&gt;"",VLOOKUP(L962,de_para!$A$1:$B$31,2,0)*base!M962,0)</f>
        <v/>
      </c>
      <c r="O962" s="38" t="n"/>
      <c r="P962" s="29" t="n"/>
      <c r="Q962" s="67">
        <f>IF(base!O962&lt;&gt;"",VLOOKUP(O962,de_para!$A$1:$B$31,2,0)*base!P962,0)</f>
        <v/>
      </c>
      <c r="R962" s="38" t="n"/>
      <c r="S962" s="29" t="n"/>
      <c r="T962" s="67">
        <f>IF(base!R962&lt;&gt;"",VLOOKUP(R962,de_para!$A$1:$B$31,2,0)*base!S962,0)</f>
        <v/>
      </c>
      <c r="U962" s="68">
        <f>H962+K962+N962+Q962+T962</f>
        <v/>
      </c>
    </row>
    <row r="963">
      <c r="A963" s="29" t="n"/>
      <c r="B963" s="29" t="n"/>
      <c r="C963" s="29" t="n"/>
      <c r="D963" s="29" t="n"/>
      <c r="E963" s="29" t="n"/>
      <c r="F963" s="29" t="n"/>
      <c r="G963" s="29" t="n"/>
      <c r="H963" s="67">
        <f>IF(base!F963&lt;&gt;"",VLOOKUP(F963,de_para!$A$1:$B$31,2,0)*base!G963,0)</f>
        <v/>
      </c>
      <c r="I963" s="38" t="n"/>
      <c r="J963" s="29" t="n"/>
      <c r="K963" s="67">
        <f>IF(base!I963&lt;&gt;"",VLOOKUP(I963,de_para!$A$1:$B$31,2,0)*base!J963,0)</f>
        <v/>
      </c>
      <c r="L963" s="38" t="n"/>
      <c r="M963" s="29" t="n"/>
      <c r="N963" s="67">
        <f>IF(base!L963&lt;&gt;"",VLOOKUP(L963,de_para!$A$1:$B$31,2,0)*base!M963,0)</f>
        <v/>
      </c>
      <c r="O963" s="38" t="n"/>
      <c r="P963" s="29" t="n"/>
      <c r="Q963" s="67">
        <f>IF(base!O963&lt;&gt;"",VLOOKUP(O963,de_para!$A$1:$B$31,2,0)*base!P963,0)</f>
        <v/>
      </c>
      <c r="R963" s="38" t="n"/>
      <c r="S963" s="29" t="n"/>
      <c r="T963" s="67">
        <f>IF(base!R963&lt;&gt;"",VLOOKUP(R963,de_para!$A$1:$B$31,2,0)*base!S963,0)</f>
        <v/>
      </c>
      <c r="U963" s="68">
        <f>H963+K963+N963+Q963+T963</f>
        <v/>
      </c>
    </row>
    <row r="964">
      <c r="A964" s="29" t="n"/>
      <c r="B964" s="29" t="n"/>
      <c r="C964" s="29" t="n"/>
      <c r="D964" s="29" t="n"/>
      <c r="E964" s="29" t="n"/>
      <c r="F964" s="29" t="n"/>
      <c r="G964" s="29" t="n"/>
      <c r="H964" s="67">
        <f>IF(base!F964&lt;&gt;"",VLOOKUP(F964,de_para!$A$1:$B$31,2,0)*base!G964,0)</f>
        <v/>
      </c>
      <c r="I964" s="38" t="n"/>
      <c r="J964" s="29" t="n"/>
      <c r="K964" s="67">
        <f>IF(base!I964&lt;&gt;"",VLOOKUP(I964,de_para!$A$1:$B$31,2,0)*base!J964,0)</f>
        <v/>
      </c>
      <c r="L964" s="38" t="n"/>
      <c r="M964" s="29" t="n"/>
      <c r="N964" s="67">
        <f>IF(base!L964&lt;&gt;"",VLOOKUP(L964,de_para!$A$1:$B$31,2,0)*base!M964,0)</f>
        <v/>
      </c>
      <c r="O964" s="38" t="n"/>
      <c r="P964" s="29" t="n"/>
      <c r="Q964" s="67">
        <f>IF(base!O964&lt;&gt;"",VLOOKUP(O964,de_para!$A$1:$B$31,2,0)*base!P964,0)</f>
        <v/>
      </c>
      <c r="R964" s="38" t="n"/>
      <c r="S964" s="29" t="n"/>
      <c r="T964" s="67">
        <f>IF(base!R964&lt;&gt;"",VLOOKUP(R964,de_para!$A$1:$B$31,2,0)*base!S964,0)</f>
        <v/>
      </c>
      <c r="U964" s="68">
        <f>H964+K964+N964+Q964+T964</f>
        <v/>
      </c>
    </row>
    <row r="965">
      <c r="A965" s="29" t="n"/>
      <c r="B965" s="29" t="n"/>
      <c r="C965" s="29" t="n"/>
      <c r="D965" s="29" t="n"/>
      <c r="E965" s="29" t="n"/>
      <c r="F965" s="29" t="n"/>
      <c r="G965" s="29" t="n"/>
      <c r="H965" s="67">
        <f>IF(base!F965&lt;&gt;"",VLOOKUP(F965,de_para!$A$1:$B$31,2,0)*base!G965,0)</f>
        <v/>
      </c>
      <c r="I965" s="38" t="n"/>
      <c r="J965" s="29" t="n"/>
      <c r="K965" s="67">
        <f>IF(base!I965&lt;&gt;"",VLOOKUP(I965,de_para!$A$1:$B$31,2,0)*base!J965,0)</f>
        <v/>
      </c>
      <c r="L965" s="38" t="n"/>
      <c r="M965" s="29" t="n"/>
      <c r="N965" s="67">
        <f>IF(base!L965&lt;&gt;"",VLOOKUP(L965,de_para!$A$1:$B$31,2,0)*base!M965,0)</f>
        <v/>
      </c>
      <c r="O965" s="38" t="n"/>
      <c r="P965" s="29" t="n"/>
      <c r="Q965" s="67">
        <f>IF(base!O965&lt;&gt;"",VLOOKUP(O965,de_para!$A$1:$B$31,2,0)*base!P965,0)</f>
        <v/>
      </c>
      <c r="R965" s="38" t="n"/>
      <c r="S965" s="29" t="n"/>
      <c r="T965" s="67">
        <f>IF(base!R965&lt;&gt;"",VLOOKUP(R965,de_para!$A$1:$B$31,2,0)*base!S965,0)</f>
        <v/>
      </c>
      <c r="U965" s="68">
        <f>H965+K965+N965+Q965+T965</f>
        <v/>
      </c>
    </row>
    <row r="966">
      <c r="A966" s="29" t="n"/>
      <c r="B966" s="29" t="n"/>
      <c r="C966" s="29" t="n"/>
      <c r="D966" s="29" t="n"/>
      <c r="E966" s="29" t="n"/>
      <c r="F966" s="29" t="n"/>
      <c r="G966" s="29" t="n"/>
      <c r="H966" s="67">
        <f>IF(base!F966&lt;&gt;"",VLOOKUP(F966,de_para!$A$1:$B$31,2,0)*base!G966,0)</f>
        <v/>
      </c>
      <c r="I966" s="38" t="n"/>
      <c r="J966" s="29" t="n"/>
      <c r="K966" s="67">
        <f>IF(base!I966&lt;&gt;"",VLOOKUP(I966,de_para!$A$1:$B$31,2,0)*base!J966,0)</f>
        <v/>
      </c>
      <c r="L966" s="38" t="n"/>
      <c r="M966" s="29" t="n"/>
      <c r="N966" s="67">
        <f>IF(base!L966&lt;&gt;"",VLOOKUP(L966,de_para!$A$1:$B$31,2,0)*base!M966,0)</f>
        <v/>
      </c>
      <c r="O966" s="38" t="n"/>
      <c r="P966" s="29" t="n"/>
      <c r="Q966" s="67">
        <f>IF(base!O966&lt;&gt;"",VLOOKUP(O966,de_para!$A$1:$B$31,2,0)*base!P966,0)</f>
        <v/>
      </c>
      <c r="R966" s="38" t="n"/>
      <c r="S966" s="29" t="n"/>
      <c r="T966" s="67">
        <f>IF(base!R966&lt;&gt;"",VLOOKUP(R966,de_para!$A$1:$B$31,2,0)*base!S966,0)</f>
        <v/>
      </c>
      <c r="U966" s="68">
        <f>H966+K966+N966+Q966+T966</f>
        <v/>
      </c>
    </row>
    <row r="967">
      <c r="A967" s="29" t="n"/>
      <c r="B967" s="29" t="n"/>
      <c r="C967" s="29" t="n"/>
      <c r="D967" s="29" t="n"/>
      <c r="E967" s="29" t="n"/>
      <c r="F967" s="29" t="n"/>
      <c r="G967" s="29" t="n"/>
      <c r="H967" s="67">
        <f>IF(base!F967&lt;&gt;"",VLOOKUP(F967,de_para!$A$1:$B$31,2,0)*base!G967,0)</f>
        <v/>
      </c>
      <c r="I967" s="38" t="n"/>
      <c r="J967" s="29" t="n"/>
      <c r="K967" s="67">
        <f>IF(base!I967&lt;&gt;"",VLOOKUP(I967,de_para!$A$1:$B$31,2,0)*base!J967,0)</f>
        <v/>
      </c>
      <c r="L967" s="38" t="n"/>
      <c r="M967" s="29" t="n"/>
      <c r="N967" s="67">
        <f>IF(base!L967&lt;&gt;"",VLOOKUP(L967,de_para!$A$1:$B$31,2,0)*base!M967,0)</f>
        <v/>
      </c>
      <c r="O967" s="38" t="n"/>
      <c r="P967" s="29" t="n"/>
      <c r="Q967" s="67">
        <f>IF(base!O967&lt;&gt;"",VLOOKUP(O967,de_para!$A$1:$B$31,2,0)*base!P967,0)</f>
        <v/>
      </c>
      <c r="R967" s="38" t="n"/>
      <c r="S967" s="29" t="n"/>
      <c r="T967" s="67">
        <f>IF(base!R967&lt;&gt;"",VLOOKUP(R967,de_para!$A$1:$B$31,2,0)*base!S967,0)</f>
        <v/>
      </c>
      <c r="U967" s="68">
        <f>H967+K967+N967+Q967+T967</f>
        <v/>
      </c>
    </row>
    <row r="968">
      <c r="A968" s="29" t="n"/>
      <c r="B968" s="29" t="n"/>
      <c r="C968" s="29" t="n"/>
      <c r="D968" s="29" t="n"/>
      <c r="E968" s="29" t="n"/>
      <c r="F968" s="29" t="n"/>
      <c r="G968" s="29" t="n"/>
      <c r="H968" s="67">
        <f>IF(base!F968&lt;&gt;"",VLOOKUP(F968,de_para!$A$1:$B$31,2,0)*base!G968,0)</f>
        <v/>
      </c>
      <c r="I968" s="38" t="n"/>
      <c r="J968" s="29" t="n"/>
      <c r="K968" s="67">
        <f>IF(base!I968&lt;&gt;"",VLOOKUP(I968,de_para!$A$1:$B$31,2,0)*base!J968,0)</f>
        <v/>
      </c>
      <c r="L968" s="38" t="n"/>
      <c r="M968" s="29" t="n"/>
      <c r="N968" s="67">
        <f>IF(base!L968&lt;&gt;"",VLOOKUP(L968,de_para!$A$1:$B$31,2,0)*base!M968,0)</f>
        <v/>
      </c>
      <c r="O968" s="38" t="n"/>
      <c r="P968" s="29" t="n"/>
      <c r="Q968" s="67">
        <f>IF(base!O968&lt;&gt;"",VLOOKUP(O968,de_para!$A$1:$B$31,2,0)*base!P968,0)</f>
        <v/>
      </c>
      <c r="R968" s="38" t="n"/>
      <c r="S968" s="29" t="n"/>
      <c r="T968" s="67">
        <f>IF(base!R968&lt;&gt;"",VLOOKUP(R968,de_para!$A$1:$B$31,2,0)*base!S968,0)</f>
        <v/>
      </c>
      <c r="U968" s="68">
        <f>H968+K968+N968+Q968+T968</f>
        <v/>
      </c>
    </row>
    <row r="969">
      <c r="A969" s="29" t="n"/>
      <c r="B969" s="29" t="n"/>
      <c r="C969" s="29" t="n"/>
      <c r="D969" s="29" t="n"/>
      <c r="E969" s="29" t="n"/>
      <c r="F969" s="29" t="n"/>
      <c r="G969" s="29" t="n"/>
      <c r="H969" s="67">
        <f>IF(base!F969&lt;&gt;"",VLOOKUP(F969,de_para!$A$1:$B$31,2,0)*base!G969,0)</f>
        <v/>
      </c>
      <c r="I969" s="38" t="n"/>
      <c r="J969" s="29" t="n"/>
      <c r="K969" s="67">
        <f>IF(base!I969&lt;&gt;"",VLOOKUP(I969,de_para!$A$1:$B$31,2,0)*base!J969,0)</f>
        <v/>
      </c>
      <c r="L969" s="38" t="n"/>
      <c r="M969" s="29" t="n"/>
      <c r="N969" s="67">
        <f>IF(base!L969&lt;&gt;"",VLOOKUP(L969,de_para!$A$1:$B$31,2,0)*base!M969,0)</f>
        <v/>
      </c>
      <c r="O969" s="38" t="n"/>
      <c r="P969" s="29" t="n"/>
      <c r="Q969" s="67">
        <f>IF(base!O969&lt;&gt;"",VLOOKUP(O969,de_para!$A$1:$B$31,2,0)*base!P969,0)</f>
        <v/>
      </c>
      <c r="R969" s="38" t="n"/>
      <c r="S969" s="29" t="n"/>
      <c r="T969" s="67">
        <f>IF(base!R969&lt;&gt;"",VLOOKUP(R969,de_para!$A$1:$B$31,2,0)*base!S969,0)</f>
        <v/>
      </c>
      <c r="U969" s="68">
        <f>H969+K969+N969+Q969+T969</f>
        <v/>
      </c>
    </row>
    <row r="970">
      <c r="A970" s="29" t="n"/>
      <c r="B970" s="29" t="n"/>
      <c r="C970" s="29" t="n"/>
      <c r="D970" s="29" t="n"/>
      <c r="E970" s="29" t="n"/>
      <c r="F970" s="29" t="n"/>
      <c r="G970" s="29" t="n"/>
      <c r="H970" s="67">
        <f>IF(base!F970&lt;&gt;"",VLOOKUP(F970,de_para!$A$1:$B$31,2,0)*base!G970,0)</f>
        <v/>
      </c>
      <c r="I970" s="38" t="n"/>
      <c r="J970" s="29" t="n"/>
      <c r="K970" s="67">
        <f>IF(base!I970&lt;&gt;"",VLOOKUP(I970,de_para!$A$1:$B$31,2,0)*base!J970,0)</f>
        <v/>
      </c>
      <c r="L970" s="38" t="n"/>
      <c r="M970" s="29" t="n"/>
      <c r="N970" s="67">
        <f>IF(base!L970&lt;&gt;"",VLOOKUP(L970,de_para!$A$1:$B$31,2,0)*base!M970,0)</f>
        <v/>
      </c>
      <c r="O970" s="38" t="n"/>
      <c r="P970" s="29" t="n"/>
      <c r="Q970" s="67">
        <f>IF(base!O970&lt;&gt;"",VLOOKUP(O970,de_para!$A$1:$B$31,2,0)*base!P970,0)</f>
        <v/>
      </c>
      <c r="R970" s="38" t="n"/>
      <c r="S970" s="29" t="n"/>
      <c r="T970" s="67">
        <f>IF(base!R970&lt;&gt;"",VLOOKUP(R970,de_para!$A$1:$B$31,2,0)*base!S970,0)</f>
        <v/>
      </c>
      <c r="U970" s="68">
        <f>H970+K970+N970+Q970+T970</f>
        <v/>
      </c>
    </row>
    <row r="971">
      <c r="A971" s="29" t="n"/>
      <c r="B971" s="29" t="n"/>
      <c r="C971" s="29" t="n"/>
      <c r="D971" s="29" t="n"/>
      <c r="E971" s="29" t="n"/>
      <c r="F971" s="29" t="n"/>
      <c r="G971" s="29" t="n"/>
      <c r="H971" s="67">
        <f>IF(base!F971&lt;&gt;"",VLOOKUP(F971,de_para!$A$1:$B$31,2,0)*base!G971,0)</f>
        <v/>
      </c>
      <c r="I971" s="38" t="n"/>
      <c r="J971" s="29" t="n"/>
      <c r="K971" s="67">
        <f>IF(base!I971&lt;&gt;"",VLOOKUP(I971,de_para!$A$1:$B$31,2,0)*base!J971,0)</f>
        <v/>
      </c>
      <c r="L971" s="38" t="n"/>
      <c r="M971" s="29" t="n"/>
      <c r="N971" s="67">
        <f>IF(base!L971&lt;&gt;"",VLOOKUP(L971,de_para!$A$1:$B$31,2,0)*base!M971,0)</f>
        <v/>
      </c>
      <c r="O971" s="38" t="n"/>
      <c r="P971" s="29" t="n"/>
      <c r="Q971" s="67">
        <f>IF(base!O971&lt;&gt;"",VLOOKUP(O971,de_para!$A$1:$B$31,2,0)*base!P971,0)</f>
        <v/>
      </c>
      <c r="R971" s="38" t="n"/>
      <c r="S971" s="29" t="n"/>
      <c r="T971" s="67">
        <f>IF(base!R971&lt;&gt;"",VLOOKUP(R971,de_para!$A$1:$B$31,2,0)*base!S971,0)</f>
        <v/>
      </c>
      <c r="U971" s="68">
        <f>H971+K971+N971+Q971+T971</f>
        <v/>
      </c>
    </row>
    <row r="972">
      <c r="A972" s="29" t="n"/>
      <c r="B972" s="29" t="n"/>
      <c r="C972" s="29" t="n"/>
      <c r="D972" s="29" t="n"/>
      <c r="E972" s="29" t="n"/>
      <c r="F972" s="29" t="n"/>
      <c r="G972" s="29" t="n"/>
      <c r="H972" s="67">
        <f>IF(base!F972&lt;&gt;"",VLOOKUP(F972,de_para!$A$1:$B$31,2,0)*base!G972,0)</f>
        <v/>
      </c>
      <c r="I972" s="38" t="n"/>
      <c r="J972" s="29" t="n"/>
      <c r="K972" s="67">
        <f>IF(base!I972&lt;&gt;"",VLOOKUP(I972,de_para!$A$1:$B$31,2,0)*base!J972,0)</f>
        <v/>
      </c>
      <c r="L972" s="38" t="n"/>
      <c r="M972" s="29" t="n"/>
      <c r="N972" s="67">
        <f>IF(base!L972&lt;&gt;"",VLOOKUP(L972,de_para!$A$1:$B$31,2,0)*base!M972,0)</f>
        <v/>
      </c>
      <c r="O972" s="38" t="n"/>
      <c r="P972" s="29" t="n"/>
      <c r="Q972" s="67">
        <f>IF(base!O972&lt;&gt;"",VLOOKUP(O972,de_para!$A$1:$B$31,2,0)*base!P972,0)</f>
        <v/>
      </c>
      <c r="R972" s="38" t="n"/>
      <c r="S972" s="29" t="n"/>
      <c r="T972" s="67">
        <f>IF(base!R972&lt;&gt;"",VLOOKUP(R972,de_para!$A$1:$B$31,2,0)*base!S972,0)</f>
        <v/>
      </c>
      <c r="U972" s="68">
        <f>H972+K972+N972+Q972+T972</f>
        <v/>
      </c>
    </row>
    <row r="973">
      <c r="A973" s="29" t="n"/>
      <c r="B973" s="29" t="n"/>
      <c r="C973" s="29" t="n"/>
      <c r="D973" s="29" t="n"/>
      <c r="E973" s="29" t="n"/>
      <c r="F973" s="29" t="n"/>
      <c r="G973" s="29" t="n"/>
      <c r="H973" s="67">
        <f>IF(base!F973&lt;&gt;"",VLOOKUP(F973,de_para!$A$1:$B$31,2,0)*base!G973,0)</f>
        <v/>
      </c>
      <c r="I973" s="38" t="n"/>
      <c r="J973" s="29" t="n"/>
      <c r="K973" s="67">
        <f>IF(base!I973&lt;&gt;"",VLOOKUP(I973,de_para!$A$1:$B$31,2,0)*base!J973,0)</f>
        <v/>
      </c>
      <c r="L973" s="38" t="n"/>
      <c r="M973" s="29" t="n"/>
      <c r="N973" s="67">
        <f>IF(base!L973&lt;&gt;"",VLOOKUP(L973,de_para!$A$1:$B$31,2,0)*base!M973,0)</f>
        <v/>
      </c>
      <c r="O973" s="38" t="n"/>
      <c r="P973" s="29" t="n"/>
      <c r="Q973" s="67">
        <f>IF(base!O973&lt;&gt;"",VLOOKUP(O973,de_para!$A$1:$B$31,2,0)*base!P973,0)</f>
        <v/>
      </c>
      <c r="R973" s="38" t="n"/>
      <c r="S973" s="29" t="n"/>
      <c r="T973" s="67">
        <f>IF(base!R973&lt;&gt;"",VLOOKUP(R973,de_para!$A$1:$B$31,2,0)*base!S973,0)</f>
        <v/>
      </c>
      <c r="U973" s="68">
        <f>H973+K973+N973+Q973+T973</f>
        <v/>
      </c>
    </row>
    <row r="974">
      <c r="A974" s="29" t="n"/>
      <c r="B974" s="29" t="n"/>
      <c r="C974" s="29" t="n"/>
      <c r="D974" s="29" t="n"/>
      <c r="E974" s="29" t="n"/>
      <c r="F974" s="29" t="n"/>
      <c r="G974" s="29" t="n"/>
      <c r="H974" s="67">
        <f>IF(base!F974&lt;&gt;"",VLOOKUP(F974,de_para!$A$1:$B$31,2,0)*base!G974,0)</f>
        <v/>
      </c>
      <c r="I974" s="38" t="n"/>
      <c r="J974" s="29" t="n"/>
      <c r="K974" s="67">
        <f>IF(base!I974&lt;&gt;"",VLOOKUP(I974,de_para!$A$1:$B$31,2,0)*base!J974,0)</f>
        <v/>
      </c>
      <c r="L974" s="38" t="n"/>
      <c r="M974" s="29" t="n"/>
      <c r="N974" s="67">
        <f>IF(base!L974&lt;&gt;"",VLOOKUP(L974,de_para!$A$1:$B$31,2,0)*base!M974,0)</f>
        <v/>
      </c>
      <c r="O974" s="38" t="n"/>
      <c r="P974" s="29" t="n"/>
      <c r="Q974" s="67">
        <f>IF(base!O974&lt;&gt;"",VLOOKUP(O974,de_para!$A$1:$B$31,2,0)*base!P974,0)</f>
        <v/>
      </c>
      <c r="R974" s="38" t="n"/>
      <c r="S974" s="29" t="n"/>
      <c r="T974" s="67">
        <f>IF(base!R974&lt;&gt;"",VLOOKUP(R974,de_para!$A$1:$B$31,2,0)*base!S974,0)</f>
        <v/>
      </c>
      <c r="U974" s="68">
        <f>H974+K974+N974+Q974+T974</f>
        <v/>
      </c>
    </row>
    <row r="975">
      <c r="A975" s="29" t="n"/>
      <c r="B975" s="29" t="n"/>
      <c r="C975" s="29" t="n"/>
      <c r="D975" s="29" t="n"/>
      <c r="E975" s="29" t="n"/>
      <c r="F975" s="29" t="n"/>
      <c r="G975" s="29" t="n"/>
      <c r="H975" s="67">
        <f>IF(base!F975&lt;&gt;"",VLOOKUP(F975,de_para!$A$1:$B$31,2,0)*base!G975,0)</f>
        <v/>
      </c>
      <c r="I975" s="38" t="n"/>
      <c r="J975" s="29" t="n"/>
      <c r="K975" s="67">
        <f>IF(base!I975&lt;&gt;"",VLOOKUP(I975,de_para!$A$1:$B$31,2,0)*base!J975,0)</f>
        <v/>
      </c>
      <c r="L975" s="38" t="n"/>
      <c r="M975" s="29" t="n"/>
      <c r="N975" s="67">
        <f>IF(base!L975&lt;&gt;"",VLOOKUP(L975,de_para!$A$1:$B$31,2,0)*base!M975,0)</f>
        <v/>
      </c>
      <c r="O975" s="38" t="n"/>
      <c r="P975" s="29" t="n"/>
      <c r="Q975" s="67">
        <f>IF(base!O975&lt;&gt;"",VLOOKUP(O975,de_para!$A$1:$B$31,2,0)*base!P975,0)</f>
        <v/>
      </c>
      <c r="R975" s="38" t="n"/>
      <c r="S975" s="29" t="n"/>
      <c r="T975" s="67">
        <f>IF(base!R975&lt;&gt;"",VLOOKUP(R975,de_para!$A$1:$B$31,2,0)*base!S975,0)</f>
        <v/>
      </c>
      <c r="U975" s="68">
        <f>H975+K975+N975+Q975+T975</f>
        <v/>
      </c>
    </row>
    <row r="976">
      <c r="A976" s="29" t="n"/>
      <c r="B976" s="29" t="n"/>
      <c r="C976" s="29" t="n"/>
      <c r="D976" s="29" t="n"/>
      <c r="E976" s="29" t="n"/>
      <c r="F976" s="29" t="n"/>
      <c r="G976" s="29" t="n"/>
      <c r="H976" s="67">
        <f>IF(base!F976&lt;&gt;"",VLOOKUP(F976,de_para!$A$1:$B$31,2,0)*base!G976,0)</f>
        <v/>
      </c>
      <c r="I976" s="38" t="n"/>
      <c r="J976" s="29" t="n"/>
      <c r="K976" s="67">
        <f>IF(base!I976&lt;&gt;"",VLOOKUP(I976,de_para!$A$1:$B$31,2,0)*base!J976,0)</f>
        <v/>
      </c>
      <c r="L976" s="38" t="n"/>
      <c r="M976" s="29" t="n"/>
      <c r="N976" s="67">
        <f>IF(base!L976&lt;&gt;"",VLOOKUP(L976,de_para!$A$1:$B$31,2,0)*base!M976,0)</f>
        <v/>
      </c>
      <c r="O976" s="38" t="n"/>
      <c r="P976" s="29" t="n"/>
      <c r="Q976" s="67">
        <f>IF(base!O976&lt;&gt;"",VLOOKUP(O976,de_para!$A$1:$B$31,2,0)*base!P976,0)</f>
        <v/>
      </c>
      <c r="R976" s="38" t="n"/>
      <c r="S976" s="29" t="n"/>
      <c r="T976" s="67">
        <f>IF(base!R976&lt;&gt;"",VLOOKUP(R976,de_para!$A$1:$B$31,2,0)*base!S976,0)</f>
        <v/>
      </c>
      <c r="U976" s="68">
        <f>H976+K976+N976+Q976+T976</f>
        <v/>
      </c>
    </row>
    <row r="977">
      <c r="A977" s="29" t="n"/>
      <c r="B977" s="29" t="n"/>
      <c r="C977" s="29" t="n"/>
      <c r="D977" s="29" t="n"/>
      <c r="E977" s="29" t="n"/>
      <c r="F977" s="29" t="n"/>
      <c r="G977" s="29" t="n"/>
      <c r="H977" s="67">
        <f>IF(base!F977&lt;&gt;"",VLOOKUP(F977,de_para!$A$1:$B$31,2,0)*base!G977,0)</f>
        <v/>
      </c>
      <c r="I977" s="38" t="n"/>
      <c r="J977" s="29" t="n"/>
      <c r="K977" s="67">
        <f>IF(base!I977&lt;&gt;"",VLOOKUP(I977,de_para!$A$1:$B$31,2,0)*base!J977,0)</f>
        <v/>
      </c>
      <c r="L977" s="38" t="n"/>
      <c r="M977" s="29" t="n"/>
      <c r="N977" s="67">
        <f>IF(base!L977&lt;&gt;"",VLOOKUP(L977,de_para!$A$1:$B$31,2,0)*base!M977,0)</f>
        <v/>
      </c>
      <c r="O977" s="38" t="n"/>
      <c r="P977" s="29" t="n"/>
      <c r="Q977" s="67">
        <f>IF(base!O977&lt;&gt;"",VLOOKUP(O977,de_para!$A$1:$B$31,2,0)*base!P977,0)</f>
        <v/>
      </c>
      <c r="R977" s="38" t="n"/>
      <c r="S977" s="29" t="n"/>
      <c r="T977" s="67">
        <f>IF(base!R977&lt;&gt;"",VLOOKUP(R977,de_para!$A$1:$B$31,2,0)*base!S977,0)</f>
        <v/>
      </c>
      <c r="U977" s="68">
        <f>H977+K977+N977+Q977+T977</f>
        <v/>
      </c>
    </row>
    <row r="978">
      <c r="A978" s="29" t="n"/>
      <c r="B978" s="29" t="n"/>
      <c r="C978" s="29" t="n"/>
      <c r="D978" s="29" t="n"/>
      <c r="E978" s="29" t="n"/>
      <c r="F978" s="29" t="n"/>
      <c r="G978" s="29" t="n"/>
      <c r="H978" s="67">
        <f>IF(base!F978&lt;&gt;"",VLOOKUP(F978,de_para!$A$1:$B$31,2,0)*base!G978,0)</f>
        <v/>
      </c>
      <c r="I978" s="38" t="n"/>
      <c r="J978" s="29" t="n"/>
      <c r="K978" s="67">
        <f>IF(base!I978&lt;&gt;"",VLOOKUP(I978,de_para!$A$1:$B$31,2,0)*base!J978,0)</f>
        <v/>
      </c>
      <c r="L978" s="38" t="n"/>
      <c r="M978" s="29" t="n"/>
      <c r="N978" s="67">
        <f>IF(base!L978&lt;&gt;"",VLOOKUP(L978,de_para!$A$1:$B$31,2,0)*base!M978,0)</f>
        <v/>
      </c>
      <c r="O978" s="38" t="n"/>
      <c r="P978" s="29" t="n"/>
      <c r="Q978" s="67">
        <f>IF(base!O978&lt;&gt;"",VLOOKUP(O978,de_para!$A$1:$B$31,2,0)*base!P978,0)</f>
        <v/>
      </c>
      <c r="R978" s="38" t="n"/>
      <c r="S978" s="29" t="n"/>
      <c r="T978" s="67">
        <f>IF(base!R978&lt;&gt;"",VLOOKUP(R978,de_para!$A$1:$B$31,2,0)*base!S978,0)</f>
        <v/>
      </c>
      <c r="U978" s="68">
        <f>H978+K978+N978+Q978+T978</f>
        <v/>
      </c>
    </row>
    <row r="979">
      <c r="A979" s="29" t="n"/>
      <c r="B979" s="29" t="n"/>
      <c r="C979" s="29" t="n"/>
      <c r="D979" s="29" t="n"/>
      <c r="E979" s="29" t="n"/>
      <c r="F979" s="29" t="n"/>
      <c r="G979" s="29" t="n"/>
      <c r="H979" s="67">
        <f>IF(base!F979&lt;&gt;"",VLOOKUP(F979,de_para!$A$1:$B$31,2,0)*base!G979,0)</f>
        <v/>
      </c>
      <c r="I979" s="38" t="n"/>
      <c r="J979" s="29" t="n"/>
      <c r="K979" s="67">
        <f>IF(base!I979&lt;&gt;"",VLOOKUP(I979,de_para!$A$1:$B$31,2,0)*base!J979,0)</f>
        <v/>
      </c>
      <c r="L979" s="38" t="n"/>
      <c r="M979" s="29" t="n"/>
      <c r="N979" s="67">
        <f>IF(base!L979&lt;&gt;"",VLOOKUP(L979,de_para!$A$1:$B$31,2,0)*base!M979,0)</f>
        <v/>
      </c>
      <c r="O979" s="38" t="n"/>
      <c r="P979" s="29" t="n"/>
      <c r="Q979" s="67">
        <f>IF(base!O979&lt;&gt;"",VLOOKUP(O979,de_para!$A$1:$B$31,2,0)*base!P979,0)</f>
        <v/>
      </c>
      <c r="R979" s="38" t="n"/>
      <c r="S979" s="29" t="n"/>
      <c r="T979" s="67">
        <f>IF(base!R979&lt;&gt;"",VLOOKUP(R979,de_para!$A$1:$B$31,2,0)*base!S979,0)</f>
        <v/>
      </c>
      <c r="U979" s="68">
        <f>H979+K979+N979+Q979+T979</f>
        <v/>
      </c>
    </row>
    <row r="980">
      <c r="A980" s="29" t="n"/>
      <c r="B980" s="29" t="n"/>
      <c r="C980" s="29" t="n"/>
      <c r="D980" s="29" t="n"/>
      <c r="E980" s="29" t="n"/>
      <c r="F980" s="29" t="n"/>
      <c r="G980" s="29" t="n"/>
      <c r="H980" s="67">
        <f>IF(base!F980&lt;&gt;"",VLOOKUP(F980,de_para!$A$1:$B$31,2,0)*base!G980,0)</f>
        <v/>
      </c>
      <c r="I980" s="38" t="n"/>
      <c r="J980" s="29" t="n"/>
      <c r="K980" s="67">
        <f>IF(base!I980&lt;&gt;"",VLOOKUP(I980,de_para!$A$1:$B$31,2,0)*base!J980,0)</f>
        <v/>
      </c>
      <c r="L980" s="38" t="n"/>
      <c r="M980" s="29" t="n"/>
      <c r="N980" s="67">
        <f>IF(base!L980&lt;&gt;"",VLOOKUP(L980,de_para!$A$1:$B$31,2,0)*base!M980,0)</f>
        <v/>
      </c>
      <c r="O980" s="38" t="n"/>
      <c r="P980" s="29" t="n"/>
      <c r="Q980" s="67">
        <f>IF(base!O980&lt;&gt;"",VLOOKUP(O980,de_para!$A$1:$B$31,2,0)*base!P980,0)</f>
        <v/>
      </c>
      <c r="R980" s="38" t="n"/>
      <c r="S980" s="29" t="n"/>
      <c r="T980" s="67">
        <f>IF(base!R980&lt;&gt;"",VLOOKUP(R980,de_para!$A$1:$B$31,2,0)*base!S980,0)</f>
        <v/>
      </c>
      <c r="U980" s="68">
        <f>H980+K980+N980+Q980+T980</f>
        <v/>
      </c>
    </row>
    <row r="981">
      <c r="A981" s="29" t="n"/>
      <c r="B981" s="29" t="n"/>
      <c r="C981" s="29" t="n"/>
      <c r="D981" s="29" t="n"/>
      <c r="E981" s="29" t="n"/>
      <c r="F981" s="29" t="n"/>
      <c r="G981" s="29" t="n"/>
      <c r="H981" s="67">
        <f>IF(base!F981&lt;&gt;"",VLOOKUP(F981,de_para!$A$1:$B$31,2,0)*base!G981,0)</f>
        <v/>
      </c>
      <c r="I981" s="38" t="n"/>
      <c r="J981" s="29" t="n"/>
      <c r="K981" s="67">
        <f>IF(base!I981&lt;&gt;"",VLOOKUP(I981,de_para!$A$1:$B$31,2,0)*base!J981,0)</f>
        <v/>
      </c>
      <c r="L981" s="38" t="n"/>
      <c r="M981" s="29" t="n"/>
      <c r="N981" s="67">
        <f>IF(base!L981&lt;&gt;"",VLOOKUP(L981,de_para!$A$1:$B$31,2,0)*base!M981,0)</f>
        <v/>
      </c>
      <c r="O981" s="38" t="n"/>
      <c r="P981" s="29" t="n"/>
      <c r="Q981" s="67">
        <f>IF(base!O981&lt;&gt;"",VLOOKUP(O981,de_para!$A$1:$B$31,2,0)*base!P981,0)</f>
        <v/>
      </c>
      <c r="R981" s="38" t="n"/>
      <c r="S981" s="29" t="n"/>
      <c r="T981" s="67">
        <f>IF(base!R981&lt;&gt;"",VLOOKUP(R981,de_para!$A$1:$B$31,2,0)*base!S981,0)</f>
        <v/>
      </c>
      <c r="U981" s="68">
        <f>H981+K981+N981+Q981+T981</f>
        <v/>
      </c>
    </row>
    <row r="982">
      <c r="A982" s="29" t="n"/>
      <c r="B982" s="29" t="n"/>
      <c r="C982" s="29" t="n"/>
      <c r="D982" s="29" t="n"/>
      <c r="E982" s="29" t="n"/>
      <c r="F982" s="29" t="n"/>
      <c r="G982" s="29" t="n"/>
      <c r="H982" s="67">
        <f>IF(base!F982&lt;&gt;"",VLOOKUP(F982,de_para!$A$1:$B$31,2,0)*base!G982,0)</f>
        <v/>
      </c>
      <c r="I982" s="38" t="n"/>
      <c r="J982" s="29" t="n"/>
      <c r="K982" s="67">
        <f>IF(base!I982&lt;&gt;"",VLOOKUP(I982,de_para!$A$1:$B$31,2,0)*base!J982,0)</f>
        <v/>
      </c>
      <c r="L982" s="38" t="n"/>
      <c r="M982" s="29" t="n"/>
      <c r="N982" s="67">
        <f>IF(base!L982&lt;&gt;"",VLOOKUP(L982,de_para!$A$1:$B$31,2,0)*base!M982,0)</f>
        <v/>
      </c>
      <c r="O982" s="38" t="n"/>
      <c r="P982" s="29" t="n"/>
      <c r="Q982" s="67">
        <f>IF(base!O982&lt;&gt;"",VLOOKUP(O982,de_para!$A$1:$B$31,2,0)*base!P982,0)</f>
        <v/>
      </c>
      <c r="R982" s="38" t="n"/>
      <c r="S982" s="29" t="n"/>
      <c r="T982" s="67">
        <f>IF(base!R982&lt;&gt;"",VLOOKUP(R982,de_para!$A$1:$B$31,2,0)*base!S982,0)</f>
        <v/>
      </c>
      <c r="U982" s="68">
        <f>H982+K982+N982+Q982+T982</f>
        <v/>
      </c>
    </row>
    <row r="983">
      <c r="A983" s="29" t="n"/>
      <c r="B983" s="29" t="n"/>
      <c r="C983" s="29" t="n"/>
      <c r="D983" s="29" t="n"/>
      <c r="E983" s="29" t="n"/>
      <c r="F983" s="29" t="n"/>
      <c r="G983" s="29" t="n"/>
      <c r="H983" s="67">
        <f>IF(base!F983&lt;&gt;"",VLOOKUP(F983,de_para!$A$1:$B$31,2,0)*base!G983,0)</f>
        <v/>
      </c>
      <c r="I983" s="38" t="n"/>
      <c r="J983" s="29" t="n"/>
      <c r="K983" s="67">
        <f>IF(base!I983&lt;&gt;"",VLOOKUP(I983,de_para!$A$1:$B$31,2,0)*base!J983,0)</f>
        <v/>
      </c>
      <c r="L983" s="38" t="n"/>
      <c r="M983" s="29" t="n"/>
      <c r="N983" s="67">
        <f>IF(base!L983&lt;&gt;"",VLOOKUP(L983,de_para!$A$1:$B$31,2,0)*base!M983,0)</f>
        <v/>
      </c>
      <c r="O983" s="38" t="n"/>
      <c r="P983" s="29" t="n"/>
      <c r="Q983" s="67">
        <f>IF(base!O983&lt;&gt;"",VLOOKUP(O983,de_para!$A$1:$B$31,2,0)*base!P983,0)</f>
        <v/>
      </c>
      <c r="R983" s="38" t="n"/>
      <c r="S983" s="29" t="n"/>
      <c r="T983" s="67">
        <f>IF(base!R983&lt;&gt;"",VLOOKUP(R983,de_para!$A$1:$B$31,2,0)*base!S983,0)</f>
        <v/>
      </c>
      <c r="U983" s="68">
        <f>H983+K983+N983+Q983+T983</f>
        <v/>
      </c>
    </row>
    <row r="984">
      <c r="A984" s="29" t="n"/>
      <c r="B984" s="29" t="n"/>
      <c r="C984" s="29" t="n"/>
      <c r="D984" s="29" t="n"/>
      <c r="E984" s="29" t="n"/>
      <c r="F984" s="29" t="n"/>
      <c r="G984" s="29" t="n"/>
      <c r="H984" s="67">
        <f>IF(base!F984&lt;&gt;"",VLOOKUP(F984,de_para!$A$1:$B$31,2,0)*base!G984,0)</f>
        <v/>
      </c>
      <c r="I984" s="38" t="n"/>
      <c r="J984" s="29" t="n"/>
      <c r="K984" s="67">
        <f>IF(base!I984&lt;&gt;"",VLOOKUP(I984,de_para!$A$1:$B$31,2,0)*base!J984,0)</f>
        <v/>
      </c>
      <c r="L984" s="38" t="n"/>
      <c r="M984" s="29" t="n"/>
      <c r="N984" s="67">
        <f>IF(base!L984&lt;&gt;"",VLOOKUP(L984,de_para!$A$1:$B$31,2,0)*base!M984,0)</f>
        <v/>
      </c>
      <c r="O984" s="38" t="n"/>
      <c r="P984" s="29" t="n"/>
      <c r="Q984" s="67">
        <f>IF(base!O984&lt;&gt;"",VLOOKUP(O984,de_para!$A$1:$B$31,2,0)*base!P984,0)</f>
        <v/>
      </c>
      <c r="R984" s="38" t="n"/>
      <c r="S984" s="29" t="n"/>
      <c r="T984" s="67">
        <f>IF(base!R984&lt;&gt;"",VLOOKUP(R984,de_para!$A$1:$B$31,2,0)*base!S984,0)</f>
        <v/>
      </c>
      <c r="U984" s="68">
        <f>H984+K984+N984+Q984+T984</f>
        <v/>
      </c>
    </row>
    <row r="985">
      <c r="A985" s="29" t="n"/>
      <c r="B985" s="29" t="n"/>
      <c r="C985" s="29" t="n"/>
      <c r="D985" s="29" t="n"/>
      <c r="E985" s="29" t="n"/>
      <c r="F985" s="29" t="n"/>
      <c r="G985" s="29" t="n"/>
      <c r="H985" s="67">
        <f>IF(base!F985&lt;&gt;"",VLOOKUP(F985,de_para!$A$1:$B$31,2,0)*base!G985,0)</f>
        <v/>
      </c>
      <c r="I985" s="38" t="n"/>
      <c r="J985" s="29" t="n"/>
      <c r="K985" s="67">
        <f>IF(base!I985&lt;&gt;"",VLOOKUP(I985,de_para!$A$1:$B$31,2,0)*base!J985,0)</f>
        <v/>
      </c>
      <c r="L985" s="38" t="n"/>
      <c r="M985" s="29" t="n"/>
      <c r="N985" s="67">
        <f>IF(base!L985&lt;&gt;"",VLOOKUP(L985,de_para!$A$1:$B$31,2,0)*base!M985,0)</f>
        <v/>
      </c>
      <c r="O985" s="38" t="n"/>
      <c r="P985" s="29" t="n"/>
      <c r="Q985" s="67">
        <f>IF(base!O985&lt;&gt;"",VLOOKUP(O985,de_para!$A$1:$B$31,2,0)*base!P985,0)</f>
        <v/>
      </c>
      <c r="R985" s="38" t="n"/>
      <c r="S985" s="29" t="n"/>
      <c r="T985" s="67">
        <f>IF(base!R985&lt;&gt;"",VLOOKUP(R985,de_para!$A$1:$B$31,2,0)*base!S985,0)</f>
        <v/>
      </c>
      <c r="U985" s="68">
        <f>H985+K985+N985+Q985+T985</f>
        <v/>
      </c>
    </row>
    <row r="986">
      <c r="A986" s="29" t="n"/>
      <c r="B986" s="29" t="n"/>
      <c r="C986" s="29" t="n"/>
      <c r="D986" s="29" t="n"/>
      <c r="E986" s="29" t="n"/>
      <c r="F986" s="29" t="n"/>
      <c r="G986" s="29" t="n"/>
      <c r="H986" s="67">
        <f>IF(base!F986&lt;&gt;"",VLOOKUP(F986,de_para!$A$1:$B$31,2,0)*base!G986,0)</f>
        <v/>
      </c>
      <c r="I986" s="38" t="n"/>
      <c r="J986" s="29" t="n"/>
      <c r="K986" s="67">
        <f>IF(base!I986&lt;&gt;"",VLOOKUP(I986,de_para!$A$1:$B$31,2,0)*base!J986,0)</f>
        <v/>
      </c>
      <c r="L986" s="38" t="n"/>
      <c r="M986" s="29" t="n"/>
      <c r="N986" s="67">
        <f>IF(base!L986&lt;&gt;"",VLOOKUP(L986,de_para!$A$1:$B$31,2,0)*base!M986,0)</f>
        <v/>
      </c>
      <c r="O986" s="38" t="n"/>
      <c r="P986" s="29" t="n"/>
      <c r="Q986" s="67">
        <f>IF(base!O986&lt;&gt;"",VLOOKUP(O986,de_para!$A$1:$B$31,2,0)*base!P986,0)</f>
        <v/>
      </c>
      <c r="R986" s="38" t="n"/>
      <c r="S986" s="29" t="n"/>
      <c r="T986" s="67">
        <f>IF(base!R986&lt;&gt;"",VLOOKUP(R986,de_para!$A$1:$B$31,2,0)*base!S986,0)</f>
        <v/>
      </c>
      <c r="U986" s="68">
        <f>H986+K986+N986+Q986+T986</f>
        <v/>
      </c>
    </row>
    <row r="987">
      <c r="A987" s="29" t="n"/>
      <c r="B987" s="29" t="n"/>
      <c r="C987" s="29" t="n"/>
      <c r="D987" s="29" t="n"/>
      <c r="E987" s="29" t="n"/>
      <c r="F987" s="29" t="n"/>
      <c r="G987" s="29" t="n"/>
      <c r="H987" s="67">
        <f>IF(base!F987&lt;&gt;"",VLOOKUP(F987,de_para!$A$1:$B$31,2,0)*base!G987,0)</f>
        <v/>
      </c>
      <c r="I987" s="38" t="n"/>
      <c r="J987" s="29" t="n"/>
      <c r="K987" s="67">
        <f>IF(base!I987&lt;&gt;"",VLOOKUP(I987,de_para!$A$1:$B$31,2,0)*base!J987,0)</f>
        <v/>
      </c>
      <c r="L987" s="38" t="n"/>
      <c r="M987" s="29" t="n"/>
      <c r="N987" s="67">
        <f>IF(base!L987&lt;&gt;"",VLOOKUP(L987,de_para!$A$1:$B$31,2,0)*base!M987,0)</f>
        <v/>
      </c>
      <c r="O987" s="38" t="n"/>
      <c r="P987" s="29" t="n"/>
      <c r="Q987" s="67">
        <f>IF(base!O987&lt;&gt;"",VLOOKUP(O987,de_para!$A$1:$B$31,2,0)*base!P987,0)</f>
        <v/>
      </c>
      <c r="R987" s="38" t="n"/>
      <c r="S987" s="29" t="n"/>
      <c r="T987" s="67">
        <f>IF(base!R987&lt;&gt;"",VLOOKUP(R987,de_para!$A$1:$B$31,2,0)*base!S987,0)</f>
        <v/>
      </c>
      <c r="U987" s="68">
        <f>H987+K987+N987+Q987+T987</f>
        <v/>
      </c>
    </row>
    <row r="988">
      <c r="A988" s="29" t="n"/>
      <c r="B988" s="29" t="n"/>
      <c r="C988" s="29" t="n"/>
      <c r="D988" s="29" t="n"/>
      <c r="E988" s="29" t="n"/>
      <c r="F988" s="29" t="n"/>
      <c r="G988" s="29" t="n"/>
      <c r="H988" s="67">
        <f>IF(base!F988&lt;&gt;"",VLOOKUP(F988,de_para!$A$1:$B$31,2,0)*base!G988,0)</f>
        <v/>
      </c>
      <c r="I988" s="38" t="n"/>
      <c r="J988" s="29" t="n"/>
      <c r="K988" s="67">
        <f>IF(base!I988&lt;&gt;"",VLOOKUP(I988,de_para!$A$1:$B$31,2,0)*base!J988,0)</f>
        <v/>
      </c>
      <c r="L988" s="38" t="n"/>
      <c r="M988" s="29" t="n"/>
      <c r="N988" s="67">
        <f>IF(base!L988&lt;&gt;"",VLOOKUP(L988,de_para!$A$1:$B$31,2,0)*base!M988,0)</f>
        <v/>
      </c>
      <c r="O988" s="38" t="n"/>
      <c r="P988" s="29" t="n"/>
      <c r="Q988" s="67">
        <f>IF(base!O988&lt;&gt;"",VLOOKUP(O988,de_para!$A$1:$B$31,2,0)*base!P988,0)</f>
        <v/>
      </c>
      <c r="R988" s="38" t="n"/>
      <c r="S988" s="29" t="n"/>
      <c r="T988" s="67">
        <f>IF(base!R988&lt;&gt;"",VLOOKUP(R988,de_para!$A$1:$B$31,2,0)*base!S988,0)</f>
        <v/>
      </c>
      <c r="U988" s="68">
        <f>H988+K988+N988+Q988+T988</f>
        <v/>
      </c>
    </row>
  </sheetData>
  <mergeCells count="1">
    <mergeCell ref="A1:R1"/>
  </mergeCells>
  <pageMargins left="0.511811024" right="0.511811024" top="0.787401575" bottom="0.787401575" header="0.31496062" footer="0.31496062"/>
</worksheet>
</file>

<file path=xl/worksheets/sheet3.xml><?xml version="1.0" encoding="utf-8"?>
<worksheet xmlns="http://schemas.openxmlformats.org/spreadsheetml/2006/main">
  <sheetPr codeName="Planilha1">
    <tabColor theme="4" tint="0.3999755851924192"/>
    <outlinePr summaryBelow="1" summaryRight="1"/>
    <pageSetUpPr/>
  </sheetPr>
  <dimension ref="A1:I32"/>
  <sheetViews>
    <sheetView showGridLines="0" workbookViewId="0">
      <selection activeCell="B1" sqref="B1"/>
    </sheetView>
  </sheetViews>
  <sheetFormatPr baseColWidth="8" defaultRowHeight="14.5"/>
  <cols>
    <col width="40.453125" bestFit="1" customWidth="1" min="1" max="1"/>
    <col width="9.54296875" bestFit="1" customWidth="1" min="2" max="2"/>
    <col width="26.1796875" bestFit="1" customWidth="1" min="3" max="3"/>
    <col width="9" bestFit="1" customWidth="1" min="4" max="4"/>
    <col width="40.453125" bestFit="1" customWidth="1" min="5" max="5"/>
    <col width="8.26953125" bestFit="1" customWidth="1" min="6" max="6"/>
    <col width="5.54296875" bestFit="1" customWidth="1" min="7" max="7"/>
    <col width="17" bestFit="1" customWidth="1" min="8" max="8"/>
    <col width="23.1796875" bestFit="1" customWidth="1" min="9" max="9"/>
    <col width="20.7265625" bestFit="1" customWidth="1" min="10" max="10"/>
    <col width="9.54296875" bestFit="1" customWidth="1" min="11" max="11"/>
    <col width="8.26953125" bestFit="1" customWidth="1" min="12" max="12"/>
    <col width="5.54296875" bestFit="1" customWidth="1" min="13" max="13"/>
    <col width="9.54296875" bestFit="1" customWidth="1" min="14" max="14"/>
    <col width="8.26953125" bestFit="1" customWidth="1" min="15" max="15"/>
    <col width="5.54296875" bestFit="1" customWidth="1" min="16" max="16"/>
    <col width="9.54296875" bestFit="1" customWidth="1" min="17" max="17"/>
    <col width="8.26953125" bestFit="1" customWidth="1" min="18" max="18"/>
    <col width="5.54296875" bestFit="1" customWidth="1" min="19" max="19"/>
    <col width="6.54296875" bestFit="1" customWidth="1" min="20" max="20"/>
  </cols>
  <sheetData>
    <row r="1">
      <c r="A1" s="36" t="inlineStr">
        <is>
          <t>MANUTENÇÃO EM CEO</t>
        </is>
      </c>
      <c r="B1" s="69" t="n">
        <v>62</v>
      </c>
      <c r="E1" t="inlineStr"/>
      <c r="H1" s="34" t="inlineStr">
        <is>
          <t>FILIAL</t>
        </is>
      </c>
      <c r="I1" s="35" t="inlineStr">
        <is>
          <t>MATRIZ</t>
        </is>
      </c>
    </row>
    <row r="2">
      <c r="A2" s="36" t="inlineStr">
        <is>
          <t xml:space="preserve">MANUTENÇÃO EM CTO      </t>
        </is>
      </c>
      <c r="B2" s="70" t="n">
        <v>34</v>
      </c>
      <c r="E2" s="11" t="n"/>
      <c r="H2" t="inlineStr">
        <is>
          <t>VÁRZEA PAULISTA</t>
        </is>
      </c>
      <c r="I2" t="inlineStr">
        <is>
          <t>CAMPO LIMPO PAULISTA</t>
        </is>
      </c>
    </row>
    <row r="3">
      <c r="A3" s="36" t="inlineStr">
        <is>
          <t>INSTALAÇÃO DE PTO</t>
        </is>
      </c>
      <c r="B3" s="70" t="n">
        <v>20</v>
      </c>
      <c r="E3" s="11" t="n"/>
      <c r="H3" t="inlineStr">
        <is>
          <t>JUNDIAÍ</t>
        </is>
      </c>
      <c r="I3" t="inlineStr">
        <is>
          <t>JARINU</t>
        </is>
      </c>
    </row>
    <row r="4">
      <c r="A4" s="36" t="inlineStr">
        <is>
          <t>INSTALAÇÃO DE CEIP/BW</t>
        </is>
      </c>
      <c r="B4" s="70" t="n">
        <v>62</v>
      </c>
      <c r="E4" s="11" t="n"/>
      <c r="H4" t="inlineStr">
        <is>
          <t>ITATIBA</t>
        </is>
      </c>
      <c r="I4" t="inlineStr">
        <is>
          <t>ITATIBA</t>
        </is>
      </c>
    </row>
    <row r="5">
      <c r="A5" s="36" t="inlineStr">
        <is>
          <t>INSTALAÇÃO DE CEO</t>
        </is>
      </c>
      <c r="B5" s="70" t="n">
        <v>62</v>
      </c>
      <c r="E5" s="11" t="n"/>
      <c r="H5" t="inlineStr">
        <is>
          <t>ITUPEVA</t>
        </is>
      </c>
      <c r="I5" t="inlineStr">
        <is>
          <t>ATIBAIA</t>
        </is>
      </c>
    </row>
    <row r="6">
      <c r="A6" s="36" t="inlineStr">
        <is>
          <t xml:space="preserve">INSTALAÇÃO DE CTO        </t>
        </is>
      </c>
      <c r="B6" s="70" t="n">
        <v>62</v>
      </c>
      <c r="E6" s="11" t="n"/>
      <c r="H6" t="inlineStr">
        <is>
          <t>INDAIATUBA</t>
        </is>
      </c>
      <c r="I6" t="inlineStr">
        <is>
          <t>SP4</t>
        </is>
      </c>
    </row>
    <row r="7">
      <c r="A7" s="36" t="inlineStr">
        <is>
          <t>ACOMPANHAMENTO CPFL</t>
        </is>
      </c>
      <c r="B7" s="69" t="n">
        <v>30</v>
      </c>
      <c r="E7" s="11" t="n"/>
      <c r="H7" t="inlineStr">
        <is>
          <t>CABREUVA</t>
        </is>
      </c>
      <c r="I7" t="inlineStr">
        <is>
          <t>BOTUJURU</t>
        </is>
      </c>
    </row>
    <row r="8">
      <c r="A8" s="36" t="inlineStr">
        <is>
          <t xml:space="preserve">LANÇAMENTO DE CABO       </t>
        </is>
      </c>
      <c r="B8" s="70" t="n">
        <v>0.5</v>
      </c>
      <c r="E8" s="11" t="n"/>
      <c r="H8" t="inlineStr">
        <is>
          <t>LOUVEIRA</t>
        </is>
      </c>
      <c r="I8" t="inlineStr">
        <is>
          <t>FRANCISCO MORATO</t>
        </is>
      </c>
    </row>
    <row r="9">
      <c r="A9" s="36" t="inlineStr">
        <is>
          <t>LEVANTAMENTO DE REDE  (POR CTO)</t>
        </is>
      </c>
      <c r="B9" s="70" t="n">
        <v>20</v>
      </c>
      <c r="E9" s="11" t="n"/>
      <c r="H9" t="inlineStr">
        <is>
          <t>SP3</t>
        </is>
      </c>
    </row>
    <row r="10">
      <c r="A10" s="36" t="inlineStr">
        <is>
          <t>FUSÃO DE CORDÃO</t>
        </is>
      </c>
      <c r="B10" s="69" t="n">
        <v>30</v>
      </c>
      <c r="E10" s="11" t="n"/>
      <c r="H10" t="inlineStr">
        <is>
          <t>JACARÉ</t>
        </is>
      </c>
    </row>
    <row r="11">
      <c r="A11" s="36" t="inlineStr">
        <is>
          <t>REPUXE</t>
        </is>
      </c>
      <c r="B11" s="70" t="n">
        <v>0.35</v>
      </c>
      <c r="E11" s="11" t="n"/>
    </row>
    <row r="12">
      <c r="A12" s="36" t="inlineStr">
        <is>
          <t xml:space="preserve">SERVIÇO DE RADIO </t>
        </is>
      </c>
      <c r="B12" s="70" t="n">
        <v>70</v>
      </c>
      <c r="E12" s="11" t="n"/>
    </row>
    <row r="13">
      <c r="E13" s="11" t="n"/>
    </row>
    <row r="14">
      <c r="A14" s="11" t="inlineStr">
        <is>
          <t xml:space="preserve">INSERÇÃO DE CABO         </t>
        </is>
      </c>
      <c r="B14" s="70" t="n">
        <v>7</v>
      </c>
      <c r="E14" s="11" t="n"/>
    </row>
    <row r="15">
      <c r="A15" s="11" t="inlineStr">
        <is>
          <t xml:space="preserve">INSTALAÇÃO DE SPLITER    </t>
        </is>
      </c>
      <c r="B15" s="70" t="n">
        <v>5</v>
      </c>
      <c r="E15" s="11" t="n"/>
    </row>
    <row r="16">
      <c r="A16" s="11" t="inlineStr">
        <is>
          <t xml:space="preserve">FUSÃO                    </t>
        </is>
      </c>
      <c r="B16" s="69" t="n">
        <v>8</v>
      </c>
      <c r="E16" s="11" t="n"/>
    </row>
    <row r="17">
      <c r="A17" s="11" t="inlineStr">
        <is>
          <t>EQUIPAGEM DE POSTE  (FERRAGEN LEVE)</t>
        </is>
      </c>
      <c r="B17" s="70" t="n">
        <v>14</v>
      </c>
      <c r="E17" s="11" t="n"/>
    </row>
    <row r="18">
      <c r="A18" s="11" t="inlineStr">
        <is>
          <t>EQUIPAGEM DE POSTE  (FERRAGEN PESADA)</t>
        </is>
      </c>
      <c r="B18" s="70" t="n">
        <v>20</v>
      </c>
      <c r="E18" s="11" t="n"/>
    </row>
    <row r="19">
      <c r="A19" s="11" t="inlineStr">
        <is>
          <t xml:space="preserve">RETIRA DE SPLITER    </t>
        </is>
      </c>
      <c r="B19" s="70" t="n">
        <v>5</v>
      </c>
      <c r="E19" s="11" t="n"/>
    </row>
    <row r="20">
      <c r="A20" s="11" t="inlineStr">
        <is>
          <t xml:space="preserve">TROCA DE BANDEJA </t>
        </is>
      </c>
      <c r="B20" s="70" t="n">
        <v>5</v>
      </c>
      <c r="E20" s="11" t="n"/>
    </row>
    <row r="21">
      <c r="A21" s="11" t="inlineStr">
        <is>
          <t xml:space="preserve">KM RODADO </t>
        </is>
      </c>
      <c r="B21" s="70" t="n">
        <v>1</v>
      </c>
      <c r="E21" s="11" t="n"/>
    </row>
    <row r="22">
      <c r="A22" s="11" t="inlineStr">
        <is>
          <t xml:space="preserve">LANÇAMENTO DE DROP       </t>
        </is>
      </c>
      <c r="B22" s="70" t="n">
        <v>0.35</v>
      </c>
      <c r="E22" s="11" t="n"/>
    </row>
    <row r="23">
      <c r="A23" s="11" t="inlineStr">
        <is>
          <t>INSTALAÇÃO DE CRUZETA</t>
        </is>
      </c>
      <c r="B23" s="70" t="n">
        <v>15</v>
      </c>
      <c r="E23" s="11" t="n"/>
    </row>
    <row r="24">
      <c r="A24" s="11" t="inlineStr">
        <is>
          <t xml:space="preserve">ORGANIZAÇÃO DE CABOS EM CTO   </t>
        </is>
      </c>
      <c r="B24" s="70" t="n">
        <v>5</v>
      </c>
      <c r="E24" s="11" t="n"/>
    </row>
    <row r="25">
      <c r="A25" s="11" t="inlineStr">
        <is>
          <t>TROCA DE BATERIA E NOBREAK</t>
        </is>
      </c>
      <c r="B25" s="69" t="n">
        <v>70</v>
      </c>
      <c r="E25" s="11" t="n"/>
    </row>
    <row r="26">
      <c r="A26" s="11" t="inlineStr">
        <is>
          <t>RETIRADA DE EQUIPAMENTO</t>
        </is>
      </c>
      <c r="B26" s="69" t="n">
        <v>30</v>
      </c>
      <c r="E26" s="11" t="n"/>
    </row>
    <row r="27">
      <c r="A27" s="11" t="inlineStr">
        <is>
          <t>INSTALAÇÃO DE PLAQUETAS</t>
        </is>
      </c>
      <c r="B27" s="71" t="n">
        <v>8</v>
      </c>
      <c r="E27" s="11" t="n"/>
    </row>
    <row r="28">
      <c r="E28" s="11" t="n"/>
    </row>
    <row r="29">
      <c r="E29" s="11" t="n"/>
    </row>
    <row r="30">
      <c r="E30" s="11" t="n"/>
    </row>
    <row r="31">
      <c r="E31" s="11" t="n"/>
    </row>
    <row r="32">
      <c r="E32" s="11" t="n"/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Fabio Soares de Souza</dc:creator>
  <dcterms:created xmlns:dcterms="http://purl.org/dc/terms/" xmlns:xsi="http://www.w3.org/2001/XMLSchema-instance" xsi:type="dcterms:W3CDTF">2013-01-19T13:48:59Z</dcterms:created>
  <dcterms:modified xmlns:dcterms="http://purl.org/dc/terms/" xmlns:xsi="http://www.w3.org/2001/XMLSchema-instance" xsi:type="dcterms:W3CDTF">2026-03-28T02:58:56Z</dcterms:modified>
  <cp:lastModifiedBy>Jefferson silva</cp:lastModifiedBy>
</cp:coreProperties>
</file>